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ml.chart+xml" PartName="/xl/charts/chart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交付说明" sheetId="1" r:id="rId1"/>
    <sheet name="原题" sheetId="2" r:id="rId2"/>
    <sheet name="检查点拆解" sheetId="3" r:id="rId3"/>
    <sheet name="自检" sheetId="4" r:id="rId4"/>
    <sheet name="V6唯一映射" sheetId="5" r:id="rId5"/>
    <sheet name="覆盖概览" sheetId="6" r:id="rId6"/>
    <sheet name="核心能力覆盖" sheetId="7" r:id="rId7"/>
    <sheet name="三级标签覆盖" sheetId="8" r:id="rId8"/>
    <sheet name="统计辅助_勿改"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<sst xmlns="http://schemas.openxmlformats.org/spreadsheetml/2006/main" count="35402" uniqueCount="4525">
  <si>
    <t>纯T2V模型能力定义型评测｜V6检查点拆解</t>
  </si>
  <si>
    <t>来源题表</t>
  </si>
  <si>
    <t>/Users/lvruofan1/Desktop/t2v-10s.xlsx</t>
  </si>
  <si>
    <t>规则说明</t>
  </si>
  <si>
    <t>纯T2V模型能力定义型评测_完整说明_V6.docx</t>
  </si>
  <si>
    <t>标签树</t>
  </si>
  <si>
    <t>纯T2V能力项与完整标签树_V6.xlsx</t>
  </si>
  <si>
    <t>题目数</t>
  </si>
  <si>
    <t>检查点数</t>
  </si>
  <si>
    <t>每题检查点范围</t>
  </si>
  <si>
    <t>2–12</t>
  </si>
  <si>
    <t>平均检查点/题</t>
  </si>
  <si>
    <t>数量自检异常</t>
  </si>
  <si>
    <t>唯一映射异常</t>
  </si>
  <si>
    <t>重复标签异常</t>
  </si>
  <si>
    <t>使用说明</t>
  </si>
  <si>
    <t>原题完整保存在“原题”表；“检查点拆解”仅定义检查点，不对生成结果打C/R/N。声音、音乐、音效与不可见台词语义只在预处理说明中记录。</t>
  </si>
  <si>
    <t>“自检”表逐题检查2–12点、唯一映射、重复标签、声音泄漏与最低成功线；复杂题已标记为建议全检。</t>
  </si>
  <si>
    <t>题目ID</t>
  </si>
  <si>
    <t>原序号</t>
  </si>
  <si>
    <t>原Prompt（保留原文）</t>
  </si>
  <si>
    <t>语言</t>
  </si>
  <si>
    <t>预处理说明</t>
  </si>
  <si>
    <t>Q0001</t>
  </si>
  <si>
    <t>Starting from a wide shot pushing in, a tall and sturdy oak tree with lush foliage. The camera cuts to a close-up in the tree where a squirrel and a chipmunk are busy building a treehouse. The chipmunk holds a blueprint while the squirrel hammers nails intently. 3D cartoon style.</t>
  </si>
  <si>
    <t>英文</t>
  </si>
  <si>
    <t>无范围外声音或不可见台词要求；原Prompt保留不改写。</t>
  </si>
  <si>
    <t>Q0002</t>
  </si>
  <si>
    <t>A thick morning fog shrouds a medieval muddy training ground near a stone castle. Three fully armored knights face off in a triangular formation, lances raised. At a herald's trumpet blast, two charge forward and clash with a forceful collision, mud splashing beneath their boots, one lance splintering on impact. The third knight circles behind and strikes the stumbling loser across the back with a mace, knocking him face-first into the mud. The remaining two engage in close combat — swords drawn, trading blows, each hit sending sparks and denting the metal surface. One disarms the other with a sweeping strike; the disarmed knight grabs a shield from the mud and blocks a downward slash. From the castle wall above, spectators cheer and a lady drops a red favor. The camera tracks low through the mud, capturing the metallic sheen of dented armor, breath misting in cold air, and blood mixing with muddy water. The victor raises his sword overhead, fog swirling around him.</t>
  </si>
  <si>
    <t>已删除声音、音乐、音效或环境音要求，不生成声音检查点。</t>
  </si>
  <si>
    <t>Q0003</t>
  </si>
  <si>
    <t>【俯拍・升格】指尖轻触屏幕，京东 APP 图标被点亮，光纹瞬间扩散
【航拍・流光】城市车流如星河，京东配送车穿行其中，尾灯拉出光轨
【逆光・远景】无人机从楼顶升空，划破天际，飞向城市远方
【轨道・纵深】智能仓内，机械臂精准运转，AGV 机器人列队穿梭，包裹如流水前行、【航拍・晨昏】北京 CBD 天际线，晨光洒在京东物流枢纽
【街拍・暖光】上海街头，配送车驶过梧桐树下，光影温柔
【蒙太奇・异域】海外都市：曼谷街巷、伦敦街区、迪拜新城，京东元素自然融入
【特写・柔光】用户签收包裹，指尖触到包装，抬头微笑，眼神明亮治愈</t>
  </si>
  <si>
    <t>中文/含中文</t>
  </si>
  <si>
    <t>Q0004</t>
  </si>
  <si>
    <t>A telephoto lens compresses depth, capturing the endless stream of commuters on a rush-hour overpass. A suited man in the foreground strides past creating motion blur, while the dense crowd and distant office tower glass walls catching morning light fill the background.</t>
  </si>
  <si>
    <t>Q0005</t>
  </si>
  <si>
    <t>Grandma making dumplings in the kitchen, her technique practiced and skilled.</t>
  </si>
  <si>
    <t>Q0006</t>
  </si>
  <si>
    <t>Generate a 15-second high-energy summer commercial video. On a hot summer day, the city is baked by the intense sun, heat rises from the ground, and a heatwave distortion effect is visible in the air. Indoors at home or in an office, a person is sweating profusely, dry-mouthed, and says, "It's way too hot, I need something iced!" They open their phone and place an order on [JD Miaosong] for cold beer, iced drinks, ice cream, and other items. The phone screen rapidly flashes "Order Successful" and "Nearest warehouse responding instantly." Fast-paced visual rhythm, bright colors, emphasizing the intense summer heat and strong thirst, driving the audience to want to order cold drinks immediately. Commercial advertising style, exaggerated, exciting, and highly satisfying.</t>
  </si>
  <si>
    <t>已删除不可见台词/歌词语义及准确内容核验；仅保留可见开口、口型或回应动作。</t>
  </si>
  <si>
    <t>Q0007</t>
  </si>
  <si>
    <t>A wide-angle, low-angle hyper-realistic shot of astronauts floating weightlessly through the illuminated corridor of a high-tech
spaceship, with the camera slowly tracking their slow-motion movements.</t>
  </si>
  <si>
    <t>Q0008</t>
  </si>
  <si>
    <t>Wide-angle low-angle hyper-realistic shot. Several astronauts float weightlessly through a glowing high-tech spacecraft corridor. The camera slowly tracks their slow-motion drifting movements. The overall scene carries a futuristic sci-fi atmosphere, fine details, 8K cinematic quality.</t>
  </si>
  <si>
    <t>Q0009</t>
  </si>
  <si>
    <t>Timelapse photography records a city transitioning from day to night — skyscraper lights turning on one by one, traffic forming continuous light trails. Cut to a mountain summit where timelapse continues capturing the Milky Way slowly rotating until the first dawn light strikes the peak.</t>
  </si>
  <si>
    <t>Q0010</t>
  </si>
  <si>
    <t>Inside a dim cavern, translucent water droplets slowly form at the tip of a moist limestone stalactite and fall, splashing into a tiny burst on the stone floor below.</t>
  </si>
  <si>
    <t>Q0011</t>
  </si>
  <si>
    <t>镜头1
一台工业机械臂在流水线上快速抓起一块金属零件，转动手腕后放到传送带上。传送带持续运行，两侧多个滚轮同步转动，后方另一台机械臂正在焊接，焊花四溅，镜头跟随主机械臂平滑移动。
镜头2
镜头切到侧前方，零件沿传送带前进，经过检测装置时指示灯亮起，分拣机械臂迅速伸出将零件夹起并放入料箱。传送带、滚轮、机械臂和背景设备持续协同运转，焊花、指示灯、金属反光和轻微震动同步变化，整体动作连贯，符合真实机械传动和物理规律。</t>
  </si>
  <si>
    <t>Q0012</t>
  </si>
  <si>
    <t>超写实电影质感，4K，杜比视界色彩，自然光照，中景固定镜头 男士身着卡其冲锋衣搭橄榄抓绒内搭，配深灰工装裤、黑登山靴，背负军绿登山包并系战术腰封，全套专业户外工装穿搭。他来到沙滩树下盘腿坐地，演示“弓钻取火”——快速拉动弓弦，钻头冒烟，黑炭火种落入干棕榈纤维，他轻轻吹气，“呼”的一声烟从棕榈纤维蹿起。棕榈纤维中透出火星的光点，他小心翼翼捧起火绒凑近镜头，笑着介绍“耐心一点火种很快就有了”</t>
  </si>
  <si>
    <t>Q0013</t>
  </si>
  <si>
    <t>Close-up shot of a model wearing a bohemian-style linen dress. The shot must fully showcase the model's blue eyes, sculpted features, and fair skin, while revealing the fabric's textured folds.</t>
  </si>
  <si>
    <t>Q0014</t>
  </si>
  <si>
    <t>Macro shot of a silversmith forging, texture details, finished piece examination.</t>
  </si>
  <si>
    <t>Q0015</t>
  </si>
  <si>
    <t>Children at the beach building a sandcastle — digging sand into buckets, planting a flag on top, fetching water to fill the moat, clapping and cheering when finished.</t>
  </si>
  <si>
    <t>Q0016</t>
  </si>
  <si>
    <t>Shot Prompts
Shot 1
An aerial shot moves through a valley shrouded in morning mist, with a winding river flowing below and distant snow-capped mountains dimly visible. Thin fog drifts slowly across the scene.
Shot 2
The camera dives into the valley, skimming over a pine forest and a streaming creek. Leaves sway gently in the breeze, light ripples form on the water's surface, and a few birds dart through the trees.
Shot 3
The camera emerges from the forest to reveal a lakeside view. The lake reflects the surrounding mountains and sky; a gentle gust creates cascading ripples on the water while reeds along the shore sway softly.
Shot 4
The camera slowly rises and pulls back, revealing the full spatial depth of the valley, lake, forest, and snow-capped peaks. Clouds and mist flow lazily between the mountains, and the frame freezes on a sweeping wide panorama.</t>
  </si>
  <si>
    <t>Q0017</t>
  </si>
  <si>
    <t>A baby sea turtle slowly crawls from the sandy beach toward the ocean, leaving a trail of tiny tracks. It then passes through crystal-clear waters with colorful coral reefs, joins a school of tropical fish swimming together, and finally reaches the deep blue open sea to roam freely.</t>
  </si>
  <si>
    <t>Q0018</t>
  </si>
  <si>
    <t>阳台花盆边，一只橘色小猫发现了一只蝴蝶。第一个镜头是小猫蹲着歪头盯着蝴蝶看，尾巴轻轻摇晃。第二个镜头拍它试探着伸出爪子去够，蝴蝶却飞走了。第三个镜头是小猫跳上窗台继续追，尾巴竖得直直的。第四个镜头蝴蝶停在了小猫鼻尖上，它一动不动对着眼看</t>
  </si>
  <si>
    <t>Q0019</t>
  </si>
  <si>
    <t>第1个镜头[0-2秒] 有着一头红色卷发的年轻女巫身穿红色花纹长袍，骑着一把木扫帚在天空中向前飞行。风吹动她的红发和衣摆。音效：呼呼的风声，扫帚划破空气的摩擦声。无字幕，无背景音乐。
第2个镜头[2-4秒]硬切，俯视全景，对应的蓝色树林和山脉环境。透过粉色的云层，下方蓝色的山坡上，一个长着鹿角、穿着蓝色破旧长袍的老山羊正在缓慢向上走。音效：高空的风声，微弱的树叶沙沙声。无字幕，无背景音乐。
第3个镜头[4-6秒]硬切，全景。女巫骑着扫帚快速从空中俯冲而下，降落在老山羊面前的泥地上，双脚落地，扫帚停在身侧。老山羊停下脚步看着她。音效：扫帚快速降落的尖锐风声，双脚踩在泥地上的沉闷落地声。无字幕，无背景音乐。
第4个镜头[6-9秒]硬切，中近景。女巫看着老山羊，面带微笑，开口说：“Hello there! Need a lift?” 音效：女巫清脆的说话声，周围树叶的微风摩擦声。无字幕，无背景音乐。
第5个镜头[9-11秒]硬切，特写。老山羊有点疑惑看着她说“yes？”，跟随老山羊的目光，女巫迅速侧过身，右手拍了拍扫帚的后半部分，示意他坐上来。音效：衣物摩擦声，手掌拍打木头扫帚的啪啪声。无字幕，无背景音乐。
第6个镜头[11-13秒]硬切，中景。老山羊缓慢抬起腿跨上扫帚，坐在女巫身后，女巫也跨在扫帚上，双手握紧扫帚前端。音效：布料摩擦声，木头扫帚受力发出的轻微嘎吱声。无字幕，无背景音乐。
第7个镜头[13-15秒]硬切，远景。女巫双脚蹬地，扫帚猛地向上窜起，载着女巫和老山羊飞向蓝色的树林上空，两人的身影在空中迅速变小。音效：双脚用力蹬地的摩擦声，扫帚起飞时强烈的破空风声。无字幕，无背景音乐。</t>
  </si>
  <si>
    <t>已删除声音、音乐、音效或环境音要求，不生成声音检查点；已删除不可见台词/歌词语义及准确内容核验；仅保留可见开口、口型或回应动作。</t>
  </si>
  <si>
    <t>Q0020</t>
  </si>
  <si>
    <t>Shot 1 uses top-side lighting, focusing on the dancer's pointe touching the floor. Shot 2 switches to a wide-aperture medium shot as the dancer spins, skirt flowing. Shot 3 uses backlighting to silhouette the dancer leaping. Shot 4 is a frontal close-up capturing the details of sweat beads on the face.</t>
  </si>
  <si>
    <t>Q0021</t>
  </si>
  <si>
    <t>In the community plaza below an apartment complex, several women dance in formation. Shot 1: wide shot of their synchronized movements to music. Shot 2: push in on the lead dancer's focused expression and hand gestures. Shot 3: cut to elderly men sitting nearby watching and chatting. Shot 4: a little girl at the back clumsily imitating the moves. Shot 5: back to wide shot — the music climaxes as everyone turns and claps together.</t>
  </si>
  <si>
    <t>Q0022</t>
  </si>
  <si>
    <t>A skateboarder charges down a ramp. The camera clings to the ground with a low-angle fisheye lens tracking shot — intense sense of speed. The skater launches into the air, the camera rapidly orbits and shifts to slow motion capturing the full aerial trick. The instant of landing returns to normal speed, the camera continues stable tracking as the skater glides away, then gently pulls back to end.</t>
  </si>
  <si>
    <t>Q0023</t>
  </si>
  <si>
    <t>Steadicam tracking shot beginning from a side medium angle, following a martial artist in black training clothes as he initiates his form in the training hall. The second shot cuts to a low-angle upward view capturing his spinning aerial kick with fabric billowing in the air resistance. The third shot is a frontal close-up slow motion freezing dust rising from the floor with his strike. The fourth shot finishes with a high-angle overhead panorama showing the entire training hall as he completes his stance.</t>
  </si>
  <si>
    <t>Q0024</t>
  </si>
  <si>
    <t>Shot 1 (Medium Shot)Under the dappled sunlight beneath the tree shade, four white-haired seniors sit around a square table. Each carries a distinct expression, with rows of mahjong tiles neatly arranged in front of them.
Shot 2 (Close-Up)A close-up shot focuses on the center of the mahjong table. Several wrinkled yet nimble hands quickly shuffle and draw tiles from the stack. Suddenly, an elderly man slaps down a "Red Dragon" tile with immense momentum and force.
Shot 3 (Medium Close-Up)The camera cuts to the face of an auntie sitting opposite. She pushes up her reading glasses and squints to examine the tiles in her hand. Her brow quickly unmixes and smooths out, giving way to a subtle, confident smile of victory.</t>
  </si>
  <si>
    <t>Q0025</t>
  </si>
  <si>
    <t>A group of people are playing basketball on the school playground, and the game is very intense.</t>
  </si>
  <si>
    <t>Q0026</t>
  </si>
  <si>
    <t>周末的菜市场特别热闹。第一个镜头拍入口处人来人往的景象和悬挂的红色招牌；第二个镜头对准水果摊老板熟练称重装袋的过程；第三个镜头转到鱼摊，鱼在水里活蹦乱跳，老板正在抓鱼；第四个镜头拍一位阿姨在仔细挑选蔬菜，翻来覆去看；第五个镜头是结尾全景，各个摊位灯光明亮，十分热闹的市场氛围</t>
  </si>
  <si>
    <t>Q0027</t>
  </si>
  <si>
    <t>Quick-cut jump-cut montage of seven employees in different positions.</t>
  </si>
  <si>
    <t>Q0028</t>
  </si>
  <si>
    <t>一个一气呵成、如梦似幻的电影长镜头：画面在深夜雾气弥漫的海边开启。四周通过广角镜头呈现出轻微的拉伸畸变，海平线与岸边巨大的古老漂流木在画面边缘微微弯折，漫天飞舞的萤火虫在浓重的海雾中拉出一道道柔和弯曲的金色光影轮廓。镜头顺畅滑行，一位身穿白色流苏长裙的少女静静地伫立在潮湿的沙滩正中央，四周扭曲的光影与雾气仿佛形成了一个魔法漩涡，将她温柔地包裹。随着镜头推进，少女的身影愈发清晰，她神情安静、温柔，任由海风轻轻吹拂着白裙的下摆，几只萤火虫在她脸庞掠过，微光将她照亮。随后，一个极端的宏观特写捕捉了空气中被扭曲的海浪飞沫与萤火虫那弯曲的金色轨迹。镜头最终定格在少女的高清半身特写上：她嘴角带着一丝安静轻柔的微笑，清澈的眼眸里倒映着萤火虫的点点微光；此时，画面中心她的脸部极度清晰，而四周拉伸的雾气与漫天飞舞的流光则汇聚成一个柔和的梦幻星云，将她定格在这片神秘海岸的核心。</t>
  </si>
  <si>
    <t>Q0029</t>
  </si>
  <si>
    <t>第一段镜头：
航拍俯瞰，盘山公路蜿蜒盘旋在峭壁之间，一抹红色沿着弯道疾驰而上，轮胎擦过路面卷起一阵灰尘，在山谷间拖出一条淡淡的白色尾迹。
第二段镜头：
低角度侧拍，红色跑车贴着弯心加速过弯，车身压低，轮胎咬住柏油路面发出尖锐的啸叫，碎石从路肩弹飞，护栏在一旁飞速掠过。
第三段镜头：
车内视角，方向盘急打，驾驶者指节收紧，转速表指针猛地跳升。窗外护栏和山崖快速后退，阳光与山影交替扫过仪表台，引擎的嘶吼填满整个座舱。
第四段镜头：
车尾跟拍，排气管喷出滚滚热浪，空气被灼得扭曲变形。前方隧道洞口迫近，跑车一头扎入黑暗，尾灯拉成两条红线，引擎轰鸣声渐渐被隧道吞没。
第五段镜头：
隧道另一端出口，画面从一片漆黑中等待。远处传来由弱渐强的引擎回响，红色跑车猛然冲出洞口，光线瞬间炸开，车身裹着速度掠过镜头，山风灌入隧道，卷起一地枯叶翻飞。</t>
  </si>
  <si>
    <t>Q0030</t>
  </si>
  <si>
    <t>镜头一采用电影感后拉轨道镜头缓缓驶入某汽车超级工厂内部，镜头二切至中景，一排排精密机械臂在慢速输送产线上有条不紊组装汽车底盘，镜头三推近特写，突出明亮洁净灯光下设备光亮的金属质感，镜头四拉远成大远景，展现向深处无限延伸、规整有序的宏大厂区空间，镜头五持续平稳向后拉远，以全景视角完整收纳整片井然有序的生产车间全貌。</t>
  </si>
  <si>
    <t>Q0031</t>
  </si>
  <si>
    <t>镜头自侧面低角度缓缓推入，特写捕捉厨师于纯白瓷盘上细致摆盘的画面，朦胧烛光衬在背景；随即切换宏观慢动作镜头，记录刀叉切分牛排的瞬间，清晰展露肉质纤维的饱满张力与缓缓流淌的红酒酱汁，再切近景聚焦酱汁浸润肌理的细腻质感，继而中景环绕完整呈现菜肴搭配层次，最终镜头缓缓抬升，以俯瞰视角完整收束整道菜肴充满美感的艺术摆盘布局。</t>
  </si>
  <si>
    <t>Q0032</t>
  </si>
  <si>
    <t>滑雪者在滑雪，他转弯时扬起大片雪雾，沿着山坡逐渐加速，镜头平稳地移动着。</t>
  </si>
  <si>
    <t>Q0033</t>
  </si>
  <si>
    <t>一位唐朝新娘在婚礼前独自站在化妆镜前。镜头从镜中她微笑整理发饰的特写开始，缓慢推进。她拿起桌上的口红涂抹嘴唇，对着镜子满意地点头。</t>
  </si>
  <si>
    <t>Q0034</t>
  </si>
  <si>
    <t>一名潜水员探索沉船，用手电筒照亮船体裂口。气泡从呼吸器上升，光束穿透黑暗水域照出悬浮的尘埃。他伸手触摸锈蚀的铁壁，一群小鱼从舷窗涌出。</t>
  </si>
  <si>
    <t>Q0035</t>
  </si>
  <si>
    <t>一群年轻人在阳台上围坐吃烧烤喝啤酒。一人站起举杯提议干杯，众人碰杯欢呼，啤酒泡沫溢出流到桌面。有人拿起吉他弹奏，其余人跟着节拍拍手哼唱。一个女孩站起来随音乐扭动，拉起旁边的人一起跳舞。突然烤架上的肉串冒出明火，负责烧烤的人手忙脚乱地翻动肉串，油脂滴落火焰蹿高。另一人端来一盘切好的西瓜分给大家。镜头拉远，隔壁阳台的邻居探出头来微笑观望，远处城市夜景灯光闪烁，天空中一架飞机的尾灯缓缓划过。</t>
  </si>
  <si>
    <t>Q0036</t>
  </si>
  <si>
    <t>2D热血动漫风格，史诗般空战大片质感。动感低角度跟踪拍摄，贴近航母甲板，与第一架银色战机同步冲刺。随着机头拉升，镜头平滑切换为广角侧随视角，连贯捕捉蓝色和黑色战机依次从甲板弹射起飞。随后切至高空俯瞰并迅速俯冲，以第一人称飞行视角穿梭在三架保持紧密编队的战机之间。阳光在银、蓝、黑三种不同机身金属涂装上产生一致的真实折射光影与高光，物理动态极其真实，震撼的视觉张力。</t>
  </si>
  <si>
    <t>Q0037</t>
  </si>
  <si>
    <t>在极简主义时装秀上，优雅的亚洲模特穿着再生亚麻和软木纤维制成的环保时装，稳步走在木质T台。背景是原始森林与流水的4K动态影像。镜头侧向跟拍，衣物叶脉纹理与背景叶片重合，自然光线洒在模特身上，以大地色系展现时尚与生态的共生美。</t>
  </si>
  <si>
    <t>Q0038</t>
  </si>
  <si>
    <t>A handsome man stands atop a ridge enveloped in thin mist. He is clad in sleek, functional outdoor gear—a dark charcoal windbreaker jacket, professional hiking pants, and a backpack over his shoulders. A cool mountain breeze tousles his hair, complementing his calm and resolute expression. In the background, ethereal clouds and fog roll and drift among jagged rocks, occasionally parting to reveal a glimpse of majestic, snow-capped peaks in the distance.The camera slowly pushes in from behind him as he gazes into the cloud-filled abyss below. In the crisp, frigid air, his exhaled breath condenses into white mist, adding a subtle atmospheric detail. He turns slightly toward the camera, his sharp eyes filled with unyielding resilience.</t>
  </si>
  <si>
    <t>Q0039</t>
  </si>
  <si>
    <t>非洲大草原上，绿茵草地成了临时足球场。雄狮用前爪拨球带球推进，鬃毛飞扬；斑马加速滑行拦截，用头顶将球弹向空中。一只猎豹高速插上接住空中球突破防线，大象守门员伸出长鼻将球扑出。球弹向角落，一只鸵鸟用长腿勾回球传给狮子。长颈鹿裁判低头观察是否越位。狮子起脚射门，球擦着大象鼻尖飞入球门。合欢树下观战的猴群跳跃欢呼，鹦鹉群从树冠惊飞。草屑和尘土在奔跑中持续飞扬。</t>
  </si>
  <si>
    <t>Q0040</t>
  </si>
  <si>
    <t>电影级广角航拍镜头从峡谷深处快速上升掠过砂岩峰顶。一群野马在山脊线上奔跑扬起金色沙尘。一只秃鹰从镜头前俯冲追逐猎物。镜头切到山脚绿洲，一队骆驼商队正在涉水渡河。远处沙暴墙推进遮蔽落日。镜头切回山顶，风暴卷起沙尘与夕阳形成浓烈橙红色幕墙，野马群四散奔逃。</t>
  </si>
  <si>
    <t>Q0041</t>
  </si>
  <si>
    <t>史诗科幻电影质感，写实风格，8K超清。首先是特写跟踪镜头，宇航员的厚重靴子坚定地踏在铁锈红色的火星土壤上，留下一个清晰深刻的足迹。随后镜头缓缓上移，展现出广袤荒凉的火星地貌，在地平线远处，巨大的奥林帕斯山巍峨耸立。
镜头切至宇航员头盔内部的第一人称主观视角（POV），透过带有金色镀膜的弧形面罩眺望火星，背景伴随着清晰沉重的宇航服呼吸声。
再次切回外部全景视角，逆光下，宇航员将一面印有“地球团结标志”的旗帜庄严地插进红色的地表。阳光在宇航服上折射出强烈的高光，长阴影，极具历史厚重感。</t>
  </si>
  <si>
    <t>Q0042</t>
  </si>
  <si>
    <t>Aerial drone shot rising from street level through a bustling modern city. At street level, a street musician plays violin as pedestrians cross the intersection. The drone spirals upward past office workers visible through glass windows, some waving. As it clears the rooftops, the city transitions from golden hour to deep night in time-lapse: clouds race across the sky, traffic lights form rivers of red and white streaks, windows light up one by one. The drone then dive-bombs back down through a gap between buildings, weaving past illuminated billboards, and pulls up sharply to reveal the full skyline reflected in the river below.</t>
  </si>
  <si>
    <t>Q0043</t>
  </si>
  <si>
    <t>An expansive industrial factory floor bathed in the harsh, bright light of midday, where massive metal presses strike with rhythmic, unwavering certainty. Sunlight pierces through high-ceiling windows in distinct beams, illuminating floating dust motes and the oily sheen on the heavy iron machinery. Each press moves in a steady, repetitive vertical motion, stamping metal sheets on a weathered concrete floor with mechanical
precision.</t>
  </si>
  <si>
    <t>Q0044</t>
  </si>
  <si>
    <t>Single continuous cinematic shot, no music. From outside the glass window, the dim camera slowly pushes inward into a pizza shop. A bearded white male employee is baking pizza. He removes the pizza from the oven with a metal tray, places it into a red takeaway box, closes the lid, then hands it to a customer with a warm smile. Final shot: over-the-shoulder perspective.</t>
  </si>
  <si>
    <t>Q0045</t>
  </si>
  <si>
    <t>At the Tokyo Tower, an intense mecha battle unfolds, captured through dynamic camera angles and motion lines. The sleek mecha is controlled by a 16-year-old pilot with determined eyes and spiky blue hair. The art style blends stylized character designs with realistic mechanical details, maintaining high-speed movement and complex action throughout the sequence.</t>
  </si>
  <si>
    <t>Q0046</t>
  </si>
  <si>
    <t>A deep autumn courtyard covered in a carpet of golden fallen leaves. A large squirrel with a fluffy tail darts quickly through the leaves, then suddenly stops. It stands upright on its hind legs, holding a single red maple leaf in its front paws, examining it closely before tossing it into the air. The camera follows the trajectory of the falling leaf, tilting down slowly to focus on the squirrel's lively, darting black eyes and its long tail. The background features blurred red maple trees and faint, distant sounds of children laughing. The lighting is warm and bright.</t>
  </si>
  <si>
    <t>Q0047</t>
  </si>
  <si>
    <t>Fisheye lens, top lighting, warm colors. A group gathers around a circular hole in a white wall, peering down. A blond man in black opens a brown paper bag and pulls out a glowing orb that illuminates everyone's faces. A woman gasps and stumbles backward. Another man reaches to touch the orb but recoils as it pulses brighter. Cut to overhead shot looking down through the hole as the orb rises. Cut to extreme close-up of the blond man's wide eyes reflecting the light. The group scatters as the orb shoots upward through the hole.</t>
  </si>
  <si>
    <t>Q0048</t>
  </si>
  <si>
    <t>A traditional Chinese pavilion with curved roof tiles in a misty rain. Water droplets fall from the eaves, creating ripples in the pond below. Cut to a close-up of a koi fish surfacing through the ripples. Cut back to wide shot of the pavilion in the mist.</t>
  </si>
  <si>
    <t>Q0049</t>
  </si>
  <si>
    <t>Cinematic portrait. Camera starts on an extreme close-up of a Latina woman's eye, reflecting a golden sunset. She blinks and a tear traces down her cheek, catching the light. The camera pulls back as she turns, revealing warm olive skin and dark curly hair. She walks toward a full-length mirror, studying her reflection. She touches her neck, then unclasps a pearl necklace and sets it on the vanity. In the mirror's reflection, a second woman enters the room behind her carrying a silk shawl. The first woman turns, accepts the shawl, and drapes it over her shoulders. The camera circles both women as they face the mirror together. Cut to a wide shot through the window from outside: both silhouettes framed against warm interior light as evening deepens to blue hour. Style: Hyper-realistic, 8K, 35mm film, shallow depth of field.</t>
  </si>
  <si>
    <t>Q0050</t>
  </si>
  <si>
    <t>Steadicam long take. Back shot of a man leaving a warm yellow-lit café, pushing the door open onto a cool-toned busy street. He sidesteps a cyclist, nearly collides with a woman carrying grocery bags who shoots him an annoyed look. He jogs across the crosswalk as the signal flashes red, a taxi honking behind him. He descends into a subway staircase — the lighting shifts to harsh fluorescent. On the platform, he squeezes past a busker playing violin and a group of tourists checking a map. A train arrives with a gust of wind that ruffles his coat. He boards, grabs a pole, and through the closing doors the busker's music fades. Inside the car, he finds a seat next to an elderly woman knitting; the train lurches forward and he steadies himself. No cuts throughout.</t>
  </si>
  <si>
    <t>Q0051</t>
  </si>
  <si>
    <t>A green train slowly approaches from the distance.</t>
  </si>
  <si>
    <t>Q0052</t>
  </si>
  <si>
    <t>A traveler walks into a serene forest at dawn, then arrives at a valley full of blooming flowers to admire the scenery. Several birds fly overhead in a flock, white clouds drifting by, tranquil and beautiful. Finally, he reaches a cliff edge and sees a waterfall cascading down the opposite mountain — magnificent and grand.</t>
  </si>
  <si>
    <t>Q0053</t>
  </si>
  <si>
    <t>In the distance, snow-capped mountains; in focus, a little squirrel hibernating.</t>
  </si>
  <si>
    <t>Q0054</t>
  </si>
  <si>
    <t>Cinematic shot at dusk, golden sky over Paris Champs-Élysées with classic European architecture.</t>
  </si>
  <si>
    <t>Q0055</t>
  </si>
  <si>
    <t>Close-up of an orange tabby cat lying in the grass, slowly opening its mouth for a big yawn, tongue visible. Medium shot of the cat rolling over belly-up, stretching with all four paws in the air, the pattern on its belly rising and falling with each breath. Close-up of sunlight warming the cat's face, eyes slowly squinting shut, ears twitching slightly as it drifts off to sleep.</t>
  </si>
  <si>
    <t>Q0056</t>
  </si>
  <si>
    <t>Suddenly, rain begins to fall from the sky, and raindrops land on the emerald green lotus leaves.</t>
  </si>
  <si>
    <t>Q0057</t>
  </si>
  <si>
    <t>The panda is eating bamboo.</t>
  </si>
  <si>
    <t>Q0058</t>
  </si>
  <si>
    <t>一只金毛犬在草坪上奔跑，镜头切换为侧面中景慢动作，捕捉犬只跃起接住飞盘的瞬间，最后展现犬只叼着飞盘回到主人脚边时摇尾的场景。</t>
  </si>
  <si>
    <t>Q0059</t>
  </si>
  <si>
    <t>Camera very close to the ground. A midsummer afternoon, sunlight casting shadows through venetian blinds. A golden retriever lies on the windowsill, breathing in and out, body gently expanding and contracting.</t>
  </si>
  <si>
    <t>Q0060</t>
  </si>
  <si>
    <t>A girl rides her bicycle through a cherry blossom tunnel, petals drifting down.</t>
  </si>
  <si>
    <t>Q0061</t>
  </si>
  <si>
    <t>A ten-year-old boy singing. First, a wide shot of a spacious cozy room. Then closer — the boy, average build, stands on tiptoe, waves his hands, body swaying with the song. Close-up on his face: deeply immersed, mouth following the lyrics, head nodding gently, expression innocent yet earnest.</t>
  </si>
  <si>
    <t>Q0062</t>
  </si>
  <si>
    <t>Using an 85mm prime lens at f/1.4, Steadicam smoothly follows a Peking Opera actress in a dark green qipao as she completes the final eyebrow stroke in her backstage dressing room. The lens pulls from an extreme hand close-up to a medium shot including the bronze mirror's reflection, with prop boxes and costumes forming soft bokeh layers.</t>
  </si>
  <si>
    <t>Q0063</t>
  </si>
  <si>
    <t>基础设定】  
机器人清道夫：身形修长的人形机器人，1960年代原子朋克风格设计。拥有自主意识。面部led显示屏代替五官，显示马像素风格的表情（表情无动态效果，保持静帧显示，表情切换带有科幻感音效）。身穿美式西部牛仔复古风格的生棕色牛仔帽、黑色哑光高腰设计皮衣夹克、黑色哑光皮手套、牛仔腰带和枪套。 
非洲鸵鸟：成年非洲公鸵鸟，样貌看起来呆傻，双眼歪斜不对称，歪吐着舌头。 
雷管炸弹：圆柱体雷管炸弹，长15cm，直径5cm，顶部有按钮开关，按下按钮后启动，内部管铜线材开始充能发热，散发出橙红色高光，充能到达峰值后爆炸，爆炸威力巨大。 
丧尸：多只腐烂惊悚的丧尸，头发凌乱，皮肤溃烂，肤色灰白暗沉，布满破损伤口与污痕，眼球浑浊发白、瞳孔无光，露出尖锐泛黄的腐烂獠牙，表情狰狞；身着破乱不堪的海滩度假风和日常休闲装，皮肤与衣物沾满血渍与腐败肌理。 
场景：1960年代美式复古原子朋克城市街道，刚刚爆发丧尸危机，大战过后的城市，历过一场战斗的死寂。盛夏烈日当空，复古未来主义，复古乌托邦，冷战太空风流线型建筑，混乱场景，破损报废的复古老爷车，散落的报纸，地面有血渍，60年代临街商铺，圆润穹顶科幻楼宇。场景四处均有丧尸的尸体。
声音：不需要配乐，不要氛围音，仅保留同期声。  
【氛围与画质】  
风格核心：原子朋克、丧尸危机、末日爱情、电影级质感 、超写实、极致逼真、Photirealism-真人实景拍摄、杜绝游戏CG感、杜绝动作迟钝僵硬。凸显末日逃亡，惊险追逐的刺激感、危机感、紧迫感。 
视觉基调：变形宽荧幕电影质感。使用IMAX胶片摄影机，搭配Panavision C系列镜头（添加动态模糊）拍摄。 
色彩与影调：60年代复古科幻原子朋克美学，复古暖橙+海盐蓝高对比色调，胶片颗粒质感，低饱和度复古胶片滤镜，采用自然日光照明，强直射日光，自然日光光晕；画面明暗对比强烈，高光不过曝，暗部保留完整细节，明暗过渡自然，营造自然立体的光影氛围，带轻微复古胶片柔光质感。 
【画面内容】 
分镜：单镜头一镜到底。 
景别：近景。浅景深。长焦压缩空间。 构图：前景为鸵鸟脖子和机器人腰部以上位置，处于画面中心线右侧，占据画面二分之一面积；背景为城市街道以及远处追来的丧尸尸潮，处于画面中心线左侧。拉伸透视，人物主体与远方延伸的街道形成动态对角。 
运镜手法：固定机位，跟随随拍摄主体。 
画面内容：机器人面部LED屏幕保持蓝色冷酷表情，骑乘着鸵鸟面对镜头方向，位于街道中央，沿着笔直的公路狂奔，鸵鸟高速奔跑，翅膀微张，双脚交替蹬踏地面身体带有颠簸起伏，高速移动带有动态模糊感。在其身后的远处，有一片尾随着他们的丧尸尸潮，丧尸们面对镜头方向追杀机器人与鸵鸟。丧尸们嘶吼声此起彼伏，移动速率前后不一。街道上散落着触目惊心的尸体和血迹。机器人左手握住鸵鸟脖子，右手从身后掏出一根雷管炸弹，单手握持，右手大拇指用力按下顶部启动按钮，炸弹开始充能并发光，随即往身后高高抛出，右手顺势按压住自己帽子，轻微耸肩低头等待爆炸。片刻后炸弹从画面上方入画，精准的落在尸潮之中并爆炸。炸弹的威力惊人，爆炸的火光绚丽而巨大，丧尸们被炸飞，瞬间产生高能冲击波向四周扩散，卷起地面的灰尘与。爆炸后0.5秒，强劲的冲击波将鸵鸟与机器人瞬间推出画面。伴随迎面而来的强大推力，画面产生剧烈抖动与失焦。</t>
  </si>
  <si>
    <t>Q0064</t>
  </si>
  <si>
    <t>A group of students doing morning calisthenics on a school playground.</t>
  </si>
  <si>
    <t>Q0065</t>
  </si>
  <si>
    <t>A young woman walks into a bustling bar. The camera cuts to a man sitting on a barstool at the counter. Then back to the woman — a tracking shot follows as she sits down beside him and they begin drinking and chatting together.</t>
  </si>
  <si>
    <t>Q0066</t>
  </si>
  <si>
    <t>Inside a chaotic Wall Street trading floor, a telephoto lens captures a close-up of a sweating trader shouting frantically into a phone; then, the frame fades out and cuts to a serene Texas farm, with a wide shot revealing an endless wheat field and an old farmer working quietly.</t>
  </si>
  <si>
    <t>Q0067</t>
  </si>
  <si>
    <t>阶梯教室里，清脆的下课铃声突然响了起来，镜头一开始特写在最前排一张写满笔记的课本上，一只拿着签字笔的手刚好在纸上重重划下最后一个重点；紧接着，镜头顺着这只手往上一抬，拍到这个大学生利索地合上书本、把包背在肩上站起身来；随后镜头开始平稳地在前面一边后退、一边平视跟拍，看着他和身边几个说说笑笑、互相打闹的同学一起涌出教室门；最后，镜头在走廊里顺势往旁边一转、拉开成全景，拍下整条走廊塞满了下课的学生、大家结伴走向阳光满地的校园大门，青春活力扑面而来。</t>
  </si>
  <si>
    <t>Q0068</t>
  </si>
  <si>
    <t>Fixed medium shot inside a busy coffee shop. Foreground: a barista's focused hands working on latte art. Background through the floor-to-ceiling window: pedestrians and traffic on the street. Dual narrative layers advance simultaneously.</t>
  </si>
  <si>
    <t>Q0069</t>
  </si>
  <si>
    <t>【Storyboard 1 - Close-up / Indoor Cool Lighting】
A close-up shot of a professional woman wearing a dark gray tailored suit and wireless earbuds in a bright modern office building. She organizes a stack of thick paper reports while speaking to the camera fluently and confidently. The interior features a large expanse of light tones with high-precision diffuse lighting, clearly defining the woman's facial structure, with realistic textures of the suit fabric's subtle patterns.
【Storyboard 2 - Full Shot / Outdoor Dynamic Public Space】
The scene transitions across a large spatial span through a smooth horizontal pan, cutting to a full shot of a morning rush-hour subway car. The woman remains composed amid the crowded commuter flow, with her face and suit assets maintaining absolute continuity across the time-space shift. She holds the overhead strap with one hand while using the other to adjust her glasses frame, engaging in natural dodging and social interactions with passing commuters.</t>
  </si>
  <si>
    <t>Q0070</t>
  </si>
  <si>
    <t>As the final whistle blows, fireworks burst across the entire stadium. The shot begins with an extreme wide shot from the highest point of the stadium, capturing the sight of a hundred thousand fans in the stands celebrating like crashing waves. The camera then plunges downward like a rollercoaster, diving through flurries of golden confetti to ground level, panning level with the players who are running, shouting, and embracing each other in ecstatic joy. The lens then slides rightward along their running direction, sweeping past a kneeling, weeping opponent, and locks onto the team captain. The camera keeps moving, pushing in closer until it finally freezes on an extreme close-up of the captain kissing the World Cup trophy—the gleaming reflection of the golden cup and the tears on his face both vividly clear.</t>
  </si>
  <si>
    <t>Q0071</t>
  </si>
  <si>
    <t>An aerial shot pushes forward, flying through a tunnel beneath an urban elevated bridge.</t>
  </si>
  <si>
    <t>Q0072</t>
  </si>
  <si>
    <t>周围到处是爆炸的火光和浓烟，镜头就像人用手拿着摄像机一样，一颠一颠地死死跟着一个满脸是血和泥的卫生员（中景）。他正背着一个受伤的战友，在炸出来的泥坑和废墟里拼命往前跑，两边不断有泥土和石头被炸飞起来；突然，身边又是一声大爆炸，镜头跟着猛地一晃，顺势转了个180度的大弯，拍到后方正开枪掩护他们的几个战友；随后镜头在跑动中猛地往前一拉，特写对准卫生员咬紧牙齿、满脸汗水的大脸；最后，当他们终于扑进安全的战壕里，镜头开始慢慢往后拉远，穿过破墙，把整片冒着黑烟、被炸成废墟的城市大远景全部拍了下来。</t>
  </si>
  <si>
    <t>Q0073</t>
  </si>
  <si>
    <t>Medium shot of a clock ticking steadily.</t>
  </si>
  <si>
    <t>Q0074</t>
  </si>
  <si>
    <t>A watch fell to the ground and broke into pieces.</t>
  </si>
  <si>
    <t>Q0075</t>
  </si>
  <si>
    <t>On the Gobi Desert, a low-angle upward shot captures a massive launch vehicle igniting and lifting off with a thunderous roar. Then a transition to high altitude — a panoramic shot captures the rocket booster separating and tracing an arc. Next, the scene cuts to ground mission control showing orbital data flickering on a large screen.</t>
  </si>
  <si>
    <t>Q0076</t>
  </si>
  <si>
    <t>Wide-angle lens — a custom snow vehicle races across vast snowfields, continuously kicking up crystalline snow. Then the camera cuts to the cockpit interior where the driver grips the steering wheel with furrowed brow, flooring the accelerator without slowing down.</t>
  </si>
  <si>
    <t>Q0077</t>
  </si>
  <si>
    <t>使用古风动漫风格制作【项羽想要东渡乌江。乌江亭长停船靠岸，催项羽快快渡江。项王笑了笑说“我知道您是位忠厚长者，我就不回去了，这乌骓马送你了。然后转身独自面对追兵】</t>
  </si>
  <si>
    <t>Q0078</t>
  </si>
  <si>
    <t>High-speed photography captures a ceramic plate shattering on impact with the ground.</t>
  </si>
  <si>
    <t>Q0079</t>
  </si>
  <si>
    <t>Under warm light, the camera captures in close-up the delicate drape of a black acetate skirt, revealing its understated satin sheen like black obsidian. The lens follows the wave-like fabric creases downward, documenting the flowing silver quality as the hem sways in the breeze, then pulls back to a medium shot freezing its light, luxurious fluidity.</t>
  </si>
  <si>
    <t>Q0080</t>
  </si>
  <si>
    <t>Macro zoom shot of silk, then hard cut to rough rocks.</t>
  </si>
  <si>
    <t>Q0081</t>
  </si>
  <si>
    <t>An art studio — somewhat messy but cozy. As the figure walks toward the canvas, the camera cuts to an extreme macro close-up capturing multiple paint tubes squeezing thick pigment onto the white canvas surface.</t>
  </si>
  <si>
    <t>Q0082</t>
  </si>
  <si>
    <t>The frame passes through spring, summer, autumn, winter, then future city.</t>
  </si>
  <si>
    <t>Q0083</t>
  </si>
  <si>
    <t>Afternoon sunlight streams onto the rug in the living room. A small orange cat is napping peacefully, but suddenly its ears twitch and it opens its eyes. Next, the camera frames the cat getting up and taking a big, long stretch. After that, it walks with quiet, stealthy steps toward a small ball on the floor. It extends its front paw and gives the toy a sharp swat. As the ball rolls away, the cat immediately arches its back, entering a defensive stance. Right after, it playfully spins around in circles right where it is. Then, it lowers its body, wiggling its hindquarters as it prepares to pounce. Finally, it makes a sudden leap forward and bites down hard on a plush toy mouse.</t>
  </si>
  <si>
    <t>Q0084</t>
  </si>
  <si>
    <t>一段充满梦幻色彩的电影级连续长镜头。深夜迷雾缭绕的原始森林里，清冷的月光穿透茂密的树冠，在铺满青苔的地面上洒下斑驳的软阴影。镜头从宏大的远景平滑切入低角度追踪，聚焦在一只长着柔软棕色毛发与微缩鹿角的鹿身上。它以一种欢快、富有节奏感的步伐在绿茸茸的青苔间轻盈跳跃，在穿过盘根错节的古老树干时，它灵敏地抖动着双耳，精致的骨质鹿角在月光下勾勒出柔和的轮廓。摄像机紧贴地面，随着它在扭曲的树根迷宫间灵活穿梭，带起空气中微微飞扬的青苔碎屑与柔和的月落光晕；最终，镜头缓缓向后、向上升起拉远，注视着这个娇小灵动的背影逐渐隐没在月光与薄雾交织的森林深处，整片自然世界再度回归诗意与宁静。超现实主义梦幻氛围，细腻毛发渲染，浅景深，8k，大师级光影构图。</t>
  </si>
  <si>
    <t>Q0085</t>
  </si>
  <si>
    <t>Sunlight pours into an old house's living room. Curtain shadows spill across the floor, a steaming tea cup on the coffee table reflects the window, a family portrait on the wall is illuminated, a rocking chair sways gently, and a small dog lounges lazily by the window.</t>
  </si>
  <si>
    <t>Q0086</t>
  </si>
  <si>
    <t>[Shot 1 - Low Angle / Forest Volumetric Light]
A low-angle shot looking up at a primeval forest in the early morning. Morning sunlight penetrates the dense fog, forming distinct Tyndall beams (volumetric light rays) that project precisely onto the damp moss and dew on the ground.
[Shot 2 - Extreme Long Shot / Aurora and Reflections]
An extreme long shot depicting an Icelandic black sand beach under the polar night. Vibrant emerald and deep violet auroras dance like silk across the night sky, reflected in the mirror-like black tide below.
[Shot 3 - Medium Shot / Architectural Geometric Shadows]
Cut to a medium shot of a minimalist building interior. The harsh mid-day sun refracts through huge Venetian blinds, casting a sharp, high-contrast matrix of black-and-white linear shadows across the marble floor and white walls.
[Shot 4 - Zoom Out / Freeze-Frame Silhouette at Sunset]
The camera pulls back extremely slowly. The black-and-white shadows are swallowed by the blood-red sun slowly sinking outside the window. The entire building is carved into a stark silhouette, freezing in the red glow.</t>
  </si>
  <si>
    <t>Q0087</t>
  </si>
  <si>
    <t>我现在正在参加端午奇境的ai创意大赛，要求以「古人/文物/非遗等传统文化搞笑复活」为主题开脑洞整活，如文物下班吵架、文物复活怼人、古人怼人、古人穿越现代搞抽象，内容形式搞笑段子或脑洞剧情生成一段视频，要求符合要求，剧情连贯</t>
  </si>
  <si>
    <t>Q0088</t>
  </si>
  <si>
    <t>An elderly couple on a park bench sitting side by side, close-up of their clasped hands, walking along a tree-lined path, low-angle shot with falling leaves in the foreground.</t>
  </si>
  <si>
    <t>Q0089</t>
  </si>
  <si>
    <t>A first-time gym-goer girl, filled with curiosity about all the equipment, moves through the space testing out 5 different machines in sequence. The camera tracks her movement, capturing each machine from a distinct angle and perspective.</t>
  </si>
  <si>
    <t>Q0090</t>
  </si>
  <si>
    <t>清晨的写字楼前，低角度仰摄外卖员推开玻璃大门疾步走出（镜1）。画面采用跟镜头，尾随他跨上电动车并拧大油门（镜2）。随后镜头拉高，俯瞰电动车穿梭在拥堵的十字路口（镜3）。下一秒，转场至写字楼电梯内，主观视角凝视着不断上升的楼层数字（镜4）。电梯门开，急推镜头捕捉他将外卖递给前台的一瞬间（镜5）。紧接着切至商场档口，中景拍摄他接过下一单热气腾腾的黄焖鸡（镜6）。画面再切，特写调速拍摄暴雨砸在他头盔面罩上的水花（镜7）。最后，全景定格在夜幕下他推着没电的电动车走在空旷街道上的落寞背影（镜8）。</t>
  </si>
  <si>
    <t>Q0091</t>
  </si>
  <si>
    <t>生成一支15秒高燃夏日商业广告短片，主题是“京东秒送与京东物流前置仓，解决酒水即时零售履约难题”。整体视觉使用京东品牌红作为主色调点缀，画面明亮、高级、专业，有商业广告质感。开场是炎热夏日，城市热浪翻滚，消费者在家中或办公室口渴难耐，想立刻喝到冰镇啤酒和冰饮。画面快速切换酒水即时零售的履约痛点：传统门店点位有限、线下开店慢，门店订单忙乱、拣货慢，多渠道库存不同步，SKU批次混乱，夜间订单运力不足，整箱啤酒很重且易碎，夏季高温需要低温保冷。痛点画面要用快节奏蒙太奇表现，带一点红色预警视觉。随后画面切换为京东解决方案：一边是品牌门店、授权酒水零售门店线上接单，京东骑手到店取货，实现门店秒送；另一边是京东物流共享前置仓，作为城市近场履约节点，储备冰镇啤酒、冰饮和冰品。镜头进入干净、高效、有科技感的京东物流前置仓，拣货员打开冷库，大量白色冷气喷涌，从低温货架中取出冰镇啤酒、冰饮和冰品，瓶身有冰霜和水珠。拣货员用测温枪检测温度，画面预留位置用于后期添加“-10℃”。最后展示专业保温袋、冰袋、防震包装和冷链耗材，突出冷库直出、专业包装、即时履约。
骑手、仓库、订单动效中加入京东品牌红元素，但不要依赖模型生成准确中文Logo。整体要体现：门店上翻 + 共享前置仓，帮助酒水品牌快速进入即时零售。</t>
  </si>
  <si>
    <t>Q0092</t>
  </si>
  <si>
    <t>【分镜 1】这是一个完全模仿一个小偷眼睛看世界的第一人称视角。视角非常低，正贴着戒备森严的博物馆通风管道快速往前爬行，透过铁栅栏，看到下方走廊一双巡逻保安的黑色皮鞋缓缓走过。
【分镜 2】小偷用手推开栅栏，视角猛地向下一跳，稳稳落在大理石地面上。正前方的防盗玻璃柜里锁着一颗巨大的红色宝石，视角猫着腰快速靠近，用手里的激光切割器啪地一下切开玻璃，一把抓起红宝石。
【分镜 3】博物馆的警报红灯瞬间疯狂闪烁。视角剧烈一晃，推开一扇安全通道的大门钻了出去，来到了下着暴雨的室外高空天台，顺着陡峭的钢架在狂风中拼命往边缘奔跑，面对前方赶来拦截的警察，视角在天台边缘纵身一跃跳向夜空。
【分镜 4】视角在半空中划过一道漫长的坠落抛物线，两边的城市霓虹灯光飞速倒退。紧接着“嘭”的一声巨响，视角稳稳地落在了下方正在疾驰的黑色货车车厢软蓬上，软蓬被砸得深深凹陷下去又弹起。
【分镜 5】视角慢慢抬起，看向开向远方的漆黑夜空。那颗巨大的红宝石正被紧紧握在手里，在夜色中反射着后方警车追来的红光，货车越开越快，逐渐甩掉了警车。</t>
  </si>
  <si>
    <t>Q0093</t>
  </si>
  <si>
    <t>Dolly push-pull shooting a spinning gyroscope. Shallow depth of field bearing close-up. Overhead mechanical panorama. Lateral tracking with gear bokeh.</t>
  </si>
  <si>
    <t>Q0094</t>
  </si>
  <si>
    <t>Shot 1 (Extreme Close-Up):
In a silent, pitch-black frame, a beam of icy ultraviolet probe laser suddenly pierces down. The scene opens with a millimeter-scale extreme close-up, focusing strictly on a single grain of red Martian sand.
Shot 2 (Microscopic Push-in):
Defying conventions, the camera pushes in like a microscope, plunging infinitely deeper beyond what the naked eye can see. The rocky texture on the sand's surface begins to magnify endlessly, looming like a vast earthbound grand canyon before our eyes.
Shot 3 (Panning / Tracking Sweep):
The microscopic lens glides smoothly across the coarse surface of mineral crystals, reflecting metallic shades of dark red and ethereal blue. The dried-up iron oxide crystals wedged in the crevices resemble bone-dry ancient riverbeds.
Shot 4 (Rack Focus):
The camera holds its position, rapidly shifting focus through an extremely shallow depth of field. Shifting away from the blurred tip of the surface dust, it suddenly locks onto an unknown mineral particle glimmering with an eerie, faint glow deep within.
Shot 5 (Action Capture):
A micro-airburst from the probe's mechanical arm blows across. Under the close-up lens, a few specks of Martian dust—tens of thousands of times finer than flour—hover weightlessly in the vacuum, rotating slowly like a miniature red nebula in deep space.
Shot 6 (Smooth Pull-out):
The camera begins to pull back steadily as the field of view expands. The canyon-like textures converge once more, transforming back into minerals, and finally into rock.
Shot 7 (Wide Shot Freeze-Frame):
The camera pulls all the way back to reveal a full wide shot of the probe's base. That seemingly ordinary grain of red sand rests quietly on a metallic stage, framed against the desolate, silent, and endless orange-red Martian desert stretching beyond the rover's wheels.</t>
  </si>
  <si>
    <t>Q0095</t>
  </si>
  <si>
    <t>A red car drives out of a small town. It then enters a winding mountain road, weaving through dense forests. Next, it reaches a highway and accelerates smoothly forward. The car then enters a busy city street, briefly stopping at a traffic light. When the light turns green, it continues its journey, crossing a long sea bridge. It then arrives at a port and slowly drives onto a roll-on/roll-off (Ro-Ro) cargo ship. After the ship reaches another city, the car drives off the vessel and continues toward the horizon, heading into the sunset.</t>
  </si>
  <si>
    <t>Q0096</t>
  </si>
  <si>
    <t>下着大雨的十字路口车来车往。第一个镜头从人行道角度拍车辆经过时溅起的大片水花。第二个镜头对准一辆公交车缓缓进站，车门打开有乘客撑伞下车。第三个镜头拍红绿灯变换，一群打伞的人开始过马路。第四个镜头是一辆外卖电动车快速穿过车流，雨水从骑手头盔上不断滑落</t>
  </si>
  <si>
    <t>Q0097</t>
  </si>
  <si>
    <t>厨房台面上放着一碗刚煮好的拉面冒着热气。第一个镜头从侧面拍汤面金黄透亮上面飘着葱花和海苔。第二个镜头换到正上方俯拍，能看到面条和溏心蛋。第三个镜头拍筷子夹起面条拉得很长还在滴汤汁。第四个镜头是一个人开始大口吃面，碗里冒出更多热气</t>
  </si>
  <si>
    <t>Q0098</t>
  </si>
  <si>
    <t>采用微距拍摄，在一间自然光充足的木工工作台上记录一把手工日本折刀从毛坯到成品的打磨过程。第一个镜头以俯拍广角展现工作台全貌——砂纸、磨石、矿物油瓶和半成品刀胚整齐排列，侧窗自然光在金属表面形成反光。第二个镜头切为侧面中景，匠人手持刀胚在1000目水磨石上反复推拉，水膜在钢面上形成乳白色浆液。第三个镜头以45度角微距特写捕捉刀刃与磨石接触面的摩擦细节——金属碎屑混入水中呈现灰黑色纹路，刃口的打磨线从粗糙逐渐变为镜面平行纹。第四个镜头切到正面平视角度，匠人将刀胚换至3000目精磨石，慢动作呈现每一次推磨时钢面光泽从亚光渐变为半镜面的过程。第五个镜头为顶部垂直俯拍，一滴矿物油从瓶口落至刀面并缓慢铺展开来，油膜使钢材的大马士革锻纹瞬间显现——层叠的明暗纹理如同水墨山峦。第六个镜头以超微距拍摄刀刃最终锋利度测试——一根悬空的发丝轻触刃口即被无声切断，焦平面精确锁定在刃口0.3mm范围内。第七个镜头缓慢拉远至中景收尾，成品折刀立在黑色绒布上，刀身反射出窗外树影的倒像，背景为柔焦的工具墙和散落的木屑。</t>
  </si>
  <si>
    <t>Q0099</t>
  </si>
  <si>
    <t>Professional BBC Earth style multi-camera broadcast. Shot 1: Telephoto 600mm close-up focusing on a snow leopard’s dilated pupils amidst a blizzard. Shot 2: Instant matching-cut to a high-speed 120fps FPV drone sweep, tracking the leopard mid-air as it launches across a 20-foot canyon. Perfect muscle deformation, lifelike fur physics, crisp volumetric snow particles.</t>
  </si>
  <si>
    <t>Q0100</t>
  </si>
  <si>
    <t>镜头从作家笔尖的特写开始，缓慢拉远至书房全景。书稿文字化为三维冒险游戏景观，铠甲角色在书桌上跃动。画面通过后退镜头展示书房与动态游戏场景的完美重叠，呈现文学与游戏的宏大交汇。</t>
  </si>
  <si>
    <t>Q0101</t>
  </si>
  <si>
    <t>[Shot 1 - Macro Close-Up to Smooth Crane Down]
The scene opens with a macro close-up of a few crystal-clear snowflakes gently drifting downward. The camera glides softly and smoothly into a downward dive, gradually revealing a group of children in colorful knit caps. On the snow, they cheerfully work together to build a round, chubby snowman, while nearby, a lively snowball fight unfolds, with powdery snow spraying clearly into the air.
[Shot 2 - Medium Shot / Center Focus]
At the center of the frame, a roaring orange-red bonfire crackles, sending bright sparks flying into the deep blue night sky. Surrounding the fire, adults rhythmically beat leather drums, their bodies swaying gently to the cadence. The vivid firelight dances across their faces, illuminating their warm, ruddy complexions.
[Shot 3 - Smooth Zoom Out / High-Contrast Wide Shot]
The camera pulls back steadily into a sweeping panorama. The entire village is nestled in the striking contrast between the cool blue snowscape and the warm glow of the bonfire, conveying a sense of profound stillness and peace.</t>
  </si>
  <si>
    <t>Q0102</t>
  </si>
  <si>
    <t>深入蜂巢内部的视角。无数完美的六边形蜂蜡巢房紧密排列。一只工蜂爬过巢房表面，用前足将蜂蜡碎屑推入缝隙。镜头跟随它移动到一个充满金黄蜂蜜的巢房前，蜂蜜表面有气泡缓缓上升破裂。另一只工蜂从旁边的巢房中探出头来，触角与第一只蜂短暂接触后，两只蜂各自离开。镜头后拉，展现大片巢房中蜂蜜、蜂蛹和花粉的分区。</t>
  </si>
  <si>
    <t>Q0103</t>
  </si>
  <si>
    <t>拳击馆内，两名亚洲拳击手在擂台上激烈对攻，裁判在一旁紧盯。画面左侧拳手连出三记刺拳逼近，右侧拳手后仰躲过后反击一记右勾拳，击中对方面部，汗水和护齿飞出。被击中者踉跄后退撞上围绳反弹回来，顺势抱住对手进入缠斗。裁判上前分开两人。镜头切到场边，教练拍打围绳大声指导，旁边的拳击队员集体起身呐喊。切回擂台，左侧拳手组合拳爆发，上勾拳命中下巴，右侧拳手双腿发软单膝跪地，裁判开始读秒。</t>
  </si>
  <si>
    <t>Q0104</t>
  </si>
  <si>
    <t>水下峡谷中，缕缕阳光穿透水面。一头鲸鱼在珊瑚峭壁间轻柔游弋。镜头以俯拍水面波动的阳光开场，缓慢下摇，从阴影中浮现鲸鱼庞大的身躯。当它完全游入视野时，它似乎被前方吸引。此时，一群色彩鲜艳的热带鱼正从珊瑚礁缝隙中涌出，它们并未惊慌，而是好奇地环绕在鲸鱼巨大的身躯周围。鲸鱼与鱼群和谐共舞。展现环境的浩瀚尺度。最后一秒，鲸鱼微微转身，鱼群随之散开又聚拢，阳光在它们身上折射出耀眼的光芒。氛围神秘、壮丽且充满生机。</t>
  </si>
  <si>
    <t>Q0105</t>
  </si>
  <si>
    <t>采用中景侧位，捕捉四名中国女孩在阳光灿烂的草坪上玩"编花篮"游戏，各自把左腿叠在一起围成圈。切至脚部特写，四双鞋交错叠放，裙摆在风中轻摆。切回全景，她们笑着开始单脚跳动。</t>
  </si>
  <si>
    <t>Q0106</t>
  </si>
  <si>
    <t>广角镜头从雨林边缘低空切入，掠过参天古树盘根错节的根部后缓慢上升，穿过第一层树冠。途中一群鸟受惊从枝头腾飞，镜头短暂侧倾追踪鸟群方向。一只巨嘴鸟落在枝头，抖动羽毛。镜头继续上升穿过第二层树冠，一条绿色树蛇沿枝干滑行消失在叶丛中。拉高至鸟瞰视角，展现层叠的绿色树冠与蜿蜒林间溪流。突然一阵暴雨倾泻而下，雨滴击打树叶溅出白雾，溪流水位迅速上涨，冲刷岸边泥土卷走落叶。镜头在雨幕中缓缓后退，雨林全貌在水雾中若隐若现。</t>
  </si>
  <si>
    <t>Q0107</t>
  </si>
  <si>
    <t>2D animation style. Inside a kindergarten classroom, a teacher holds a picture book and reads aloud, turning a page to display a giant dragon illustration. The camera pushes in from a panoramic view of the classroom to a close-up of the children's faces, their expressions shifting from curiosity to surprise. A boy raises his hand to ask a question, and the teacher bends down to answer while turning to the next page. Another girl suddenly stands up, imitating the dragon from the picture book by waving her arms and baring her teeth, causing the children around her to burst into laughter, with one sliding off their chair. The teacher claps to signal silence, walks over to an easel, picks up colored markers, and begins sketching the outline of a dragon. Three children crowd around, eager to help color, and paint gets smudged onto one child's face. The camera pulls back to a panoramic view of the classroom,</t>
  </si>
  <si>
    <t>Q0108</t>
  </si>
  <si>
    <t>Fisheye lens, low-angle close-up. A group of Caucasian men and women are gathered around a circular hole in a white wall, looking down with expressions of surprise and curiosity. A blond man in black holds a brown paper bag, opens it, and pulls out a glowing object that illuminates all their faces in blue light. Gasps ripple through the group. A woman reaches in to touch it but pulls back. The man tips the bag and small luminous spheres spill out, bouncing across the floor. Several people scramble to catch them. One sphere rolls directly toward the camera lens. Cut to reverse angle from inside the hole looking up at the group, their silhouettes framed against the ceiling lights.</t>
  </si>
  <si>
    <t>Q0109</t>
  </si>
  <si>
    <t>A cinematic reverse dolly shot gliding through the interior of a Tesla gigafactory. Rows of sophisticated robotic arms are seen methodically
assembling car chassis on a slow-moving production line. The environment
features bright, clinical lighting, polished metallic surfaces, and a vast,
organized industrial layout that stretches deep into the background as the
camera pulls back smoothly.</t>
  </si>
  <si>
    <t>Q0110</t>
  </si>
  <si>
    <t>Macro shot of a rock covered in thick moss. The camera slowly tracks across the surface. A beetle emerges from between the moss leaves and crawls over the rocky terrain. Morning dewdrops cling to the moss tips; as the beetle brushes past a stem, a droplet detaches and rolls down the rock face. The camera follows the droplet into a crevice where tiny fungi glow faintly in the shadow. A snail's trail of slime glistens across the rock surface, and the snail itself comes into view at the edge of frame, its tentacles probing the moss.</t>
  </si>
  <si>
    <t>Q0111</t>
  </si>
  <si>
    <t>A focused female engineer in her mid-30s, wearing professional attire, meticulously adjusts the control dial on a sleek industrial 3D printer. The scene is set in a modern, clean-tech laboratory where a soft blue light from the machine's interface illuminates her hands and steady gaze, capturing the micro-movements of her fingers as she fine-tunes the settings.</t>
  </si>
  <si>
    <t>Q0112</t>
  </si>
  <si>
    <t>Against the backdrop of the vast African savanna, a cheetah spots a gazelle and crouches low in the tall grass. It explodes into a sprint. Cut to the gazelle's side as it leaps and zigzags desperately. Cut back to the cheetah closing the gap, muscles rippling. The camera tracks alongside the chase at ground level.</t>
  </si>
  <si>
    <t>Q0113</t>
  </si>
  <si>
    <t>A high-angle camera slowly orbits a group of architects and designers gathered around a modern illuminated digital table, engaged in passionate discussion. Suddenly, they burst into laughter and begin applauding one another enthusiastically.</t>
  </si>
  <si>
    <t>Q0114</t>
  </si>
  <si>
    <t>A cinematic drone shot slowly gliding over a vast Antarctic ice shelf, revealing the intricate patterns of deep blue crevasses. Cut to a ground-level shot of a research team walking across the ice, their breath visible in the freezing air. Cut back to aerial view showing the immense frozen horizon under a clear, cold sky.</t>
  </si>
  <si>
    <t>Q0115</t>
  </si>
  <si>
    <t>A wide-angle cinematic shot from a low-angle perspective looking up at a mysterious masked figure floating at the center of an ancient stone circle. Under the moonlight, intricate runes glow on the cloak. The figure slowly raises both arms, and the runes pulse brighter. The camera orbits around the circle.</t>
  </si>
  <si>
    <t>Q0116</t>
  </si>
  <si>
    <t>中景，平视机位，人物居中构图，一名22岁亚洲年轻女性坐在午后窗边浏览手机，柔和自然侧光透过纱帘洒在脸上，镜头缓慢向前推进。她看到一条消息后嘴角轻轻扬起，眼神逐渐柔和，露出克制而真实的微笑。
面部特写，镜头继续缓慢推近，背景自然虚化，她缓缓放下手机，笑容一点点收敛，眼眶逐渐湿润，鼻尖轻微泛红，呼吸略微加深，眼里泛起泪光，努力控制情绪。
近景，镜头稳定停留，她轻轻擦去滑落的一滴眼泪，重新望向窗外，嘴角再次扬起，露出温暖而释然的微笑，午后阳光勾勒人物轮廓，整体呈现电影级摄影质感，真实微表情，细腻皮肤纹理，自然色彩，浅景深，无AI生成痕迹。</t>
  </si>
  <si>
    <t>Q0117</t>
  </si>
  <si>
    <t>A young Asian woman sitting by a window, looking at a notification popping up on her phone, going from happy to moved to tears.</t>
  </si>
  <si>
    <t>Q0118</t>
  </si>
  <si>
    <t>Medium shot, eye-level angle, symmetrical composition. A 42-year-old Caucasian middle-aged male is sitting in a modern office reading documents. The space is evenly illuminated by cool natural window light and overhead office lights. The camera is steady, following the subject and slowly zooming in. He looks focused, gradually frowning as he reads, naturally leaning forward, his right hand slowly clenching the document, his shoulders tightening, and his breathing becoming heavier.
Medium close-up, the camera continues to advance, the background gradually blurring. He finds critical information in the document, his jaw tensing.
Close-up of eyes, his gaze becomes sharp, his body weight continues to shift forward, his fist tightens, and his entire being enters a state of tension before an emotional outburst.
Medium shot, the camera follows the character's movement. He suddenly stands up, slamming the document onto the desk. Arms, shoulders, and back collaborate to apply force, his body quickly leaning forward. The hem of his suit swings naturally with the movement, and the documents on the desk vibrate slightly. The motion is continuous and powerful.
Close-up, the camera slowly steadies. He closes his eyes, takes a deep breath, slowly unclinches his fist, tidies up the scattered documents, and sits back down. His shoulders gradually relax, his expression regaining control and calm. Ultra-realistic cinematic cinematography, authentic human dynamics, realistic fabric physics simulation, natural lighting and shadows, cinematic depth of field.</t>
  </si>
  <si>
    <t>Q0119</t>
  </si>
  <si>
    <t>A foreign man in his 40s is sitting in an office reading documents. Initially calm, he becomes increasingly angry as he reads—his body gradually leaning forward and his grip on the papers tightening. Suddenly, he stands up and slams the documents heavily onto the desk. A moment later, he takes a deep breath, slowly calms himself down, tidies the papers on the desk, and sits back down. The entire sequence of movements looks authentic and natural, completely free of any trace of performance.</t>
  </si>
  <si>
    <t>Q0120</t>
  </si>
  <si>
    <t>中景，平视机位，人物偏右构图，一位82岁东亚老人独自坐在窗边翻阅一本泛黄的老相册，午后暖阳照亮木质桌面，空气中细小灰尘缓缓漂浮，镜头缓慢推进。他动作轻柔缓慢，始终安静地凝视着照片。
手部特写，镜头缓缓靠近老人双手，指尖轻轻抚摸照片，手背布满皱纹、老人斑和凸起的静脉，皮肤松弛，指尖微微颤抖，每一个细微动作都符合真实高龄老人的生理特征。
面部特写，镜头持续缓慢推进，焦点锁定双眼，老人眼眶逐渐湿润，嘴唇轻轻颤抖，法令纹和眼角皱纹随着情绪自然变化，一滴眼泪缓缓滑过脸颊，情绪克制而真实。
近景，镜头缓缓后移，他轻轻合上相册，望向窗外露出温暖而释然的微笑，肩膀自然放松，阳光勾勒人物轮廓。超写实电影摄影，真实皮肤纹理、毛孔、皱纹与老人斑细节，浅景深，自然暖光，电影胶片质感。</t>
  </si>
  <si>
    <t>Q0121</t>
  </si>
  <si>
    <t>An elderly man over eighty years old sits at a wooden table in his home, slowly opening a very old photo album and looking at the old photos inside. The camera zooms in on his hands, revealing wrinkles, age spots, and blood vessels. He silently continues to look at the photos, his eyes gradually welling up with tears that gently stream down, without making a sound. Finally, he softly closes the photo album, looks up out the window, and breaks into a gentle and relieved smile; the entire scene resembles a documentary, not studio shot.</t>
  </si>
  <si>
    <t>Q0122</t>
  </si>
  <si>
    <t>中景，平视机位，三分法构图，一名27岁拉丁裔年轻女性穿着深灰色风衣独自走在雨后的城市街道，夜晚霓虹与暖黄色路灯交织，潮湿地面倒映着城市灯光，发丝和衣摆被微风轻轻吹动，电影级超写实摄影质感，真实皮肤纹理，HDR，高动态范围。镜头稳定跟拍，她一边向前走一边接起电话，嘴角自然扬起，眼神轻松，步伐轻快，肢体放松，流露出愉悦的情绪。
中近景，镜头缓慢推进至胸像，保持平视机位，背景逐渐虚化，电话中的内容让她慢慢停下脚步，笑容一点点消失，眉头轻轻皱起，眼神逐渐失焦，身体开始僵住，握着手机的手缓缓收紧，肩膀轻微绷紧，呼吸明显变重，情绪自然过渡到震惊。
面部特写，镜头继续缓慢推近，浅景深构图，焦点始终锁定双眼，霓虹灯在瞳孔中形成真实倒影，眼眶迅速湿润，鼻尖微微泛红，嘴唇轻轻颤抖，下颌肌肉轻微抽动，她努力控制自己的情绪，一滴眼泪缓缓滑过脸颊，整个过程克制真实，没有夸张表演，真实展现细腻微表情变化。
中景，低机位轻微跟拍，她轻轻挂断电话，用手背擦去眼泪，深吸一口气，肩膀慢慢放松，重新迈开脚步向前走，眼神逐渐恢复坚定，雨后的街道反射着霓虹光影，镜头缓缓拉远，人物逐渐融入城市夜色。整体采用电影级摄影风格，超写实画面，真实人体动力学，真实布料物理模拟，真实环境光照与镜头光学表现，35mm电影镜头，浅景深，自然色彩，无AI生成痕迹。</t>
  </si>
  <si>
    <t>Q0123</t>
  </si>
  <si>
    <t>一个二十多岁的外国女生晚上走在雨后的街道上，接起电话后本来很开心，后来听到电话里的内容慢慢停下脚步，笑容消失，眼眶变红，忍着眼泪没有哭出来。最后她擦掉眼泪，重新往前走，眼神变得坚定，镜头慢慢跟着她，整个画面很有电影感，真实自然。</t>
  </si>
  <si>
    <t>Q0124</t>
  </si>
  <si>
    <t>特写，纯白无影棚环境，一副极简设计的白色无线耳机静置于画面中央，俯视机位，居中构图，柔和顶光与轮廓光勾勒流畅曲面，镜头缓慢推进，耳机缓缓悬浮并匀速旋转，哑光外壳与金属边缘呈现真实反射和细腻材质，整体画面极简纯净。
超近景，镜头环绕耳机缓慢移动，背景完全虚化，依次掠过金属边框、扬声器开孔、磨砂纹理与接缝细节，光线随着镜头移动自然流转，真实展现工业设计、材质质感和精密工艺。
中近景，低机位轻微环绕，充电仓缓缓开启，两只耳机精准悬浮对位后自然吸附进入充电仓，开合动作流畅稳定，机械结构富有节奏感，镜头同步跟随运动，突出科技产品的精密感与未来感。
特写，镜头缓缓拉远，产品稳定停留于纯白空间中央，大面积留白营造高级视觉氛围，Apple Logo 自然淡入画面，整体采用 Apple 产品广告风格，超写实CG，电影级商业摄影，真实材质渲染，高动态范围光照，自然反射，极简主义美学，8K画质。</t>
  </si>
  <si>
    <t>Q0125</t>
  </si>
  <si>
    <t>一个白色无线耳机放在纯白背景上，镜头慢慢靠近，耳机缓缓转动，可以清楚看到表面的材质和细节。然后充电盒自动打开，耳机慢慢放进去，动作很流畅，最后镜头拉远，Apple Logo 出现在画面里，整体干净高级，很像苹果产品广告。</t>
  </si>
  <si>
    <t>Q0126</t>
  </si>
  <si>
    <t>全景，航拍机位跟随，一名23岁亚洲年轻女性迎着清晨阳光奔跑在城市公园步道，黄金时刻的暖色阳光穿过树梢洒落地面，长焦压缩空间，人物始终位于画面黄金分割位置，步伐轻快有力，空气中的尘埃与逆光共同营造充满生命力的晨跑氛围。
中景，稳定跟拍逐渐推进，她放慢脚步停下来，大口呼吸，汗水顺着额头和脸颊自然滑落，胸口随着呼吸轻微起伏，背景轻微虚化，真实展现运动后的疲惫状态和身体细节。
特写，镜头快速切换至手部与产品，她打开一瓶 Coca-Cola 运动饮料，瓶盖开启瞬间气泡快速翻涌，冰凉水珠顺着瓶身滑落，她举起饮料自然饮用，液体流动、冷凝水和气泡细节真实细腻，产品成为视觉中心。
中景，镜头重新跟拍，她露出轻松自信的笑容，重新迈开脚步向前奔跑，阳光洒在人物和产品上，镜头缓缓拉远，Nike Swoosh 与 Coca-Cola Logo 自然出现在画面结尾。整体采用 Nike 品牌广告的运动影像风格结合 Coca-Cola 品牌广告的情绪表达，电影级商业摄影，自然光影，真实人物状态，高级品牌视觉，超写实画质。</t>
  </si>
  <si>
    <t>Q0127</t>
  </si>
  <si>
    <t>A young woman running in a park in the morning, the camera continuously following her, the sunshine hitting her body looking very dynamic. After getting tired from running, she stops to rest, takes out a bottle of Coca-Cola sports drink, opens it, and takes a sip, appearing very comfortable. Finally, she continues to run forward as the camera slowly pulls away, the image revealing the Nike and Coca-Cola logos, like a brand advertisement.</t>
  </si>
  <si>
    <t>Q0128</t>
  </si>
  <si>
    <t>全景，航拍缓慢推进，一只成年雪豹站立在高海拔雪山岩石顶端，晨曦穿过云层洒向雪地，冷暖交织的自然光勾勒身体轮廓，主体位于画面黄金分割位置，远处雪峰与峡谷形成壮阔背景，寒风卷起细小雪粒掠过岩石，整体呈现真实野外环境。
中景，镜头缓慢靠近并轻微环绕，雪豹缓缓转头观察四周，耳朵轻轻转动，胡须微微颤动，厚实的毛发随着寒风自然起伏，长尾缓慢摆动保持平衡，身体肌肉隐藏在浓密毛发下若隐若现。
面部特写，镜头继续推进，焦点锁定双眼，黄色瞳孔映射雪山环境，鼻尖湿润，轻轻眨眼后缓缓呼出一团白色哈气，面部细小绒毛和胡须清晰可见，每一根毛发都具有真实层次和光泽。
中景，镜头稳定跟随，雪豹缓缓迈步离开岩石，厚重毛发随着步伐产生自然摆动，尾巴保持身体平衡，雪地留下连续脚印，空气中的雪粒不断飘落。整体采用 BBC Earth 与 National Geographic 野生动物纪录片风格，超写实摄影，真实毛发物理模拟，自然环境光，HDR，电影级景深，8K画质。</t>
  </si>
  <si>
    <t>Q0129</t>
  </si>
  <si>
    <t>A snow leopard standing on a large rock in a snowy mountain, the camera slowly advancing. It turns its head to look into the distance as the wind gently sways its fur. The camera captures its face, clearly showing details of its eyes, whiskers, and fur. Finally, it slowly steps down off the rock with its tail swaying naturally, the entire scene feeling as realistic as a BBC documentary.</t>
  </si>
  <si>
    <t>Q0130</t>
  </si>
  <si>
    <t>全景，低空无人机高速跟拍，一只成年猎豹在非洲草原发现前方的汤姆森瞪羚，黄金时刻的阳光洒满草原，主体位于画面中央，广阔草原与稀疏金合欢树不断向后掠过，镜头随着猎豹迅速加速，画面充满速度与空间纵深。
中景，低机位并行高速跟拍，猎豹全力冲刺，身体不断伸展与收缩，四肢交替发力，背部脊柱自然弯曲，肩部与后腿肌肉剧烈起伏，尾巴持续摆动维持高速平衡，脚掌落地扬起大量尘土和草屑，动作符合真实猎豹运动规律。
近景，镜头继续跟随，瞪羚突然高速转向，猎豹迅速压低身体重心完成急转弯，前爪牢牢抓住地面，尾巴快速甩动修正方向，肌肉瞬间爆发，尘土四散飞扬，整个动作连贯流畅，没有任何迟滞。
全景，航拍镜头缓缓拉远，猎豹持续高速追逐瞪羚，两只动物快速穿越广阔草原，夕阳将长长的影子投射在地面。整体采用《Planet Earth》纪录片摄影风格，真实动物动力学，真实高速运动模糊，电影级景深，自然光影，超写实8K画质。</t>
  </si>
  <si>
    <t>Q0131</t>
  </si>
  <si>
    <t>一只猎豹在非洲草原发现前面的羚羊，马上开始高速追赶，镜头一直跟着它奔跑，可以看到四条腿、尾巴和身体配合得特别自然。羚羊突然转弯，猎豹也马上跟着急转弯，最后两只动物一直跑向远方，整个画面很像纪录片。</t>
  </si>
  <si>
    <t>Q0132</t>
  </si>
  <si>
    <t>全景，俯视机位，对称构图，一张黑色磨砂桌面上整齐排列着数百块白色多米诺骨牌，尽头放置一颗金属钢球，顶部柔和聚光灯照亮整个场景，镜头缓慢向前推进，画面简洁纯净，真实商业摄影质感。
中景，镜头低机位跟随，第一块骨牌被轻轻推倒，骨牌依次连续碰撞，倒塌节奏均匀稳定，碰撞瞬间产生真实惯性与连锁反应，每块骨牌的翻转角度、速度和落点符合真实物理规律。
近景，镜头快速跟随最后一排骨牌，最后一块骨牌精准撞击金属钢球，钢球开始向前滚动，加速度自然变化，真实金属反光随着滚动不断变化，桌面产生细微震动反馈。
特写，镜头锁定钢球，钢球撞击另一组金属方块，方块依次倒下并最终稳定停止，整个过程运动轨迹连续流畅，碰撞反馈真实，没有穿模和抖动。整体采用超写实商业产品摄影风格，真实刚体动力学，真实碰撞模拟，HDR，电影级光影，8K画质。</t>
  </si>
  <si>
    <t>Q0133</t>
  </si>
  <si>
    <t>全景，平视机位，居中构图，一块巨大的红色丝绸悬挂在纯黑摄影棚中央，柔和侧逆光勾勒布料轮廓，镜头缓慢推进，空气中微风轻轻吹拂，整体画面安静纯净。
中景，镜头轻微环绕，丝绸缓缓飘起，布料自然形成连续褶皱，边缘随风轻轻摆动，布面产生柔和起伏，重力、风力与张力共同作用，运动节奏自然真实。
近景，镜头继续推进，聚焦布料细节，丝绸不断翻转飘扬，光线随着褶皱变化产生丰富明暗层次，布料边缘轻轻抖动，纤维纹理清晰可见，运动连续稳定，没有任何穿插和僵硬。
全景，镜头缓缓拉远，丝绸最终缓缓落回地面，褶皱自然堆叠，整体运动柔顺流畅。采用高端商业摄影风格，超写实布料模拟，真实柔体动力学，真实风场模拟，电影级布光，HDR，8K画质。</t>
  </si>
  <si>
    <t>Q0134</t>
  </si>
  <si>
    <t>全景，俯视机位，居中构图，一颗鲜红色草莓静置于纯黑背景中央，高速摄影棚灯光均匀照亮主体，一股牛奶从画面上方垂直落下，镜头缓慢推进，空气中漂浮细微液滴，整体呈现极简商业广告风格。
中景，镜头高速跟拍，牛奶高速撞击草莓表面，液体瞬间产生皇冠状飞溅，大量液滴向四周扩散，液面形成真实波纹与拉丝，液滴大小、速度和轨迹符合真实流体动力学。
超近景，高速微距摄影，镜头锁定飞溅液滴，牛奶包裹草莓表面缓缓流淌，液体之间不断融合、拉伸、断裂，表面张力、粘性和重力共同作用，每一滴液体都保持真实形态和连续运动。
全景，镜头缓缓拉远，牛奶逐渐停止流动，草莓表面覆盖均匀奶液，桌面残留自然飞溅痕迹，整个画面定格于广告级视觉效果。采用高速商业广告摄影风格，超写实流体模拟，真实液体动力学，真实折射与反射，HDR，电影级光影，8K画质。</t>
  </si>
  <si>
    <t>Q0135</t>
  </si>
  <si>
    <t>A strawberry set against a black background, the camera slowly advancing as a stream of milk pours down from above, splashing upon impact with the strawberry, slowly flowing over its surface, and finally coming to a rest.</t>
  </si>
  <si>
    <t>Q0136</t>
  </si>
  <si>
    <t>全景，稳定器跟拍机位，一名年轻滑板少年在城市街道高速滑行，镜头始终锁定人物保持稳定跟随，人物始终位于画面三分线附近，背景建筑、车辆和行人不断向后掠过。少年连续完成加速、转弯、下台阶和跳跃动作，镜头同步调整距离与高度，始终保持主体清晰稳定。
中景，镜头贴近人物侧后方跟随，滑板高速穿过狭窄街巷，
脸部特写，人物快速绕过路障，表情自信
近景，镜头继续跟拍，少年完成一次高难度腾空动作后平稳落地，身体重心自然调整，滑板持续向前滑行，
中景，镜头保持稳定跟随，人物始终清晰可见。城市运动摄影风格，超写实画面，自然光照，真实运动模糊，HDR，电影级摄影质感。</t>
  </si>
  <si>
    <t>Q0137</t>
  </si>
  <si>
    <t>Handheld camera style with slight shaking, the camera continuously follows a boy riding a skateboard as he slides forward, constantly accelerating, turning, jumping up, and continuing to slide forward; the subject stays consistently in the frame while the background continuously moves backward, with stable tracking shot motion.</t>
  </si>
  <si>
    <t>Q0138</t>
  </si>
  <si>
    <t>超广角全景，第一人称FPV机位，镜头以极高速穿越茂密森林，连续避开树干、岩石和低垂树枝，随后冲出树林掠过湖面，贴近水面高速飞行，水花与倒影快速向后掠过，镜头持续加速进入峡谷，连续穿越狭窄岩缝与天然石桥，最后飞跃瀑布顶部冲向远方雪山，全程一镜到底，无剪辑，高速运动模糊，真实惯性，电影摄影质感，HDR，自然光照，超写实画面。</t>
  </si>
  <si>
    <t>Q0139</t>
  </si>
  <si>
    <t>一镜到底第一人称fpv视角高速飞过森林，穿梭树和石头之间，然后飞到湖面上贴着水飞，再冲进峡谷穿梭，最后飞过瀑布一直冲向远处的雪山，全程不要切镜头，速度很快。</t>
  </si>
  <si>
    <t>Q0140</t>
  </si>
  <si>
    <t>全景，无人机高空俯拍，一座海边悬崖灯塔矗立在海岸线上，镜头缓缓下降接近平视灯塔，同时持续向前推进，穿过灯塔窗里的内部继续飞向悬崖边缘，再快速拉远升高，完整展现海岸线、海浪和远方日落，整个过程连续完成升降、推进、穿越、拉远等复合镜头运动，空间透视变化自然，运动节奏流畅，航拍电影摄影质感，HDR，自然光照，超写实画面。</t>
  </si>
  <si>
    <t>Q0141</t>
  </si>
  <si>
    <t>全景，稳定器移动机位，热闹的夜市街道人来人往，镜头首先跟随一名年轻男子穿过人群，随后自然转向正在制作小吃的摊主，再移动到正在拍照的一对情侣，镜头往右摇最后跟随一名奔跑的小孩穿过街道来到广场中央，整个过程中镜头连续切换关注主体，景别自然变化，前后景关系清晰，空间衔接稳定，人物比例一致，夜景商业摄影质感，真实灯光与环境氛围。</t>
  </si>
  <si>
    <t>Q0142</t>
  </si>
  <si>
    <t>镜头一直在夜市穿梭移动，先拍一个年轻人，再拍做小吃的人，然后拍一对情侣，最后跟着一个小朋友跑到广场，整个过程很流畅，不要突然跳镜头。</t>
  </si>
  <si>
    <t>Q0143</t>
  </si>
  <si>
    <t>中景，平视机位，三分法构图，一名40岁欧洲男性坐在深色木质书房内，单盏暖色主光从人物左前方约45度照射，照射出伦勃朗光，镜头缓慢推进。光线在远侧脸颊形成清晰的倒三角受光区域，额头、鼻梁和颧骨层次自然，阴影过渡柔和，人物神情沉稳克制。
面部特写，镜头继续推进，焦点锁定双眼，经典伦勃朗三角光完整呈现，眼神光自然，皮肤纹理、胡须和毛孔细节清晰，鼻梁投影与面部阴影保持真实连续，五官立体感突出。
近景，镜头轻微环绕人物，光位保持稳定，脸部光影关系始终一致，背景暖色书架轻微虚化。电影摄影质感，伦勃朗布光，真实体积光，HDR，高动态范围，超写实画面。</t>
  </si>
  <si>
    <t>Q0144</t>
  </si>
  <si>
    <t>一个中年男人坐在书房里，一盏灯从侧前方照在脸上，镜头慢推进，可以看到一边脸比较亮，另一边有自然阴影，脸上立体感，电影摄影质感。</t>
  </si>
  <si>
    <t>Q0145</t>
  </si>
  <si>
    <t>Medium shot, a 25-year-old Asian young woman stands inside an industrial-style photo studio, soft side light shining from the right side of the character, the camera slowly advancing. The side of the skin receiving light is bright and delicate, while the side in the shadow retains natural shadows, and the light forms a gradual transition along the bridge of the nose, cheeks, and jawline, making the facial contours three-dimensional and clear.
Close-up shot, the camera continues to advance, the character gently turns her head, the side light naturally slides across the facial features with the changing angle, the catchlight in the eyes is steady, the strands of hair and clothing produce delicate gradients of light and dark, and the skin details are completely preserved without any hard-edged shadows.
Extreme close-up, the camera locks onto the side profile of the character, the background is naturally blurred, the light levels are balanced, the facial structure is clear, and the overall light and shadow are soft and realistic. Cinematographic texture, predominantly side-lit lighting, natural light and shadow transitions, high dynamic range, shallow depth of field, ultra-realistic visual.</t>
  </si>
  <si>
    <t>Q0146</t>
  </si>
  <si>
    <t>A young woman standing in a photo studio with light shining from the side, the camera slowly zooming in, showing one side of her face illuminated and the other side in shadow.</t>
  </si>
  <si>
    <t>Q0147</t>
  </si>
  <si>
    <t>中景，一名25岁亚洲年轻女性站在落地窗前，上午柔和顺光均匀照射面部，皮肤受光自然，阴影柔和，
镜头缓慢推进至近景。她轻轻抬起头望向镜头，缓缓露出自然微笑，发丝随着微风轻轻摆动，眼神清澈放松，肤色过渡自然，高光与暗部层次均衡。
面部特写，镜头继续缓慢推进，焦点锁定双眼，真实皮肤纹理、毛孔、绒毛和嘴唇细节清晰可见，瞳孔自然反射窗外环境光，脸部没有明显硬阴影，整体光照均匀自然。
近景，镜头轻微环绕人物，顺光始终保持稳定，肤色和光比自然过渡，背景柔和虚化。电影摄影质感，自然光照，真实肤质，高动态范围，浅景深，超写实画面。</t>
  </si>
  <si>
    <t>Q0148</t>
  </si>
  <si>
    <t>中景，一名中年男性站在现代美术馆中央，顶部天窗自然光垂直照射，镜头缓慢下降并向前推进。
近景，镜头持续推进，人物缓缓抬头望向上方，顶光在额头、鼻梁和颧骨形成自然高光，眼窝、下颌和颈部形成柔和阴影，面部立体感明显，空间层次丰富。
全景，镜头缓缓拉远，顶光照亮整个空间，建筑线条和人物影子保持一致，整体光线稳定。建筑摄影质感，自然顶光，高动态范围，真实空间光影，超写实画面。</t>
  </si>
  <si>
    <t>Q0149</t>
  </si>
  <si>
    <t>一个男人站在很大的美术馆里，阳光从屋顶照下来，镜头慢慢靠近，男人的脸部特写</t>
  </si>
  <si>
    <t>Q0150</t>
  </si>
  <si>
    <t>中景，一只透明玻璃杯放置于黑色背景中央，镜头缓慢推进，玻璃边缘、厚度和透明度清晰可见，镜头轻微环绕，玻璃产生真实折射和反射，背景透过玻璃发生自然形变，杯壁厚薄变化连续稳定，镜头继续推进至特写，玻璃表面细微反射、折射和透明层次完整呈现。商业静物摄影质感，真实玻璃材质，超写实画面。</t>
  </si>
  <si>
    <t>Q0151</t>
  </si>
  <si>
    <t>一个透明玻璃杯放在桌子上，镜头慢慢靠近，再绕着杯子拍一圈，可以看到玻璃的透明、反光和折射效果，商业静物摄影质感。</t>
  </si>
  <si>
    <t>Q0152</t>
  </si>
  <si>
    <t>Medium shot, a drop of clear water falls into a calm water surface, the camera slowly advancing, continuous ripples form on the water surface, the splashing trajectory of the liquid is stable,
Close-up, the camera continues to advance to high-speed macro, after the water drop impacts, a complete crown splash forms, the droplets continuously stretch, merge, and break, the surface tension, refraction, reflection, and transparency are realistic and natural, finally, the water surface gradually returns to calm. High-speed photographic texture, realistic fluid material, hyper-realistic image.</t>
  </si>
  <si>
    <t>Q0153</t>
  </si>
  <si>
    <t>一滴水掉进水面，镜头慢慢靠近，可以看到水花飞起来，一圈圈波纹散开，最后水面恢复平静，高速摄影质感。</t>
  </si>
  <si>
    <t>Q0154</t>
  </si>
  <si>
    <t>中景，俯视机位，居中构图，一块拉丝不锈钢金属板放置于深色摄影台中央，镜头缓慢推进，金属表面纹理排列均匀，拉丝方向清晰可见，边缘倒角平整，表面真实反射周围环境。近景，镜头轻微环绕金属板移动，镜面反射随着视角连续变化，拉丝纹理、粗糙度和金属光泽保持一致，边缘高光过渡自然，没有闪烁和断层。特写，镜头锁定金属板局部，细微划痕、磨损痕迹、轻微指纹和表面纹理清晰可见，反射、漫反射和材质细节真实稳定。商业产品摄影质感，超写实金属材质，PBR材质，8K画质。</t>
  </si>
  <si>
    <t>Q0155</t>
  </si>
  <si>
    <t>一块拉丝不锈钢金属板放在桌子上，镜头慢慢靠近，再绕着金属板缓缓移动，可以看到金属表面金属质感</t>
  </si>
  <si>
    <t>Q0156</t>
  </si>
  <si>
    <t>全景，平视机位，居中构图，一颗鲜红色苹果静置于木桌边缘，镜头缓慢推进，苹果轻微滚动后脱离桌面，自由下落，运动轨迹连续自然。中景，镜头同步跟随苹果下落，旋转速度逐渐增加，重力加速度变化真实，落地后产生第一次弹跳，随后连续数次弹起，弹跳高度逐渐衰减，最终滚动停止。特写，镜头锁定苹果落地瞬间，果皮轻微形变，木地板产生细微震动反馈，滚动过程中旋转、摩擦和惯性保持一致。超写实摄影，真实重力模拟，真实物理运动，电影摄影质感，8K画质。</t>
  </si>
  <si>
    <t>Q0157</t>
  </si>
  <si>
    <t>一个苹果放在桌子边上，慢慢滚出去掉到地上，落地以后弹了几下，又继续滚了一段距离，最后停下来，整个运动很自然。</t>
  </si>
  <si>
    <t>Q0158</t>
  </si>
  <si>
    <t>全景，俯视机位，对称构图，一颗银色金属球沿轨道高速滚动，镜头缓慢跟随，金属球不断加速，最终精准撞击前方整齐排列的玻璃方块。中景，镜头继续跟随碰撞瞬间，玻璃依次碎裂，大量碎片向四周飞散，不同大小碎块具有不同运动轨迹和旋转速度，碰撞冲击力逐级传递。特写，镜头锁定碎裂区域，玻璃碎片不断反弹、翻滚、滑动，最终逐渐停止，整个碰撞过程符合真实动量传递和物理规律。超写实摄影，真实碰撞模拟，真实碎裂效果，电影摄影质感，8K画质。</t>
  </si>
  <si>
    <t>Q0159</t>
  </si>
  <si>
    <t>一个金属球沿着轨道滚过去，撞到前面的玻璃块，玻璃马上碎开，碎片飞向四周，最后慢慢停下来，整个碰撞过程很真实。</t>
  </si>
  <si>
    <t>Q0160</t>
  </si>
  <si>
    <t>中景，平视机位，居中构图，一根木柴放置于黑色背景中央，镜头缓慢推进，木柴一端被点燃，火焰由小逐渐增大，沿木纹方向自然蔓延。近景，镜头轻微环绕，火焰不断跳动变化，橙黄色火焰包裹木柴表面，木材逐渐碳化变黑，细小火星和余烬随热气流缓缓升起，烟雾自然向上扩散。特写，镜头锁定燃烧细节，火焰形态持续变化，燃烧边缘不断侵蚀木材，灰烬缓缓脱落，整个燃烧过程连续稳定。超写实摄影，真实火焰模拟，真实燃烧过程，电影摄影质感，8K画质</t>
  </si>
  <si>
    <t>Q0161</t>
  </si>
  <si>
    <t>一根木头被点燃，镜头慢慢靠近，火越来越大，沿着木头慢慢燃烧，可以看到火焰不停跳动，还有烟和小火星往上飘，木头慢慢烧黑。</t>
  </si>
  <si>
    <t>Q0162</t>
  </si>
  <si>
    <t>第一段
全景，无人机缓慢飞向一座现代美术馆，建筑外立面、广场、水池和树木布局清晰，镜头持续推进。
第二段
中景，镜头穿过美术馆入口进入大厅，建筑结构、入口方向和室内空间保持对应关系，大厅中央雕塑与第一段位置一致。
第三段
中景，镜头继续进入二层展厅，楼梯方向、窗户朝向、展厅布局符合前一段空间关系，人物和展品位置自然延续。
第四段
全景，镜头来到二层露台俯瞰广场，可以清楚对应第一段外部场景，建筑内外空间关系保持一致，电影建筑摄影质感。</t>
  </si>
  <si>
    <t>Q0163</t>
  </si>
  <si>
    <t>The camera first flies outside an art museum, then enters through the main entrance into the lobby, moves up to the second floor to tour the exhibition hall, and finally reaches the terrace, where a view of the entire building and the plaza outside is revealed.</t>
  </si>
  <si>
    <t>Q0164</t>
  </si>
  <si>
    <t>桌子上放着一本书、一杯咖啡和一副眼镜。有人拿起咖啡喝了一口，然后继续看书，又翻了一页，再喝一口咖啡，最后把书合上放回桌子。</t>
  </si>
  <si>
    <t>Q0165</t>
  </si>
  <si>
    <t>一镜到底
全景，傍晚城市街道，夕阳即将落山，车辆缓慢行驶，行人正常活动，镜头沿街道稳定前进。时间自然推进至日落后，天空颜色逐渐变暗，路灯依次点亮，商铺招牌开始发光，街道布局保持一致。进入夜晚，车流明显增加，建筑灯光全部亮起，街道人群发生变化，但场景结构保持一致，深夜街道逐渐恢复安静，车辆减少，商铺陆续关闭，天空与环境光自然变化，整条街道在四段视频中保持完整的时间推进逻辑和空间连续性，电影摄影质感。</t>
  </si>
  <si>
    <t>Q0166</t>
  </si>
  <si>
    <t>镜头一直拍同一条城市街道，从傍晚开始，慢慢变成日落，再到夜晚，最后到深夜。街灯慢慢亮起来，车和行人越来越少。</t>
  </si>
  <si>
    <t>Q0167</t>
  </si>
  <si>
    <t>中景，长焦镜头，平视机位，一名年轻女性独自站在香港老式骑楼下避雨，点燃一支香烟，雨水顺着发梢缓缓滴落，街道人群不断从身后经过，镜头缓慢推进至面部特写。王家卫电影风格，《花样年华》美术风格，都市情绪表达，霓虹灯光，红绿撞色，电影胶片质感，慢门拖影，低帧率效果，浅景深，克制细腻的人物情绪，诗意氛围。</t>
  </si>
  <si>
    <t>Q0168</t>
  </si>
  <si>
    <t>全景，超广角镜头，低机位，一名男子站在现代城市广场中央，远处乌云快速聚集，风吹动衣摆和纸张，镜头缓慢推进，建筑空间不断向远方延伸。克里斯托弗·诺兰电影风格，IMAX摄影，现实主义色彩，宏大空间构图，史诗级尺度，强烈透视，大场面调度，低饱和色彩，真实物理氛围。</t>
  </si>
  <si>
    <t>Q0169</t>
  </si>
  <si>
    <t>一个男人站在很大的城市广场，周围都是高楼，天空越来越暗，风越来越大。诺兰电影风格，IMAX画面，大场面，电影摄影质感。</t>
  </si>
  <si>
    <t>Q0170</t>
  </si>
  <si>
    <t>一只可爱的小狐狸背着书包走在森林里，开心地和其他小动物打招呼。皮克斯动画风格，3D动画，颜色很温暖，可爱治愈。</t>
  </si>
  <si>
    <t>Q0171</t>
  </si>
  <si>
    <t>Many small luminous particles appear in the black background, gradually gather together, and then quickly disperse. The whole picture is like a movie special effect, very technological.</t>
  </si>
  <si>
    <t>Q0172</t>
  </si>
  <si>
    <t>全景，低机位，广角镜头，一辆废弃汽车停放在空旷场地中央，中景，汽车瞬间发生剧烈爆炸，火球快速膨胀，冲击波向四周扩散，大量金属碎片高速飞散，火焰、烟尘和碎屑持续翻滚，近景，爆炸结束后浓烟不断升起，残骸散落地面。好莱坞动作电影特效，真实爆炸模拟，电影级VFX，超写实画面。</t>
  </si>
  <si>
    <t>Q0173</t>
  </si>
  <si>
    <t>一辆汽车突然爆炸，火焰冲出来，碎片飞得到处都是，浓烟不断升起，好莱坞电影里的爆炸场面。</t>
  </si>
  <si>
    <t>Q0174</t>
  </si>
  <si>
    <t>中景，平视机位，一条昏暗工业走廊逐渐被浓烟覆盖，烟雾不断翻滚、扩散、聚集，空气中形成明显体积层次，特写脸部，人物缓缓从烟雾中走出，烟雾受到人物运动影响自然分离并重新汇合，电影级体积烟雾，真实流体模拟，VFX电影质感，超写实画面。</t>
  </si>
  <si>
    <t>Q0175</t>
  </si>
  <si>
    <t>一条走廊慢慢被很多烟雾覆盖，一个人从烟里面走出来，烟一直翻滚流动，很像电影特效。</t>
  </si>
  <si>
    <t>Q0176</t>
  </si>
  <si>
    <t>中景，平视机位，一名年轻男性站在空旷广场中央，镜头跟随手部运动，双手缓缓抬起，蓝色能量粒子不断向掌心汇聚，电流沿手臂自然蔓延，特写双手之间的能量球，持续旋转膨胀，切镜，特写释放大量光粒子和电弧，随后一道高能光束向远方发射，切镜，空气产生明显能量波纹和扭曲效果。电影级能量特效，CG视觉特效，粒子模拟，超写实画面。</t>
  </si>
  <si>
    <t>Q0177</t>
  </si>
  <si>
    <t>一个人举起双手，很多蓝色发光粒子聚到手里，最后发射出一道很亮的能量光束，电影特效风格。</t>
  </si>
  <si>
    <t>Q0178</t>
  </si>
  <si>
    <t>中景，平视机位，一名少女骑着扫帚飞越辽阔草原，远处漂浮着巨大的空中岛屿，森林、湖泊和风车缓缓掠过脚下，镜头稳定跟拍，微风吹动头发和裙摆，成群飞鸟围绕飞行，天空漂浮着柔软白云。吉卜力动画风格，Studio Ghibli美术风格，手绘动画质感，自然幻想世界，温暖配色，细腻背景绘制，治愈氛围，童话感，电影级动画质感。</t>
  </si>
  <si>
    <t>Q0179</t>
  </si>
  <si>
    <t>一个女孩骑着扫帚飞过草原，远处有漂浮的小岛和森林，还有很多飞鸟。吉卜力动画风格，手绘动画，很温暖，很治愈。</t>
  </si>
  <si>
    <t>Q0180</t>
  </si>
  <si>
    <t>全景，超广角镜头，镜头从未来都市高空极速俯冲，少年从摩天大楼一跃而下，甩出蛛丝高速摆荡，掠过霓虹广告、飞行汽车与悬浮轨道，在高楼峡谷间极速穿梭；借助惯性腾空跃起，在半空连续翻转、转体，镜头360°高速环绕，背景城市夸张旋转拉伸；随后人物头朝下极速俯冲坠落，临近地面瞬间甩出蛛丝急速拉升，紧接着贴着楼宇、广告牌与钢结构高速擦边飞行，以毫米级距离连续避障；再次借助蛛丝连续摆荡跃过数栋超高层建筑，落在屋顶高速奔跑、起跳、翻滚、蹬墙，再度腾空飞向城市最高楼，镜头迅速拉远，以极具冲击力的腾空姿态收尾。全片《蜘蛛侠：平行宇宙》Spider-Verse动画风格，漫画渲染，半色调网点，粗描边轮廓，夸张动态构图，鲜艳撞色，漫画速度线、动态文字与拟声词元素贯穿全程，电影级动画质感，动作节奏极快，视觉冲击力强烈</t>
  </si>
  <si>
    <t>Q0181</t>
  </si>
  <si>
    <t>一个少年在高楼之间快速穿梭跳跃，蜘蛛侠：平行宇宙动画风格，漫画风，很酷，很有冲击力。</t>
  </si>
  <si>
    <t>Q0182</t>
  </si>
  <si>
    <t>全景开始，同一场景保持机位高度一致，镜头依次切换16mm广角、50mm标准、135mm长焦焦距，人物站在街道中央，画面透视、空间压缩和背景比例随着焦距变化自然改变，主体始终位于画面中央，电影摄影质感。</t>
  </si>
  <si>
    <t>Q0183</t>
  </si>
  <si>
    <t>一个人站在街上，镜头从广角慢慢变成长焦，可以看到背景和人物的感觉一直在变化，电影摄影质感。</t>
  </si>
  <si>
    <t>Q0184</t>
  </si>
  <si>
    <t>全景，固定机位，夜晚城市十字路口，车辆持续穿行，慢速快门，汽车灯光形成连续光轨，行人产生轻微运动拖影，静止建筑保持清晰，夜景摄影质感。</t>
  </si>
  <si>
    <t>Q0185</t>
  </si>
  <si>
    <t>夜晚很多汽车开过马路，车灯变成长长的光线，行人有一点拖影，城市夜景摄影。</t>
  </si>
  <si>
    <t>Q0186</t>
  </si>
  <si>
    <t>近景，85mm人像镜头，一名年轻女性站在咖啡馆窗边，对焦人物，背景灯光形成明显圆形散景，浅景深，大光圈，背景柔和虚化，焦点始终锁定人物面部，商业人像摄影质感，电影摄影。</t>
  </si>
  <si>
    <t>Q0187</t>
  </si>
  <si>
    <t>一个女生站在窗边，背景虚化很明显，镜头慢慢靠近，人物很清楚，后面的灯光变成漂亮的光斑，电影摄影质感。</t>
  </si>
  <si>
    <t>Q0188</t>
  </si>
  <si>
    <t>中景，一镜到底，平视机位，一名运动员高速冲刺并跃起跨栏，镜头稳定跟拍，高速快门，动作瞬间完全冻结，飞溅的水滴、扬起的灰尘和衣物细节清晰锐利，没有明显运动模糊，体育摄影质感。</t>
  </si>
  <si>
    <t>Q0189</t>
  </si>
  <si>
    <t>一个运动员快速奔跑跳起来，动作定格，水花和灰尘都能看得很清楚，体育摄影质感。</t>
  </si>
  <si>
    <t>Q0190</t>
  </si>
  <si>
    <t>Abandoned art deco cinema. Push through entrance doors. Tilt up to crumbling ceiling mural. Dolly along dusty seats. Torn poster reads "GRAND OPENING 1932" in art deco type</t>
  </si>
  <si>
    <t>Q0191</t>
  </si>
  <si>
    <t>Hyper-realistic, continuous drone flight perspective throughout, smooth steady forward movement, aerial view of natural terrain across three different landscapes.
The drone rises from a misty mountainside, breaking through a thin fog layer. Dense green treetops fill both sides of frame, morning light catching moisture on the canopy. The camera keeps ascending and pushing forward, clearing the tree line. Rolling dark-green ridges and a winding stream in the valley below come into view. The drone crosses the final ridgeline — the vista suddenly opens wide.
Beyond the ridge, the terrain transitions into vast golden rice terraces. The drone maintains the same speed and altitude, gliding over geometric layers of flooded paddy fields stepping downward. Irrigation channels thread between plots like silver lines. Afternoon sunlight turns the water surfaces into scattered gold reflections. The camera continues forward — at the far edge of the fields, a blue body of water appears on the horizon.
The terraces give way to a wide highland lake. The drone passes over the shoreline and glides above the water, which shifts from jade green at the shallows to deep blue at the center. The still surface mirrors the surrounding snow-capped mountains and clouds. The drone slowly gains altitude, gradually revealing the full shape of the lake and the mountain skyline encircling it, settling into a wide panoramic frame.</t>
  </si>
  <si>
    <t>Q0192</t>
  </si>
  <si>
    <t>An eighty-year-old grandmother with a full head of white hair sits by the window in her old house, mending a dark blue padded cotton jacket. Outside the window lies a small courtyard bathed in the soft glow of the afternoon sun, where a persimmon tree in the yard holds a few orange-red fruits.
Shot 1 — extreme close-up of the hands: she wears a pair of metal-framed reading glasses, holding a silver sewing needle in her slightly trembling yet steady right hand, while her left hand slowly guides the cotton thread through the needle's eye. The cracked skin at the edges of her fingernails and the prominent knuckles on her fingers, built up from years of labor, are clearly visible. As the needle tip pierces through the dark blue cotton fabric, a tiny wisp of lint is pulled up.
Shot 2 — medium close-up of the face: sunlight strikes her face from the side, illuminating every wrinkle with sharp clarity. Two light brown age spots are visible on her forehead. She squints slightly, fully absorbed in her needlework, a serene smile resting at the corners of her mouth.
Shot 3 — slowly pulls back to a medium shot and then to a full shot: she sits in an old rattan chair, with a bamboo sewing basket at her feet. A cup of tea that has already gone cold sits on the windowsill. The shadow of the persimmon tree outside falls upon her, gently swaying in the breeze.</t>
  </si>
  <si>
    <t>Q0193</t>
  </si>
  <si>
    <t>Gym interior, overhead fluorescent lights casting hard white downlight. A man in a grey cotton T-shirt stands before a floor-to-ceiling mirror. Mirror reflects squat racks and plate-loaded barbells in the background.
Medium front shot, full symmetry with mirror reflection. The man curls both dumbbells upward in powerful alternating reps, biceps swelling with each contraction, veins surfacing across forearms. Jaw clenched, short sharp exhales, sweat sheen building on skin. Camera holds steady with subtle handheld micro-shake matching the exertion rhythm.
Same position, time jump. He pauses between sets, one dumbbell resting on his thigh. His free hand grabs the hem of his T-shirt and lifts it to wipe sweat from his forehead and brow in one rough drag — exposing a flash of abdominal muscles. He drops the shirt, exhales long, blinks slowly. Breathing still elevated but recovering. Camera same framing, static.
Same position, time jump to session end. He bends slightly at the knees, lowers both dumbbells to the rubber floor with a controlled descent — a dull metallic thud on contact. He straightens up, rolls both shoulders back, flexes his fingers open and closed to release the grip tension. Stands still for a beat, chest rising and falling deeply, staring at his reflection. A faint look of satisfaction settles on his face. Camera slowly pulls back to a wider medium shot during the final exhale.</t>
  </si>
  <si>
    <t>Q0194</t>
  </si>
  <si>
    <t>翠绿变色龙站在热带树枝上皮肤从绿渐变为褐色。全身侧面变色过程。微距鳞片纹理转换。突然弹舌捕捉飞虫</t>
  </si>
  <si>
    <t>Q0195</t>
  </si>
  <si>
    <t>Reverse shot dialogue: over A's shoulder facing B. Over B's shoulder facing A. Hands slide contract. Wide two-shot handshake. Four-shot classic over-the-shoulder pattern</t>
  </si>
  <si>
    <t>Q0196</t>
  </si>
  <si>
    <t>Cinematic photorealistic footage, warm golden autumn palette throughout, soft natural light, 6 scenes with fluid transitions.
A low-angle side-tracking shot at eye level follows a little girl darting through a park carpeted with golden maple leaves. Her red scarf trails behind her as she laughs, kicking up a swirl of amber leaves. She runs toward a wooden bench — camera holds on the spinning leaves she left behind.
The swirling leaves settle onto a canvas. Pull back to reveal a young woman painter sitting at an easel among the same row of golden trees, capturing the autumn canopy in oil strokes. Medium shot, dappled sunlight on her hands. She dips her brush — a drop of amber paint falls from the bristle tip.
The falling paint drop becomes a drop of honey drizzling onto a fresh pastry. A middle-aged baker arranges maple-leaf-shaped cookies on a wooden tray inside a warm bakery with fogged windows. Through the glass, golden trees line the street outside. He slides the tray onto a display shelf — camera follows through the glass window to the street.
Outside the bakery, an elderly man in a tweed coat walks a golden retriever along a cobblestone sidewalk blanketed with fallen leaves. The dog playfully noses through a leaf pile. Low-angle tracking shot at the dog's level. A gust of wind lifts a cluster of leaves across the frame.
The wind-carried leaves land on the surface of a still pond in a botanical garden. A teenage boy sits at the water's edge, reading a book with yellowed pages, his bicycle leaning against a rust-colored oak behind him. Reflection of golden foliage shimmers on the water. He looks up from his book toward the distance.
Reverse shot reveals what he sees — the same little girl from the opening, now far down the tree-lined path, still running with her red scarf, growing smaller among the towering golden canopy. Wide shot, late afternoon sun casting long amber shadows. Leaves continue to drift slowly as the scene breathes in stillness.</t>
  </si>
  <si>
    <t>Q0197</t>
  </si>
  <si>
    <t>高度写实，室内篮球馆，同一场五对五比赛
全场远景。 高角度俯拍，十人落位，控卫持球站在弧顶举手比战术。
控卫突破。 场边低角度跟拍，控卫接挡拆变向加速切入，球鞋拧转地板，突入罚球线区域抬头看见篮下空当。
中锋卡位。 篮下仰拍，中锋背身顶开防守人，右手高举过顶五指张开要球。
空接扣篮·慢镜头。 升格慢放。控卫直传球旋转飞过头顶，中锋起跳单手最高点接球顺势砸筐，篮筐剧烈抖动，篮网翻卷弹出。
观众欢呼。 看台正面，一排观众弹起挥手呐喊，前排小男孩骑在父亲肩上挥毛巾。
记分牌。 电子记分牌特写，比分从"6:5"跳为"8:5"，蜂鸣器短响。镜头下摇回球场，双方球员各自归位，比赛继续。</t>
  </si>
  <si>
    <t>Q0198</t>
  </si>
  <si>
    <t>Solitary pianist in empty concert hall. Seven shots: wide piano center stage no audience. Fingers on keys close-up. Hammers striking strings slow motion inside piano. Pianist's face eyes closed, tear on cheek. Reverse wide showing vast empty hall. Single vibrating string macro. Pull back to original wide as final note fades. Seven shots capturing isolation and devotion</t>
  </si>
  <si>
    <t>Q0199</t>
  </si>
  <si>
    <t>Inside a glass-walled conference room, an Asian businesswoman swipes through an interactive touchscreen display, presenting dynamic charts to colleagues. The screen's glow reflects off surrounding glass walls. Medium shot slowly pushing in toward the glowing screen until the blue light fills the entire frame.
The blue light dissolves and reshapes into orange welding sparks — match cut on color and light intensity.A dimly lit industrial factory floor. A young male engineer in a hard hat stands before a massive robotic arm, controlling it via tablet. Precision welding sparks scatter across dark steel. Low-angle slow orbit shot. The robotic arm swings past camera, creating a momentary whip-pan blur.
The motion blur clears to reveal warm golden sunlight — whip pan transition matching the arm's swing direction.A city park at golden hour. An elderly white-haired man sits on a wooden bench, video-calling his granddaughter on a smartwatch. Sunset light spills across the small screen and his gentle smile. Camera slowly pulls back, shallow depth of field, revealing the peaceful scene.</t>
  </si>
  <si>
    <t>Q0200</t>
  </si>
  <si>
    <t>A girl calls her mother on the phone. Shot 1: girl in a rainy London phone booth. Shot 2: mother in a sunny kitchen in Beijing answering. Shot 3: girl smiles hearing mom's voice. Shot 4: mother tears up hearing daughter is safe. Two continents connected by voice</t>
  </si>
  <si>
    <t>Q0201</t>
  </si>
  <si>
    <t>陶艺师在工作室拉坯成型。切到隔壁窑房他的学徒正在给另一件作品上釉。切回师傅检查成品满意点头。切到展厅架子上已完成的七件陶瓷整齐排列</t>
  </si>
  <si>
    <t>Q0202</t>
  </si>
  <si>
    <t>Parallel editing: chef plates dish (shots 1, 3, 5) intercut with diner checking time (shots 2, 4). Shot 6: waiter delivers plate, diner's eyes widen. Six-shot cross-cut building anticipation between kitchen and dining room</t>
  </si>
  <si>
    <t>Q0203</t>
  </si>
  <si>
    <t>微距镜头，多支金属颜料管的管口依次挤出浓稠油画颜料，落在纯白亚麻画布上。钛白、镉红、群青、铬黄彼此缠绕推挤，遵循流体力学缓慢卷曲融合。颜料表面反射出画室天窗投下的冷白自然光。镜头缓缓下沉，贴近画布纹理——颜料漫过布面边缘，向下淌落。
淌落的稠液转为滚烫的彩色釉料，从陶瓷窑炉的坩埚口倾泻而下，浇覆在一只旋转中的素胎花瓶表面。微距捕捉釉料沿着瓶身弧面流淌的轨迹——铜红釉与天青釉在高温下相遇、渗透，瓶身旋转带动釉面离心展开，一缕釉丝被甩离瓶口，飞入空中。
飞离的釉丝化为一滴靛蓝染料，落入静止的清水缸中。微距俯拍视角。染料入水的瞬间炸开为丝状，向四周舒展扩散。随后一滴茜红、一滴藤黄相继滴入，三色在水中交织，水面微微震颤。</t>
  </si>
  <si>
    <t>Q0204</t>
  </si>
  <si>
    <t>高角度全景俯拍。摄影机从古堡穹顶向下俯瞰整个战斗空间——南瓜头骑士站在大厅中央，长剑划出弧形寒光轨迹，连续劈砍；床单幽灵在四周石柱与蛛网密布的墙壁之间穿梭闪避。地面碎石随剑风崩飞，烛台被气流扑灭又重新燃起。
低角度近地仰拍，机位切至地面碎石堆旁。南瓜头骑士的铁靴从镜头前方跨过，落地震起尘土。仰视视角下，他举起长剑至最高点猛然劈下。剑刃斩入床单幽灵刚刚穿墙闪出的位置，击碎石墙表面，碎屑向镜头飞溅。幽灵从骑士身后的墙面渗出，眼珠快速转动锁定骑士后背。
中景侧面跟焦环绕镜头，摄影机与两者保持等距缓慢旋转。南瓜头骑士察觉身后异动，急速转身反手横扫；幽灵贴地飘行躲过剑锋，床单边缘被剑风撩起翻卷。</t>
  </si>
  <si>
    <t>Q0205</t>
  </si>
  <si>
    <t>运动饮料广告：运动员大汗跑步。慢动作拧瓶盖。仰头畅饮水珠滑。产品旋转"POWER UP 能量焕发 ¥8.9"</t>
  </si>
  <si>
    <t>Q0206</t>
  </si>
  <si>
    <t>清晨5:30，固定机位，城市天际线全景。冷蓝晨曦勾勒建筑轮廓，延时以慢速启动，光线缓缓爬上建筑立面。晨光急速席卷城市，云层飞速流动，阴影快速缩短旋转，定格在上午明亮暖调中。
同一机位，午后建筑群。云影以正常延时速度掠过玻璃幕墙，阴影匀速偏移。云层急速翻涌，阴影快速拉长扫过街道。金色夕阳光线在建筑立面上最后一次横扫，玻璃逐块闪烁反光。
黄昏转夜幕，同一机位。写字楼灯光逐层亮起，灯光从低层蔓延至顶层，全部亮起，定格在璀璨夜景。
深夜城市全景，万家灯火静立于暗蓝夜空。</t>
  </si>
  <si>
    <t>Q0207</t>
  </si>
  <si>
    <t>足球赛：中场长传跟球弧线。前锋胸部停球慢动作。转身过人。球门网后射门入网球网抖动</t>
  </si>
  <si>
    <t>Q0208</t>
  </si>
  <si>
    <t>中秋之夜，家里的客厅灯火通明热闹非凡，圆桌上摆满了红烧肉、清蒸鱼、糖醋排骨和各色时蔬，中间放着一盒打开的广式双黄白莲蓉月饼。爷爷正在给五岁的小孙子夹一块排骨，孙子双手捧着碗眼巴巴地看着筷子的方向。第二个镜头突然切到万里之外——在伦敦一间狭小的学生公寓里，女儿独自坐在书桌前，面前是一碗刚泡好的方便面和一个从中国超市买来的散装月饼，笔记本电脑屏幕上是微信视频通话的画面，对面是家里热闹的餐桌。她用筷子挑起面条但没有吃，眼睛盯着屏幕里家人的笑脸。第三个镜头切回国内——爷爷举起酒杯凑近手机镜头，满脸皱纹堆成笑容大声说着什么。第四个镜头回到伦敦——女儿眼眶泛红但嘴角上扬，用力点头笑着回应，公寓窗外是冷蓝色的英国夜空和远处教堂的尖顶</t>
  </si>
  <si>
    <t>Q0209</t>
  </si>
  <si>
    <t>Medium shot, singer faces camera in a dark studio lit by cyan and magenta neon strips. Sharp head turn to the right on the beat. The neon light catches the "NOVA" lettering on the back of a black leather jacket as the singer begins to turn. Camera pushes in slowly.
Close-up of the singer's hand dragging across the studio wall. Fingertips leave trails of liquid chrome that crawl and spread across the surface like mercury, pulsing in sync with the bass. The reflection of the singer's face is distorted in the chrome surface.
Wide shot from behind, singer center-frame, arms spread. The chrome from the walls now creeps across the floor toward the singer's boots, forming a mirror pool. Overhead neon rigs flicker between warm amber and cool violet. "NOVA" text on the jacket glows faintly, matching the chrome's shimmer.
Extreme close-up of the singer's face, eyes shut then snapping open. The iris reflects the liquid chrome environment. Pull-out reveals the entire studio has become a chrome shell — walls, floor, ceiling — with the singer as the only non-metallic element. Final frame freezes as the neon cuts to white.</t>
  </si>
  <si>
    <t>Q0210</t>
  </si>
  <si>
    <t>一位年轻上班族的通勤跨场景记录，同一人物穿越五个截然不同的空间。第一个镜头：他在家中厨房站着快速吃完最后一口吐司，用手背擦嘴，顺手拿起挂在椅背上的公文包，厨房背景是暖黄色的灯光和洗碗池里还没来得及洗的杯子。第二个镜头：他推开公寓大门走出来，外面正下着小雨，他从门口的伞架上抽出一把黑色折叠伞撑开，画面色调突然从室内暖黄变成室外的冷灰蓝。第三个镜头：公交站台上他和几个上班族一起等车，低头看手机上显示的时间，雨滴从伞边滴落，背景有一辆公交车正在远处驶来。第四个镜头：公交车内他坐在靠窗位置，窗外是不断后退的城市街景——高楼、路灯、行人都被雨水模糊成流动的色块，他的表情从焦虑慢慢变得平静。第五个镜头：写字楼内他走进一间开放式办公室，把湿伞放在门口的桶里，坐到自己的工位上打开笔记本电脑，屏幕亮起的白光照在他的脸上</t>
  </si>
  <si>
    <t>Q0211</t>
  </si>
  <si>
    <t>The astronaut's boot steps off the last rung of the lander ladder onto red soil, pressing a clear footprint. Low-angle camera at ground level captures the boot sole compacting Martian dust — fine particles bounce up and drift slowly in low gravity. The astronaut stands still. The camera tilts up from the footprint, past the white spacesuit torso, stopping at the helmet visor — the visor reflects the red Martian wasteland.
Same location, the astronaut has walked several steps forward. Medium shot follows his back as each boot leaves a trail of footprints extending across the red surface. He stops at an open flat area and slowly turns to face the camera. Olympus Mons rises on the distant horizon behind him. He retrieves a rolled flag from his side and unfurls the pole with both hands.
The astronaut drives the flagpole into Martian soil and stamps the base firm with his boot heel. The flag unfurls — printed with an Earth unity symbol, belonging to no nation. He steps back twice, standing beside the flag in a half-turn toward the camera. No wind exists; the flag holds its shape on a rigid support frame. The camera slowly pulls back and rises, expanding from a medium shot to a wide panorama — the astronaut, the flag, the trail of footprints behind him, and Olympus Mons in the distance together form the final frame.</t>
  </si>
  <si>
    <t>Q0212</t>
  </si>
  <si>
    <t>大全景远景，机位在山谷对面远处。一座山峰占据画面右侧，山顶站着一个渺小的人影——背包徒步者，面朝画面左侧延展的广袤森林。云层裂开一道缝隙，动漫风格的体积光束倾泻而下，为森林树冠染上明亮的金绿色。整体构图强调人物在自然中的渺小感，天空占画面上方三分之二，云朵以吉卜力风格的柔软体积感缓慢移动。
机位切至山顶，中景侧后方45度角。徒步者的背影与侧脸轮廓清晰可见——短发被山风吹起，衣摆和背包带随风飘动。他站在岩石边缘，一只手搭在背包肩带上。画面中景深分明：前景是脚下的碎石与野草，中景为人物，远景为色彩层次分明的森林延伸至地平线。阳光从云层缝隙变换角度，森林色调在画面中实时从深绿过渡至金黄。
机位切至正面低角度仰拍。镜头从略低于山顶岩石边缘的位置向上拍摄徒步者，天空作为整个背景。他的正脸迎着光线，头发和衣服被迎面的风持续吹动。表情安静，眼中映着远处的风景。阳光完全穿透云层，在他身后形成放射状光线，风将几片树叶从画面下方卷起掠过身侧。他微微闭眼深吸一口气，嘴角轻轻上扬。</t>
  </si>
  <si>
    <t>Q0213</t>
  </si>
  <si>
    <t>A designer sketches in a studio. Cut to a factory worker operating a CNC machine cutting the same shape. Cut to a customer unboxing the finished product at home. Cut to the designer smiling seeing a 5-star review on screen. Four shots tracing an object from concept to consumer across four locations</t>
  </si>
  <si>
    <t>Q0214</t>
  </si>
  <si>
    <t>A single red rose goes through its lifecycle in four shots. Shot 1: tight bud in morning light. Shot 2: half-open bloom at noon. Shot 3: full blossom at golden hour. Shot 4: petals falling at dusk. Same rose, same vase, four time jumps — only the flower and light change</t>
  </si>
  <si>
    <t>Q0215</t>
  </si>
  <si>
    <t>清晨的阳光洒在简约的卧室里，一位年轻中国男子站在那里。他缓缓地扣上白色衬衫的纽扣，镜头特写衬衫面料自然地垂落在身上，双手流畅地扣着纽扣。随后向卧室走去，对着镜子满意地看了看，最后转了个圈。文字“空调衫 ¥199 舒适轻薄”。干净的自然光线。</t>
  </si>
  <si>
    <t>Q0216</t>
  </si>
  <si>
    <t>Wolf pack hunts at twilight on snowy plain — seven shots of coordinated predator movement. Wide formation. Alpha's breath in cold air. Pack accelerates. Close-up of powerful hind legs. They fan out. One wolf feints left. The pack converges from all sides — cut before contact, outcome left to imagination</t>
  </si>
  <si>
    <t>Q0217</t>
  </si>
  <si>
    <t>烈日炙烤的苍茫非洲荒野，枯黄草原一望无际，燥热空气微微扭曲晃动。镜头缓缓向前推进，草丛深处，一只雄狮压低身形蛰伏隐匿，茂密的深色鬃毛与枯草完美融合，在阴影中静静蓄力。侧机位低角度拍摄，雄狮目光锐利如刀、死死锁定远方猎物，浑身肌肉紧绷，整片旷野静谧荒芜，暗藏张力。电影级色调，自然光影，浅景深特写。不要出现多只狮子，不要卡通风格，不要文字水印。
同一只深色鬃毛雄狮瞬间爆发冲刺，庞大的身躯带起滚滚沙尘，疾驰穿梭在非洲枯黄草原之上。近距离跟拍特写，每一步落脚力量感十足，四肢腾空、肌肉线条剧烈收缩，速度感与压迫感拉满。锋利凶狠的眼神紧盯前方，威武的鬃毛随极速奔跑和狂风肆意飞扬，獠牙微张，风声裹挟旷野怒吼。运动模糊背景，高速摄影质感，侧面跟随机位。不要静止画面，不要多只动物，不要肢体变形。
航拍镜头缓缓拉高俯瞰，同一只深色鬃毛雄狮如一道金色闪电疾驰穿过辽阔非洲草原，孤身穿梭苍茫旷野，身后扬起一道细长尘迹。夕阳金色光线斜洒大地，天地光影交融，壮阔地平线延伸至远方。最终缓慢定格，野性、力量与绝对自由的荒野盛世画面。大全景构图，航拍视角，电影级宽画幅。不要近景特写，不要人类建筑，不要多只动物。</t>
  </si>
  <si>
    <t>Q0218</t>
  </si>
  <si>
    <t>A Beijing hutong. Ground-level wide-angle shot, frame slightly tilted. Five kids play football in an alley flanked by gray walls. The boy in yellow cuts diagonally forward dribbling the ball, three defenders rush in from both sides to block him. The kid in red slides in for a tackle, kicking up a cloud of dust and gravel. The football sits at the lower-right golden-ratio position in frame. The camera tracks quickly side to side following the ball. The rising dust spreads and obscures the edges of the frame.
A southern town river pond. The dust transforms into splashing water — three shirtless boys leap off a stone arch bridge into green river water, each in a different pose: one in a cannonball tuck, one with arms spread wide, one pinching his nose falling straight down. Wide-angle low shot near the water surface looking up, the splash explodes toward the camera, sunlight piercing through the water droplets creating tiny rainbows. Two kids who didn't dare jump crouch on the bank, nervously peering down.
 A rural threshing ground. Under golden-hour side light, a group of girls jump rubber-band rope on an open concrete yard. Two girls hold the elastic band at each end while three in the middle take turns jumping and flipping, floral skirts and braids swinging with the motion. Low-angle side shot captures fine chaff dust rising beneath their feet as they leap. In the blurred background, an adult rides past on a bicycle. One girl catches her foot on the band and tumbles, the rest burst into laughter.</t>
  </si>
  <si>
    <t>Q0219</t>
  </si>
  <si>
    <t>高度写实，慢镜头跟拍，主体始终为同一个中国男孩与一只足球，跨越三处不同场景，捕捉足球腾空与接球的瞬间。
阳光公园。树叶间洒下斑驳光影，男孩奔跑中一脚将足球踢向空中。慢镜头跟拍足球升起——球体缓慢旋转，表面的纹路和草屑清晰可辨，阳光穿过树冠在球面上投下流动的光斑。镜头随球上升，男孩在下方抬头追踪球的轨迹，嘴角咧开兴奋的笑容，奔跑中的头发一根根被定格在空气中。足球升至最高点开始下落——穿过一片树叶缝隙的光柱。
黄昏沙滩。足球从画面上方落入海边黄昏的天空中，同一个男孩赤脚奔跑在湿润沙滩上，仰头准备接球。慢镜头捕捉他每一步踩在沙面上溅起的细沙与水珠，脚趾抓地的细节。足球旋转下落，男孩的瞳孔中倒映着球体。他跳起用胸部停球——球触碰胸口的瞬间，T恤面料形成凹陷涟漪，足球弹起后他用膝盖轻巧颠起，身后是橙红色的落日贴着海平面。
夜晚街灯下。足球再次腾空，旋转着飞过一盏路灯的光晕，水汽和小飞虫在灯光中被照亮。同一个男孩站在社区水泥球场上，周围空无一人，只有路灯将他的影子拉长。他后退两步，仰头注视下落的球，脸上的兴奋和专注与白天一模一样。球落至额头高度——他精准地用头一顶，足球弹向夜空再次升起。镜头跟球上升，从男孩脸上的笑容拉远，直到足球变为路灯光晕中一个旋转的小小轮廓。</t>
  </si>
  <si>
    <t>Q0220</t>
  </si>
  <si>
    <t>Montage of three dog owners in different parks walking their dogs at dawn. Shot 1: man with dalmatian on a beach. Shot 2: woman with poodle in a city park. Shot 3: child with labrador in a forest trail. Shot 4: all three dogs notice something off-screen. Shot 5: all three bark in unison — a visual joke cutting rapidly between locations</t>
  </si>
  <si>
    <t>Q0221</t>
  </si>
  <si>
    <t>Wes Anderson style: pastel pink hotel lobby. Centered wide front desk. Bellboy walks left with two suitcases. Elevator opens, guest in matching pastel. All shots bilateral symmetry</t>
  </si>
  <si>
    <t>Q0222</t>
  </si>
  <si>
    <t>一位独立音乐人一天中在三个截然不同的场景演奏同一首曲子，展现音乐从私密到公开的渐进式层次变化。第一个镜头是清晨七点——他坐在自家老式公寓的阳台上，一把原木色民谣吉他横在膝盖上，赤脚踩在有些掉漆的铁栏杆横杆上。他闭着眼睛轻轻弹拨弦，旋律还不太流畅，偶尔停下来在一本螺旋装订的笔记本上修改几个和弦标记。阳台外是灰蓝色的城市天际线和几只在远处盘旋的鸽子。第二个镜头切到午后三点的录音棚——他戴着监听耳机坐在话筒前，吉他已经换成了一把做工更精良的全单板琴，面前的调音台上亮着一排绿色的电平指示灯。他弹奏同样的旋律但加入了更多细节和即兴变奏，表情比早晨更加专注。第三个镜头是傍晚七点的livehouse舞台——暗红色的追光打在他身上，台下挤满了举着手机的观众，同样的旋律此刻被演绎得激昂饱满</t>
  </si>
  <si>
    <t>Q0223</t>
  </si>
  <si>
    <t>Three different craftsmen working with the same material — wood. Shot 1: Japanese joiner fitting a mortise joint. Shot 2: African sculptor carving a mask. Shot 3: European luthier shaping a violin body. Shot 4: all three finished products displayed side by side. Same material, three cultures, three spatial contexts</t>
  </si>
  <si>
    <t>Q0224</t>
  </si>
  <si>
    <t>科幻动画太空站两宇航员修管道。飘进舱门全景。扳手拧螺栓特写。递工具中景。舷窗看旋转地球</t>
  </si>
  <si>
    <t>Q0225</t>
  </si>
  <si>
    <t>快递员一天五个场景：骑车穿早高峰。小区门口打电话。电梯看订单。敲门递包裹。路边吃盒饭</t>
  </si>
  <si>
    <t>Q0226</t>
  </si>
  <si>
    <t>Butterfly emerges from chrysalis. Time-lapse cracking. Wet wings unfurling. Macro wing scales iridescent blue. First flight catching sunlight. Four shots of transformation</t>
  </si>
  <si>
    <t>Q0227</t>
  </si>
  <si>
    <t>A woman writes a letter at her desk at night. Cut to the postman delivering it across town next morning. Cut to an elderly man opening the envelope with trembling hands. Three people, three times of day, three spaces — one letter connecting them. Three shots tracing the emotional journey of physical mail</t>
  </si>
  <si>
    <t>Q0228</t>
  </si>
  <si>
    <t>暴雨之夜，阳台上一只景德镇青花瓷花瓶被狂风吹落。第一个镜头从阳台向下俯拍——花瓶离开栏杆的瞬间开始自由坠落，雨线在画面中形成密集的斜线条纹，花瓶在下坠过程中缓缓翻转，瓶身上的青花缠枝莲纹样在路灯的暖光中若隐若现。第二个镜头在地面仰拍——花瓶从画面顶部旋转着坠入视野，慢动作拍摄使得每一滴雨珠都变成清晰的椭圆形水球与花瓶同步下落，瓶身反射着楼上各家窗口透出的灯光形成不规则的光点。第三个镜头是触地碎裂的微距特写——瓷器底部最先接触水泥地面的瞬间，一条裂纹以极快速度从接触点向四周辐射，紧接着整个瓶身爆裂成数十片大小不一的碎片向四面飞散，碎片内部露出白色的胎质断面，花瓶中的水和几支白色百合花同时被抛出，水花混着雨水溅起半米高。第四个镜头是俯拍静物——碎片散落在湿漉漉的地面上，白色百合花横卧在碎瓷之间，花瓣上沾着泥水，一个完整的瓶底碎片正面朝上露出底款印章。第五个镜头急切到楼上阳台——一位穿着居家服的年轻女性趴在栏杆上伸出手，嘴巴微张一脸惊愕，但一切已经来不及了</t>
  </si>
  <si>
    <t>Q0229</t>
  </si>
  <si>
    <t>Anime samurai draws katana in moonlit bamboo grove — five rapid shots with whip pans between each. Eyes open. Hand grips hilt. Blade flashes in arc. Bamboo falls in slow motion. Sword sheathed with a click. Whip-pan transitions create kinetic energy between static poses</t>
  </si>
  <si>
    <t>Q0230</t>
  </si>
  <si>
    <t>航拍掠过瑞士阿尔卑斯雪山，晨光金辉洒落连绵雪峰，云雾缭绕。镜头俯冲下降，雪山倒映在一枚银色精钢腕表的弧面表镜上，表盘可见"AURUM"字样，过渡至下一镜。电影级广色域，丝滑航拍运镜。
温暖的工坊台灯光下，工匠手持镊子将微小齿轮精准嵌入同一枚AURUM腕表机芯，金属零件反射细腻光泽。浅景深微距特写，能看清宝石轴承与日内瓦纹打磨纹理，指尖轻微颤动传递匠心专注。
商务男士推开玻璃门自信步入现代会议室，侧跟机位从手腕处起拍，同一枚AURUM精钢腕表在袖口间若隐若现，金属表链贴合手腕反射柔和日光。男士落座，左手自然搭于桌面，表盘朝上，"AURUM"标识清晰可辨。冷灰色调办公空间，逆光轮廓。
微距缓慢推入同一枚腕表表盘，浅银色盘面纹理纤毫毕现，12点位"AURUM"品牌字样锐利精致，3点位日历窗显示"MON 07"，指针缓缓走动。背景纯黑渐隐，光线从侧面勾勒表圈边缘高光。</t>
  </si>
  <si>
    <t>Q0231</t>
  </si>
  <si>
    <t>高度写实，暮色北方小院，暖黄彩灯贯穿，同一场家庭烧烤晚宴。
烤炉特写，肉串滋滋冒油翻滚，爸爸大手熟练撒下孜然辣椒面，白烟裹着火星升腾，他侧脸被炭火映红，嘴里喊着"好了好了端走"。
中景，妈妈端着一盘刚烤好的肉串放上桌，奶奶笑着用筷子把串上的肉撸进孩子碗里，桌面摆满酱料碟和啤酒瓶，彩灯光斑洒在碗碟上。
近景，爷爷靠在老藤椅上，一手端着冰啤酒，一手摇着蒲扇，笑眯眯地望向院子中间孩子们跑闹的方向，脚边卧着一只打盹的老黄狗。
中景跟拍，两个小孩一人举着半截烤玉米一人拿着肉串，追跑打闹绕过石榴树，笑声尖叫声交替，跑过时碰歪了挂在树枝上的一盏小彩灯。
镜头从院门外缓缓拉远，门框框住院内全貌——炭火烟气、彩灯光晕、桌旁大人聊天、孩子绕树追跑，所有声音混在一起。暮色渐深，小院灯火温暖如一幅画，定格。</t>
  </si>
  <si>
    <t>Q0232</t>
  </si>
  <si>
    <t>美术馆内，一幅长达10米的书画长卷悬挂在展墙上。摄像机架设在轨道上，从右至左缓慢移动，匀速拍摄全卷。长卷上右侧有楷书，左侧有山水水墨画，墨色浓淡相间，落款处有印章。右侧楷书全文：“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于是饮酒乐甚，扣舷而歌之。歌曰：‘桂棹兮兰桨，击空明兮溯流光。渺渺兮予怀，望美人兮天一方。’客有吹洞箫者，倚歌而和之。其声呜呜然，如怨如慕，如泣如诉，余音袅袅，不绝如缕。舞幽壑之潜蛟，泣孤舟之嫠妇。苏子愀然，正襟危坐而问客曰：‘何为其然也？’客曰：‘“月明星稀，乌鹊南飞”，此非曹孟德之诗乎？西望夏口，东望武昌，山川相缪，郁乎苍苍，此非孟德之困于周郎者乎？”镜头移动速度缓慢均匀，展馆灯光柔和，玻璃展柜无反光。</t>
  </si>
  <si>
    <t>Q0233</t>
  </si>
  <si>
    <t>教室黑板前，一位老师正在用白色粉笔书写一段数学推导过程，镜头固定对准黑板。粉笔字迹逐渐出现，内容包括：“费马大定理：当整数n &gt; 2时，关于x, y, z的方程 x^n + y^n = z^n 没有正整数解。证明思路（怀尔斯，1995）：1. 将问题转化为椭圆曲线模形式；2. 证明谷山-志村猜想对于半稳定椭圆曲线成立；3. 利用反证法，假设存在解，构造一个椭圆曲线，该曲线不能模形式化，导致矛盾。具体步骤：第一步，考虑弗雷曲线...”书写速度适中，粉笔灰飘落，光线柔和，黑板有轻微反光，4k画质。</t>
  </si>
  <si>
    <t>Q0234</t>
  </si>
  <si>
    <t>一个穿着"JOYAI"标志T恤的中国美女正拿着黑色马克笔在白板上书写。切至白板特写，文字逐行出现："一、JOYAI的技术路线：探索视觉生成基础模型的极限。二、JOYAI的模型特色：1、复杂文字渲染；2、精准图像编辑。三、JOYAI的未来愿景：赋能专业内容创作、助力生成式AI发展。"切回中景，她放下笔转身面对镜头微笑。</t>
  </si>
  <si>
    <t>Q0235</t>
  </si>
  <si>
    <t>[超近距离虹膜] 紧密聚焦于一个人类的虹膜，每一道色彩斑点都反射着虹膜之外的景象。切至面部全景，缓缓拉远展现黑暗房间中人物的面部。他们眨了眨眼。切至他们的手部特写，手指微微颤动，重新聚焦现实。</t>
  </si>
  <si>
    <t>Q0236</t>
  </si>
  <si>
    <t>A dreamy close-up of a champagne flute reveals the Titanic miniature inside, slowly sinking through golden bubbles. Christmas lights bokeh twinkles in the background while the ship gracefully descends, trailing tiny bubbles in its wake.</t>
  </si>
  <si>
    <t>Q0237</t>
  </si>
  <si>
    <t>麦片盒放在台面上，一只手撕开封口，镜头推近背面：“格兰诺拉烘焙麦片，配料：澳洲燕麦片45%、南瓜籽8%、巴旦木7%、蔓越莓5%、奇亚籽3%。每40g含蛋白质6.2g、膳食纤维5.1g。无反式脂肪酸，0添加蔗糖。保质期10个月。”</t>
  </si>
  <si>
    <t>Q0238</t>
  </si>
  <si>
    <t>A hyper-realistic low-angle orbiting shot circles a scientist in a sterile lab interacting with a DNA sequencer. As the camera rotates
dynamically around the workstation, the cool blue light from the pulsing
holographic interface illuminates the scientist's focused face, while complex
genetic sequences stream and shift rapidly across the screens in high-speed
motion.</t>
  </si>
  <si>
    <t>Q0239</t>
  </si>
  <si>
    <t>An artificial aurora shimmering in the night sky, generated by the expanding and glowing exhaust plume of a rising rocket.</t>
  </si>
  <si>
    <t>Q0240</t>
  </si>
  <si>
    <t>一段高动态的3D CGI序列，展现了水母在生机勃勃的珊瑚礁间翩翩起舞，宛如一场复杂的水下芭蕾，呈现出精妙绝伦的水下编舞和流畅的动作，没有鱼类的出现。</t>
  </si>
  <si>
    <t>Q0241</t>
  </si>
  <si>
    <t>一个身穿绿色运动服、头戴黑色骑行头盔的中国女孩骑着一辆蓝色的山地自行车在公路上骑行，她的前方有一辆红色的轿车驶过。</t>
  </si>
  <si>
    <t>Q0242</t>
  </si>
  <si>
    <t>一位独行徒步者站在山顶，眺望着一片茂密的森林。风掠过他们的头发，阳光穿透云层。切至脚下视角，靴子踩在碎石上，远处山谷云雾翻涌。再切回全景，人物沉浸在这令人惊叹的美景之中。</t>
  </si>
  <si>
    <t>Q0243</t>
  </si>
  <si>
    <t>婚礼广场，新人在宾客中央优雅旋转起舞，镜头从广角全景缓缓推近；硬切至摄影师肩上视角，透过取景器捕捉两人交握的手；新郎俯身低语，新娘仰头轻笑，两人换手变换舞步；镜头再切至高处俯拍，宾客围成圆环鼓掌，新人在中心画出弧线轨迹；最后推入新娘眼眸的大特写，瞳孔中倒映着新郎的面孔。</t>
  </si>
  <si>
    <t>Q0244</t>
  </si>
  <si>
    <t>黄昏天台，城市天际线被夕阳染红，穿白衬衫的亚洲男人倚着栏杆抽烟，风吹乱他的头发。他深吸一口缓缓吐出烟雾，烟雾被风吹散。切至面部特写，他眯眼看远方，眼神复杂。切回全景，烟燃尽，他掐灭烟头弹进垃圾桶，转身离开，背影拉长。</t>
  </si>
  <si>
    <t>Q0245</t>
  </si>
  <si>
    <t>夜幕降临，一场盛大的音乐节以超现实的场景呈现，镜头跟拍一位正在舞池中央激情跳舞的女孩。她旋转一圈后张开双臂，随后跳起落地踩出水花。旁边一个男孩也加入，两人面对面随节拍摆动。</t>
  </si>
  <si>
    <t>Q0246</t>
  </si>
  <si>
    <t>锈迹斑斑的金属棚下，末日后的集市热闹起来。一个摊贩在修理收音机，旁边一个女人用罐头交换布料。两个孩子在摊位间追逐奔跑。镜头从摊位间穿过，跟随孩子的跑动方向缓慢推进。</t>
  </si>
  <si>
    <t>Q0247</t>
  </si>
  <si>
    <t>两个胖胖的日本摔跤手正在一个圆形比赛台上进行着激烈的摔跤运动，光线暖黄，两个人打得不可开交。</t>
  </si>
  <si>
    <t>Q0248</t>
  </si>
  <si>
    <t>Through an asteroid field, two small spacecraft chase each other — the front one suddenly banks left to dodge a tumbling asteroid, and the rear one fires thrusters to follow. Engine lights flicker as debris bounces off their hulls. The camera tracks alongside them.</t>
  </si>
  <si>
    <t>Q0249</t>
  </si>
  <si>
    <t>Against a night sky, the words "Artificial Analysis" are assembled by a drone swarm, where each individual drone appears as a
glowing point of light.</t>
  </si>
  <si>
    <t>Q0250</t>
  </si>
  <si>
    <t>A wide-angle underwater shot capturing a polar bear diving from an ice shelf into crystal-clear blue water. It glides downward, twists to chase a passing fish, and surfaces with a splash. Shimmering light rays filter down from above.</t>
  </si>
  <si>
    <t>Q0251</t>
  </si>
  <si>
    <t>In a sleek lab, a young scientist tests a high-tech gadget that hums to life with glowing lights, captured in an anime aesthetic.</t>
  </si>
  <si>
    <t>Q0252</t>
  </si>
  <si>
    <t>An aerial drone perspective gliding smoothly over the vast canopy of the Brazilian Amazon. Cut to a ground-level shot inside the forest, looking up through the canopy at the drone passing overhead. Cut back to aerial as the river comes into view.</t>
  </si>
  <si>
    <t>Q0253</t>
  </si>
  <si>
    <t>A Samsonite luggage promotional video. A sleek suitcase opens and closes, showcasing its interior. The scene transitions to a cinematic travel montage featuring iconic destinations. The final six seconds display upward-scrolling white text on a black background: "Samsonite New Rolling Suitcase — Lightweight and Durable, Global Warranty. Limited Time Offer: 20% Off for Double 12."</t>
  </si>
  <si>
    <t>Q0254</t>
  </si>
  <si>
    <t>In a park setting, a cinematic close-up captures a young woman's smiling face as she jogs while wearing wireless earbuds.</t>
  </si>
  <si>
    <t>Q0255</t>
  </si>
  <si>
    <t>A low-angle tracking shot of a female Chinese tennis player in her early 20s as she tosses the ball high, leaps into a powerful serve, and lands with a forward stride. The camera follows her as she sprints to the net for a volley return.</t>
  </si>
  <si>
    <t>Q0256</t>
  </si>
  <si>
    <t>Exploring the coral reef, a scuba diver is captured swimming through a narrow passage between coral formations. Cut to the diver's POV looking at a sea turtle gliding past. Cut back to wide shot showing the diver and the reef from above.</t>
  </si>
  <si>
    <t>Q0257</t>
  </si>
  <si>
    <t>In a cinematic slow-motion capture, a person pours freshly brewed coffee from a sleek espresso machine into a ceramic cup, the rising steam swirling gracefully as the rich, dark liquid fills the vessel.</t>
  </si>
  <si>
    <t>Q0258</t>
  </si>
  <si>
    <t>A young woman lies on a sofa in relaxed evening light. A close-up captures her face illuminated by the screen glow as her thumbs scroll smoothly through TikTok with natural finger movements. She laughs at a funny video. The camera tilts down to clearly show the phone screen. The text "Galaxy S24 AI智能" appears as an overlay, conveying a modern lifestyle feel.</t>
  </si>
  <si>
    <t>Q0259</t>
  </si>
  <si>
    <t>Hurtling through a colorful nebula, a spaceship is depicted in a 3D animated sequence.</t>
  </si>
  <si>
    <t>Q0260</t>
  </si>
  <si>
    <t>A dynamic wide tracking shot following a dragon as it soars rapidly across a sprawling fantasy landscape, maneuvering through jagged peaks and floating clouds.</t>
  </si>
  <si>
    <t>Q0261</t>
  </si>
  <si>
    <t>A cinematic shot of two kangaroos boxing in the dusty Australian outback at sunset. One throws a jab with its front paws, the other leans back to dodge, then retaliates with a kick. Red dust rises from their footwork. The camera circles them slowly.</t>
  </si>
  <si>
    <t>Q0262</t>
  </si>
  <si>
    <t>During the blue hour, a drone captures a sweeping aerial view of Santorini.</t>
  </si>
  <si>
    <t>Q0263</t>
  </si>
  <si>
    <t>哈利·波特全集产品视频。第一本书封面翻开，翻页转场依次展示全套七册不同封面；镜头硬切至侧面，七本书从空中依次落下堆叠成塔；再切至正面特写，书脊上烫金文字"Harry Potter Complete Set · Genuine Hardcover · Collector's Edition · All 7 Volumes · Includes Illustrated Appendix · Limited Quantities"逐字亮起；最后俯拍全景，书塔旁摆放魔杖与围巾道具，营造沉浸式收藏氛围。</t>
  </si>
  <si>
    <t>Q0264</t>
  </si>
  <si>
    <t>A low-angle perspective of a 2D animated street performer juggling flaming torches with exaggerated, rhythmic motions. The camera slowly pans upward from the performer's feet to a medium shot, capturing the vibrant trails of fire and the character's expressive face against a stylized cobblestone street.</t>
  </si>
  <si>
    <t>Q0265</t>
  </si>
  <si>
    <t>A cinematic shot of a small jackalope with soft brown fur and miniature deer antlers hopping playfully across a mossy forest floor. Pale moonlight filters through the dense tree canopy, creating a dreamlike atmosphere with soft shadows. The jackalope moves with a steady, rhythmic gait, its ears twitching as it navigates between ancient, gnarled tree trunks.</t>
  </si>
  <si>
    <t>Q0266</t>
  </si>
  <si>
    <t>A cinematic, low-angle tracking shot follows a swarm of delivery drones as they weave rapidly through a dense urban skyline, banking sharply between towering skyscrapers and navigating a complex maze of neon-lit buildings with high-speed precision.</t>
  </si>
  <si>
    <t>Q0267</t>
  </si>
  <si>
    <t>无人机从山腰树梢处缓缓升起，俯瞰层叠的山脊与远处的湖面。镜头平稳前推飞越山顶，展现连绵山脉与谷底村庄。</t>
  </si>
  <si>
    <t>Q0268</t>
  </si>
  <si>
    <t>在阳光穿过树叶的公园里，镜头缓缓追踪着飞向空中的足球与准备接球的中国孩子。动作被处理为慢镜头，清晰呈现出足球的每一次旋转以及孩子脸上兴奋的神情，这种跟拍手法进一步强化了那一刻的紧张感。</t>
  </si>
  <si>
    <t>Q0269</t>
  </si>
  <si>
    <t>在一棵高大坚固、枝叶繁茂的大橡树上，一只松鼠和一只花栗鼠正忙着建造树屋。花栗鼠手里拿着蓝图，而松鼠正在专注地钉着钉子。</t>
  </si>
  <si>
    <t>Q0270</t>
  </si>
  <si>
    <t>在高科技实验室的中央，一名穿着实验服的科学家正专心地焊接火箭零件。</t>
  </si>
  <si>
    <t>Q0271</t>
  </si>
  <si>
    <t>低角度特写追踪一支戴眼镜的铅笔在素描本上绘制复杂图案；硬切至俯拍，戴帽子和领结的橡皮在纸上跳跃逐格擦除错误；再次硬切至全景，一把张开翅膀的剪刀沿直尺滑行裁下画好的图稿。三个角色各自独立行动，背景艺术工作室中堆满画笔与未完成的画作。</t>
  </si>
  <si>
    <t>Q0272</t>
  </si>
  <si>
    <t>在湿润的水槽表面，一个带有彩虹漩涡的圆形泡泡正在飘浮并旋转，与此同时，一块带着笑容的方形肥皂正灵活地向前滑行。</t>
  </si>
  <si>
    <t>Q0273</t>
  </si>
  <si>
    <t>A Razer DeathAdder gaming mouse promotional video. The mouse glows with RGB lighting as the camera captures it from multiple angles through light-streak wipe transitions — first showing button clicks, then grip angles. A fast-paced montage of streak wipes builds intensity, ending with the text "Razer Gaming Artifact" displayed on screen.</t>
  </si>
  <si>
    <t>Q0274</t>
  </si>
  <si>
    <t>A low-angle, side-tracking shot, maintaining the viewpoint at eye level with a little girl, follows her as she runs and darts through a park carpeted with golden leaves. The camera steadily captures her innocent smile and the maple leaves swirling in the breeze, creating a vivid and immersive autumn scene.</t>
  </si>
  <si>
    <t>Q0275</t>
  </si>
  <si>
    <t>镜头以低空视角围绕孤岛缓慢环绕平移，侧向观察海浪轻柔地拍打礁石。阳光穿透层层薄雾洒在海面上，营造出静谧、平和的质感。</t>
  </si>
  <si>
    <t>Q0276</t>
  </si>
  <si>
    <t>在深夜的幽静森林中，参天大树间萦绕着淡淡的薄雾，无数翠绿色的萤火虫在空中缓慢律动。镜头跟拍一只淡紫色蝴蝶穿梭在金色光点之间。切至蝴蝶翅膀微距特写，半透明质感在萤火虫光芒中闪烁。切回全景，蝴蝶飞远消失在薄雾中。</t>
  </si>
  <si>
    <t>Q0277</t>
  </si>
  <si>
    <t>采用侧向中景镜头跟拍，一只松鼠和一只刺猬正在粗壮的树枝上协作搭建木屋。</t>
  </si>
  <si>
    <t>Q0278</t>
  </si>
  <si>
    <t>在霓虹闪烁的城市屋顶上，镜头以慢动作捕捉一位正在旋转跳跃的舞者，随风飘动的衣料伴随着动作起伏，绚烂的霓虹灯光完美勾勒出舞者的运动轨迹，远处有大楼上“ON MY WAY”霓虹灯文字标识。</t>
  </si>
  <si>
    <t>Q0279</t>
  </si>
  <si>
    <t>实验室内，韩国科学家将第一支试剂缓慢倒入烧瓶，液体变色冒泡；迅速加入第二支催化剂，容器内喷发出火花与浓烟；镜头切至俯拍，火花飞溅形成放射状轨迹；他抓起灭火毯盖住烧瓶，烟雾从边缘涌出；镜头再切至正面特写，他摘下护目镜，额头渗汗，嘴角露出成功的微笑。</t>
  </si>
  <si>
    <t>Q0280</t>
  </si>
  <si>
    <t>慢动作镜头，巨浪从远处翻涌而来正面撞击海岸悬崖，水柱冲天；镜头切至崖顶俯拍，海水沿岩缝回流形成漩涡；第二波浪袭来撞碎前一波残留的水幕，水雾中折射出彩虹；镜头再切至水下视角，气泡翻滚，岩壁上海藻被水流猛烈拉扯摆动，碎石随暗流滚落。</t>
  </si>
  <si>
    <t>Q0281</t>
  </si>
  <si>
    <t>一个中国小男孩在机场登机口与他的父亲团聚，他们跑向对方时的慢动作，含泪拥抱，柔和的自然光，浅景深。</t>
  </si>
  <si>
    <t>Q0282</t>
  </si>
  <si>
    <t>一个低角度的平底锅滑过宁静的山湖的玻璃表面，捕捉到锯齿状山峰的镜面反射穿过晨雾，然后扩大到广角视野遥远的山脉。</t>
  </si>
  <si>
    <t>Q0283</t>
  </si>
  <si>
    <t>一位年轻的学生在地铁上戴上耳机，按下播放键。特写镜头展现了他平静的脸庞，随着音乐响起，他闭上双眼，头轻轻地随着节拍点头。他用手调整耳机，使其完美贴合。屏幕上显示文字“Sony降噪豆 沉浸音质”。</t>
  </si>
  <si>
    <t>Q0284</t>
  </si>
  <si>
    <t>In slow motion, a dancer on a theater stage spins and leaps gracefully. Stage lights cast dynamic reflections across her flowing movements, while her light clothing sways rhythmically through the air.</t>
  </si>
  <si>
    <t>Q0285</t>
  </si>
  <si>
    <t>The camera captures a painter sketching outdoors, bathed in natural light and shadow. Delicate brushstrokes glide across the canvas, which sways gently in the breeze. Occasional drips of paint fall from the brush tip.</t>
  </si>
  <si>
    <t>Q0286</t>
  </si>
  <si>
    <t>晨光熹微，光影在排列整齐的街道与屋顶瓦片间流转，镜头从空中缓慢俯瞰整座古城。切至街道平视视角，一个老人推着自行车走过石板路，车轮碾过水洼溅起水珠。切回空中俯瞰，阳光扩散照亮更多屋顶。</t>
  </si>
  <si>
    <t>Q0287</t>
  </si>
  <si>
    <t>镜头采用低角度贴地平稳跟随拍摄，近距离捕捉雨后森林中两只在湿润草地上欢快跳跃的兔子，随着它们的起伏动作，草尖的晶莹水珠向四周飞溅。</t>
  </si>
  <si>
    <t>Q0288</t>
  </si>
  <si>
    <t>在光线柔和的房间内，一个约六岁、表情专注的亚洲小男孩坐在地毯上，正用双手认真地在半成品的彩色乐高城堡上堆叠积木。镜头通过微距特写，清晰地捕捉到他细小的手指捏起一块积木并精准地扣在城堡塔尖上的动作，展现出积木拼接时严丝合缝的物理细节与男孩指尖的灵活运动。</t>
  </si>
  <si>
    <t>Q0289</t>
  </si>
  <si>
    <t>暗夜千金精致风镜头，顶侧光特写，暗调背景，聚焦一名欧洲女子面部与首饰打光，局部聚光打亮面部与锁骨，背景全暗，高级暗调光影黑色缎面抹胸礼裙，钻石项链与耳饰。眼神慵懒又贵气。一束光落在身上，美得神秘又耀眼。女子先低头并用手抚摸自己的项链，随后又轻轻左右转身，手臂张开。</t>
  </si>
  <si>
    <t>Q0290</t>
  </si>
  <si>
    <t>镜头从街道远端低视角快速推进，穿过夜晚街头暖色街灯下的人群。三组街舞者各占一块地盘：左侧一人跳breaking做托马斯全旋，中间两人对战popping互相镜像模仿，右侧一人跳hip-hop大幅甩臂。镜头环绕切换至中央，breaking舞者突然弹起做空中定格，围观人群后退让出空间。随后三组舞者汇聚到一起，合力完成一段齐舞编排，地面积水在脚步踩踏下飞溅水花，布料褶皱随动作剧烈摆动，街灯光在水雾中形成光晕。</t>
  </si>
  <si>
    <t>Q0291</t>
  </si>
  <si>
    <t>宠物店，狗粮袋背面朝外立在墙角。镜头推近至文字区域，定格："无谷鸡肉成犬粮6kg，粗蛋白≥28%、脂肪≥14%。配料：新鲜鸡肉26%、鸡肉粉18%。原产加拿大，保质期18个月。"切至地面视角，一只大金毛犬和一只无毛猫悠闲地路过狗粮袋。切回文字特写。</t>
  </si>
  <si>
    <t>Q0292</t>
  </si>
  <si>
    <t>镜头捕捉一位正在大镜子前专注进行哑铃弯举的中国男子。画面中呈现出精准的镜面反射与高度一致的背景，随着他规律的弯举动作，可以清晰观察到肌肉的收缩与物理形变，整体呈现出极致的写实细节。</t>
  </si>
  <si>
    <t>Q0293</t>
  </si>
  <si>
    <t>延时摄影展现城市建筑群一整天的光影轮转。清晨阳光从楼宇间隙射入，阴影在街道上缓慢位移；镜头切至大楼屋顶视角，正午玻璃幕墙强烈反射光线，广场上行人与车辆快速流动；再切回街道视角，夕阳将整排写字楼染成金红；夜幕降临，窗户灯光逐一亮起，车流尾灯拉成红色光带，霓虹招牌与外墙LED屏交相辉映。</t>
  </si>
  <si>
    <t>Q0294</t>
  </si>
  <si>
    <t>汽车在高速公路上行驶，车窗外远处出现一个巨型广告牌，上面有密密麻麻的文字。镜头透过车窗玻璃拍摄，随着汽车接近，广告牌逐渐变大，文字短暂清晰后迅速掠过。广告牌内容：“惠民保险，守护您的一生！全面推出‘无忧人生’综合保障计划：涵盖重疾、医疗、意外、寿险四大支柱，最高保额500万元。重疾保障：120种重大疾病，确诊即赔，无需发票，最高赔付3次。医疗保障：一般医疗300万元，重疾医疗600万元，0免赔，100%报销，含进口药、自费药、质子重离子治疗。意外保障：意外身故/伤残100万元，意外医疗5万元，航空意外额外200万元。寿险保障：身故全残100万元，保至70周岁，满期返还所交保费120%。增值服务：免费提供三甲医院专家挂号、住院安排、第二诊疗意见、海外就医协调。现在投保，还可享受家庭套餐优惠：两人投保9折，三人投保85折，四人及以上投保8折！更有机会抽取华为Mate80手机。全国统一客服热线：955XX。官网：www.xxins.com。投资有风险，投保需谨慎，详细条款以保险合同为准。”</t>
  </si>
  <si>
    <t>Q0295</t>
  </si>
  <si>
    <t>在一个高度写实的镜头中，一位亚裔女商人正在翻阅一块互动式触摸屏展示板，向同事展示动态图表。切至屏幕特写，图表数据跳动更新。切回女商人面部，她用手指圈出一组关键数据，同事们点头。</t>
  </si>
  <si>
    <t>Q0296</t>
  </si>
  <si>
    <t>镜头采用中景侧拍位，平滑地聚焦于一名身着职业装的白领。随着手指在键盘上流畅敲击的动作，镜头缓慢向一侧平移，捕捉到其打字动作的停顿以及随后自然流畅的视线转移。办公室内光影写实且背景保持高度稳定，整体画面呈现出极高的技术质量与美学观感。</t>
  </si>
  <si>
    <t>Q0297</t>
  </si>
  <si>
    <t>一名特种兵手持步枪，在一间房屋内贴墙搜索前进。他快速通过走廊，到门口做停顿手势，随后一脚踢开门举枪扫视房间。镜头从肩部过肩视角跟拍。</t>
  </si>
  <si>
    <t>Q0298</t>
  </si>
  <si>
    <t>微距镜头拍摄金属口红管身上的密集烫金产品信息文字（含成分表、生产批号、品牌故事等）。口红在指间缓慢旋转展示全部文字；镜头切至俯拍，手指旋开盖帽露出砖红色膏体；再切至侧面特写，膏体在唇部缓慢涂抹呈现丝绒哑光质感；最后镜头拉远，模特合上口红放入手袋，转身离开。</t>
  </si>
  <si>
    <t>Q0299</t>
  </si>
  <si>
    <t>在温暖的阳光照射下，一位长发的亚洲少女先缓慢旋转一圈，发丝随身体转动飘舞。她突然加速连续转两圈，随后停下做一个单腿站立的造型。切至面部特写，捕捉她微笑的表情和额头细密的汗珠。切回全景，她鞠躬致意。</t>
  </si>
  <si>
    <t>Q0300</t>
  </si>
  <si>
    <t>人类首次踏上火星。宇航员的靴子在红色土壤上留下足迹，镜头缓缓上移展现火星地貌，远处耸立着奥林帕斯山。切至宇航员面罩内的主观视角，呼吸声清晰可闻。切回外部视角，宇航员插上一面印着地球团结标志的旗帜。</t>
  </si>
  <si>
    <t>Q0301</t>
  </si>
  <si>
    <t>在写实的草地背景下，一个五彩斑斓的呼啦圈正被一只拟人化的大熊猫熟练地飞速转动着；通过动态的镜头追踪，展现熊猫扭动腰肢维持呼啦圈平衡的高难度动作，并确保其动物形态在复杂运动中保持稳定。</t>
  </si>
  <si>
    <t>Q0302</t>
  </si>
  <si>
    <t>镜头微距特写，多支颜料管向白色画布挤出浓稠颜料。切至俯拍视角，鲜艳的色彩遵循物理规律相互缠绕、混合，形成动态抽象画面。切回侧面微距，颜料边缘缓慢干燥形成纹理。</t>
  </si>
  <si>
    <t>Q0303</t>
  </si>
  <si>
    <t>热带雨林深处，百米宽的瀑布从断崖倾泻而下，水势磅礴，砸入深潭激起白色水雾；阳光在水雾中形成彩虹，彩虹随水雾飘动；镜头缓慢推近至瀑布底部，水流冲击岩石的轰鸣声扑面而来，水珠飞溅到镜头上模糊又清晰。</t>
  </si>
  <si>
    <t>Q0304</t>
  </si>
  <si>
    <t>A cinematic slow-motion close-up of a single, crystal-clear water droplet slowly forming and detaching from the tip of a damp, glistening limestone stalactite inside a dimly lit cave. The lighting softly highlights the wet, porous texture of the mineral-rich rock. The movement is graceful and focused on the micro-physics of surface tension, maintaining a serene and atmospheric mood.</t>
  </si>
  <si>
    <t>Q0305</t>
  </si>
  <si>
    <t>一个人从九宫格重庆火锅中夹起一片涮毛肚送入口中，十分享受地咀嚼。</t>
  </si>
  <si>
    <t>Q0306</t>
  </si>
  <si>
    <t>On a winter night in the Arctic Circle, the snowfield stretches endlessly under a deep blue sky. A green aurora band appears and slowly dances, intensifying into a shimmering curtain with purple edges that twists and leaps across the sky. The snow reflects a fantastic green glow. A sled pulled by four huskies races across the snowfield, the dogs' breath forming white clouds in the freezing air. The musher raises a hand to shield his eyes from the aurora's brightness. Suddenly a meteor streaks across the sky, leaving an orange trail that cuts through the green curtain. The huskies bark and veer left; the sled tips on one runner before righting itself. The aurora intensifies, rippling in response to the meteor, and the snowfield pulses between green and violet light.</t>
  </si>
  <si>
    <t>Q0307</t>
  </si>
  <si>
    <t>A rustic stone cottage in a remote green valley during a quiet afternoon. Soft sunlight filters through oak trees. The camera tracks toward the front door. Cut to interior view: warm light fills the kitchen, a kettle steams on the stove. Cut back to exterior as smoke curls from the chimney.</t>
  </si>
  <si>
    <t>Q0308</t>
  </si>
  <si>
    <t>夜幕降临，镜头低角度穿梭于东京六本木的灯火街道。摩天大楼霓虹灯逐一亮起，映照出现代质感。一辆出租车溅起路面积水，水花在霓虹灯下呈彩色。行人步履匆匆撑着透明伞，露天咖啡馆散发暖光，服务员端着托盘在桌间穿行。镜头掠向六本木之丘的上坡路，一对情侣在自动扶梯上回头张望夜景。到达高处平台，镜头从跟拍切换为广角仰拍，远处东京塔红光闪烁，一架飞机尾灯划过塔尖上方的夜空。地面水洼中倒映着塔身与流动的云层。</t>
  </si>
  <si>
    <t>Q0309</t>
  </si>
  <si>
    <t>在现代化大剧院的舞台上，一只红润的苹果坐在评委席上，专注地为选手提供反馈。舞台中央，黄色香蕉主持人手持金色话筒，边跳边唱并讲笑话。五彩射灯交错，观众席中掌声欢呼不断，场景充满奇幻与热烈的选秀氛围。</t>
  </si>
  <si>
    <t>Q0310</t>
  </si>
  <si>
    <t>视角从调色盘的近景平滑切换至艺术家侧后方，捕捉其手持画笔精准蘸取浓郁颜料并于画布上自然涂抹的动态。</t>
  </si>
  <si>
    <t>Q0311</t>
  </si>
  <si>
    <t>一台履带式机器人在荒废的工业区内平稳前行，展现写实的废土美学风格。光影交错中，金属装甲质感分明，摄像头旋转观察，红色指示灯有节奏闪烁。履带在沙地上留下清晰压痕，机械运动流畅稳定。</t>
  </si>
  <si>
    <t>Q0312</t>
  </si>
  <si>
    <t>摄像机从低角度环绕移动，聚焦于卧室内熟睡女孩的侧颜。她的枕头缓缓悬浮在空中并轻微旋转。镜头捕捉枕头悬浮的动态，同时保持卧室背景稳定，营造出宁静的超现实梦境场景。</t>
  </si>
  <si>
    <t>Q0313</t>
  </si>
  <si>
    <t>On a golden autumn day in the city, fallen leaves blanket the streets as a light drizzle falls. Several pedestrians holding transparent or dark umbrellas cross a rain-flooded asphalt road. The camera pans smoothly forward at a low angle, capturing the reflections of buildings and streetlights shimmering in the water, the surface rippling with each footstep.</t>
  </si>
  <si>
    <t>Q0314</t>
  </si>
  <si>
    <t>A serene, slow-panning cinematic shot of Mount Yoshino during the soft light of early twilight. The sky is a gradient of deep indigo and pale violet, casting a gentle glow over the mountain slopes covered in cherry blossom trees. Wisps of evening mist roll slowly through the valleys, while a few petals drift lazily in the cool breeze. The atmosphere is quiet and stable, capturing the traditional Japanese landscape with high clarity and
smooth camera movement.</t>
  </si>
  <si>
    <t>Q0315</t>
  </si>
  <si>
    <t>A wide-angle cinematic shot that dynamically transitions into a medium view of a Chinese flight attendant demonstrating safety procedures inside an airplane cabin. The camera pans and orbits around her as she calmly demonstrates the use of an oxygen mask and points toward emergency exits, capturing fluid hand movements and the realistic textures of the aircraft interior with high-quality stability.</t>
  </si>
  <si>
    <t>Q0316</t>
  </si>
  <si>
    <t>A dynamic exterior tracking shot of a high-speed anime train racing through a vibrant countryside. The camera moves parallel to the speeding carriage, focusing on a side window where the lead character is seen looking out, their hair and clothes slightly rustling, with the landscape behind them blurred into streaks of green and gold.</t>
  </si>
  <si>
    <t>Q0317</t>
  </si>
  <si>
    <t>A low-angle perspective from the rain-slicked pavement of late-night Tokyo. The camera remains low, capturing the shivering neon reflections on the ground in the foreground. Above, an elevated train rumbles past.</t>
  </si>
  <si>
    <t>Q0318</t>
  </si>
  <si>
    <t>A wide, high-angle aerial perspective looking down at a futuristic spaceport situated on a floating platform in the middle of the ocean. Multiple rockets of varying dimensions are stationed across the deck. The camera maintains a steady, elevated view, capturing the atmospheric shimmering of heat haze and the subtle glow of pre-launch lights as the largest rocket's engines begin to hum with energy.</t>
  </si>
  <si>
    <t>Q0319</t>
  </si>
  <si>
    <t>镜头从侧面低角度缓缓推入，特写厨师在白色瓷盘上用镊子精细摆盘，背景烛光朦胧。随后慢动作捕捉刀叉切开法式烤鸭，展现肉质纤维张力与红酒酱汁缓缓流淌的细节。</t>
  </si>
  <si>
    <t>Q0320</t>
  </si>
  <si>
    <t>A wide-angle, high-angle perspective of a futuristic VR training simulation within a vast warehouse. The scene is viewed through a digital heads-up display that subtly overlays the environment, with glowing neon outlines marking structural weak points on the steel beams. In the center, a cargo pallet hovers with minimal micro-vibrations, perfectly stabilized. The lighting is dim with soft digital glows, emphasizing a calm
and steady atmosphere.</t>
  </si>
  <si>
    <t>Q0321</t>
  </si>
  <si>
    <t>消防员，30岁，着火大楼，水管，浓烟，紧迫。</t>
  </si>
  <si>
    <t>Q0322</t>
  </si>
  <si>
    <t>清晨，一束光刚刚洒在阳台上，透过窗户照到了室内，阳台上盆栽叶片上的露珠在照射下闪闪发光</t>
  </si>
  <si>
    <t>Q0323</t>
  </si>
  <si>
    <t>A close-up video shows a light blue cotton towel being gently wrung out on a clean white countertop. The hands slowly twist the towel in opposite directions, squeezing out drops of water. Then the hands unfold the towel flat and carefully fold it into a neat rectangle. The camera slowly pulls back to reveal the folded towel beside a bar of soap. Soft, even lighting highlights the towel's fabric texture throughout.</t>
  </si>
  <si>
    <t>Q0324</t>
  </si>
  <si>
    <t>A Chinese scientist in a sterile lab interacting with a DNA sequencer. The cool blue light from the pulsing holographic interface illuminates the scientist's focused face, while complex genetic sequences stream and shift rapidly across the screens in high-speed motion.</t>
  </si>
  <si>
    <t>Q0325</t>
  </si>
  <si>
    <t>In front of a crosswalk, a blind man holds the leash of his guide dog and waits, the dog squatting beside his feet. Cut to a close-up of the traffic light turning green. Cut back to a wide shot as the dog stands up and leads the man steadily across the road.</t>
  </si>
  <si>
    <t>Q0326</t>
  </si>
  <si>
    <t>A cinematic view deep inside a limestone cavern system near Waitomo. Ancient damp rock walls glisten with moisture, hanging stalactites overhead. Soft blue bioluminescence from glowworms flickers across the cavern. Cut to a close-up of glowworm threads dangling from the ceiling. Cut back to wide shot as a small boat drifts silently through the underground river.</t>
  </si>
  <si>
    <t>Q0327</t>
  </si>
  <si>
    <t>An orbital shot circles a Chinese figure skater in slow motion during a triple axel. The camera moves smoothly to capture every moment of the rotation. Ice crystals spray in perfect arcs while stadium lights create dramatic edge lighting on the athlete's form. The crowd becomes a soft blur of color in the background.</t>
  </si>
  <si>
    <t>Q0328</t>
  </si>
  <si>
    <t>A breathtaking cinematic time-lapse capturing the ruins of an ancient stone temple at dawn. As the golden sun crests the horizon, its warm light slowly travels across weathered grey pillars and moss-laden stones, gradually unveiling masterfully crafted relief carvings. Wisps of morning mist dissipate in the soft light, and long shadows retreat to reveal the vibrant greens of the thick moss. The scene is permeated with a peaceful, sacred atmosphere, emphasizing the subtle shift in lighting and the detailed
textures of the aged stone.</t>
  </si>
  <si>
    <t>Q0329</t>
  </si>
  <si>
    <t>The camera uses a low-angle tracking shot, closely following a lion pacing across a vast grassland, golden sunlight dancing on its bushy mane. As the lion stops and locks onto its prey, the camera zooms in for a close-up of its sharp eyes; then, as it leaps and sprints at full speed, the camera switches to a high-speed side-view pan, capturing the explosive power and speed of its charge towards its prey.</t>
  </si>
  <si>
    <t>Q0330</t>
  </si>
  <si>
    <t>在烈日照耀的赛道上，红色的闪电麦昆如一道幻影般飞驰而过，轮胎与柏油路面剧烈摩擦产生青烟。镜头由远及近切换至前脸特写，他那双充满神采的眼睛里透着自信与激昂。紧接着，他猛然刹车，车身顺势做出一个完美的90度侧向漂移，伴随着漫天飞扬的黄色沙尘和低沉的轰鸣声。当尘埃在夕阳余晖中缓缓散去，麦昆的车头稳稳定格，嘴角勾起一抹标志性的得意微笑，漆面闪烁着耀眼的金属质感。</t>
  </si>
  <si>
    <t>Q0331</t>
  </si>
  <si>
    <t>A nomadic alchemist wearing a weathered hooded cloak strolls through a dense, mysterious forest illuminated by giant bioluminescent mushrooms. Several glass medicine bottles filled with translucent liquid hang from a thick belt, shaking and jingling with every step. The alchemist bends down and carefully picks sparkling silver herbs from the moss-covered ground, while nearby exotic flowers vibrate rhythmically, as if whispering in the cool, glowing atmosphere.</t>
  </si>
  <si>
    <t>Q0332</t>
  </si>
  <si>
    <t>A highly detailed, ancient brass clockwork oracle rests motionless in a dimly lit, vaulted temple. Glowing blue constellations are etched across its intricate metallic surface. Thick swirling plumes of incense smoke drift around it, and soft beams of light pierce through the haze, illuminating the oracle's elaborate golden gears in exquisite detail.</t>
  </si>
  <si>
    <t>Q0333</t>
  </si>
  <si>
    <t>在巍峨雪山脚下的静谧村庄，一场盛大的冬季庆典正在进行。镜头从几片晶莹剔透、缓缓飘落的雪花微距特写开始，随着镜头轻柔平滑地向下俯冲，画面逐渐展现出雪地中一群戴着彩色毛线帽的孩子们，他们正欢快地合力堆起圆滚滚的雪人，另一侧则在进行激烈的打雪仗，飞散的雪粉在空中清晰可见。画面中心是一团熊熊燃烧的橙红篝火，木柴噼啪作响，火星向深蓝色的夜空飞溅。围在火边的成年人们有节奏地敲击着蒙皮手鼓，身躯随韵律轻微摇摆，明亮的火光在每个人的面庞上跳跃，映出红润的肤色。最后，镜头平稳地向后拉远形成全景，整座村庄点缀在冷色调的蓝色雪地与暖色调的篝火辉映中，呈现出极致的宁静与祥和。</t>
  </si>
  <si>
    <t>Q0334</t>
  </si>
  <si>
    <t>写真写实风格。夜晚，室内浅暖黄色灯光柔和，窗外下雨，玻璃上布满水珠。一位22岁的非洲女子，黑褐色长卷发，穿着宽松的米白色毛绒睡衣套装，上衣印有卡通黑猫图案，搭配白色长裤。她靠坐在客厅地毯上，腿上盖着毛毯，身旁矮桌上放着一盆蓝莓和一个平板支架。她正在吃蓝莓，目光看向不再画面内的电视屏幕，偶尔打开手机看一下并轻笑。中景镜头，景深自然，前景柔和。光影层次丰富细腻，氛围轻松温馨，充满生活气息和高级美感。</t>
  </si>
  <si>
    <t>Q0335</t>
  </si>
  <si>
    <t>采用动感的跟拍视角，镜头首先从低角度锁定一名身穿复古棕色皮夹克、戴着宽檐帽的牛仔。随着马匹在草原上飞驰，摄像机由侧面平移迅速切换至斜后方的追随视角，清晰地展现牛仔手臂发力、熟练地在头顶旋转长套索的连贯动作。当他精准地将套索抛向前方狂奔的小牛时，镜头伴随绳索的飞行轨迹进行快速推进，捕捉套索在空中因离心力形成的动态圆环。画面背景中落日的余晖穿透飞扬的尘土，呈现出极具物理质感与光影张力的电影级动态场景。</t>
  </si>
  <si>
    <t>Q0336</t>
  </si>
  <si>
    <t>这是一段极致清晰的微观摄影。一滴深红色的墨水从上方缓缓坠落，精准地击中清澈见底的水面。随着撞击，墨水开始在水中优雅地向四周扩散，丝滑的红色线条如同精致的红绸缎在水中飘动。随着时间推移，墨水逐渐演变成复杂的、烟雾缭绕的云雾状结构，在光线的折射下呈现出深浅不一的红色层次感。画面中杯内的总水量保持恒定，液面高度稳定，水流的扩散遵循真实的流体力学规律，过程缓慢且丝滑。背景纯净且带有细腻的虚化效果，突出了流体运动的纹理和物理真实感。</t>
  </si>
  <si>
    <t>Q0337</t>
  </si>
  <si>
    <t>镜头采用动感的低角度跟踪拍摄，2D热血动漫风格，紧贴航母甲板随第一架银色战机同步冲刺。随着机头拉升，相机平滑切换至广角侧随视角，依次捕捉蓝色与黑色战机从甲板弹射起飞的连贯过程。随后镜头转为高空俯瞰并迅速俯冲，以飞行视角穿梭在三架保持编队的飞行器之间。阳光在不同机身的金属涂装上产生一致的折射光影，物理动态极其真实，史诗般的空战大片质感。</t>
  </si>
  <si>
    <t>Q0338</t>
  </si>
  <si>
    <t>一名侦探站在一间光线昏暗的房间里，手持一件物品，若有所思地端详着。</t>
  </si>
  <si>
    <t>Q0339</t>
  </si>
  <si>
    <t>一名年轻男子在地铁中静坐不动，周围是快速移动的模糊人影。车门开了，人群涌入，一个女人的包蹭到他肩膀，他无反应。镜头从远景慢慢拉近至他面部特写，捕捉他几乎不眨动的双眼。</t>
  </si>
  <si>
    <t>Q0340</t>
  </si>
  <si>
    <t>咖啡馆里，特写拍摄老年男人，他若有所思地坐着，眼神专注。随后他的表情从沉思逐渐变成微笑，抬手撩了一下头发，眼神中透出一种找到答案般的欣慰。</t>
  </si>
  <si>
    <t>Q0341</t>
  </si>
  <si>
    <t>一名英俊男子立于薄雾笼罩的山脊之上。他身着利落实用的户外装备—— 深炭灰色防风夹克、专业登山裤，双肩背着登山包。山风微凉，吹乱了他的发丝，神情沉静而坚毅。背景是翻涌的缥缈云雾，在嶙峋怪石间缭绕飘散，偶有间隙，远方巍峨的雪山便露出一角。镜头从男子身后缓缓推进，他正凝视着脚下云雾翻涌的深渊。凛冽的空气中，他呼出的气息凝成白雾，化作自然的氛围感细节。他微微转向镜头，锐利的眼眸中透着不屈的韧劲。</t>
  </si>
  <si>
    <t>Q0342</t>
  </si>
  <si>
    <t>跟拍中景，西装男快速穿过人流，神情专注。镜头跟着男人人群中穿梭推进，制造节奏压迫感。他最终站在车门前，深呼吸，抬头向上看。</t>
  </si>
  <si>
    <t>Q0343</t>
  </si>
  <si>
    <t>A close-up of a wok on a stove, filled with colorful vegetables being stir-fried over high heat.</t>
  </si>
  <si>
    <t>Q0344</t>
  </si>
  <si>
    <t>风吹麦浪，小男孩在田野中行走。</t>
  </si>
  <si>
    <t>Q0345</t>
  </si>
  <si>
    <t>A person is seen meticulously folding freshly laundered clothes on a clean bed. They are smoothing out wrinkles with their hands and stacking t-shirts into neat, organized piles. The room is filled with soft, natural morning light, creating a warm and productive atmosphere.</t>
  </si>
  <si>
    <t>Q0346</t>
  </si>
  <si>
    <t>直播间一个漂亮的女士正在介绍手里的衬衫。</t>
  </si>
  <si>
    <t>Q0347</t>
  </si>
  <si>
    <t>新年来了，超市里十分热闹，到处张灯结彩。</t>
  </si>
  <si>
    <t>Q0348</t>
  </si>
  <si>
    <t>A group of people is sitting comfortably on the wooden deck of a cruise ship, gazing out at the endless expanse of the open sea. The sky is painted in stunning shades of orange, pink, and purple as the sun slowly sets on the horizon, casting a golden reflection across the gently rolling waves. Some are lounging on cushioned deck chairs with sunglasses on, sipping cool drinks and chatting softly. Others are leaning against the railing, pointing at distant dolphins leaping out of the water or admiring the distant silhouette of a passing island. A couple is wrapped in a warm blanket, snuggled close together, watching the breathtaking view in peaceful silence. The cool ocean breeze rustles through their hair, and the rhythmic sound of waves lapping against the hull creates a soothing, tranquil atmosphere. Everyone seems completely at ease, immersed in the beauty of nature and the shared joy of this serene moment at sea.</t>
  </si>
  <si>
    <t>Q0349</t>
  </si>
  <si>
    <t>The students in the classroom are listening attentively to the lesson.</t>
  </si>
  <si>
    <t>Q0350</t>
  </si>
  <si>
    <t>A group of believers gathers in the old stone church, their footsteps muffled by the worn red carpet that runs down the center aisle. They settle into the wooden pews—some kneeling, some sitting with heads bowed, others standing with eyes raised toward the stained-glass window where morning light spills in gold and blue.</t>
  </si>
  <si>
    <t>Q0351</t>
  </si>
  <si>
    <t>一个漂亮的女孩坐在沙发上边喝咖啡边看书。</t>
  </si>
  <si>
    <t>Q0352</t>
  </si>
  <si>
    <t>A lively family gathers around the dining table for a meal together.</t>
  </si>
  <si>
    <t>Q0353</t>
  </si>
  <si>
    <t>清晨，一位少年骑着自行车在欧洲老城区的石板路上匀速前行。</t>
  </si>
  <si>
    <t>Q0354</t>
  </si>
  <si>
    <t>一位欧洲新娘在婚礼前独自站在化妆镜前。镜头从镜中她微笑整理发饰的特写开始，缓慢推进。她拿起桌上的口红涂抹嘴唇，对着镜子满意地点头。</t>
  </si>
  <si>
    <t>Q0355</t>
  </si>
  <si>
    <t>一个愤怒的男人站在房间里，双拳紧握，眉头紧锁，嘴唇微微颤抖。</t>
  </si>
  <si>
    <t>Q0356</t>
  </si>
  <si>
    <t>In a single continuous cinematic shot, the camera starts from outside a glass window and slowly pushes inward into a pizza shop. A bearded employee removes a pizza from the oven, places it into a red takeaway box, and hands it to a waiting customer with a warm smile. The shot ends with an over-the-shoulder perspective.</t>
  </si>
  <si>
    <t>Q0357</t>
  </si>
  <si>
    <t>On a nighttime urban street with reflective wet pavement and neon lighting, a group of young street dancers forms a semicircle. One dancer steps into the center and performs a solo featuring dynamic floor moves and freezes. The camera slowly circles around the dancer, maintaining a cinematic, stable frame with photorealistic detail.</t>
  </si>
  <si>
    <t>Q0358</t>
  </si>
  <si>
    <t>纽约写字楼办公区，一名外国男职员站在打印机旁，低头翻看手中刚打印出来的文件。</t>
  </si>
  <si>
    <t>Q0359</t>
  </si>
  <si>
    <t>Shot in a fashion magazine style with a handheld camera and motion blur, a group of 18-year-old hippie goths gather at a warehouse party. One of them sprays graffiti on the wall while another dances wildly under flickering strobe lights. The camera pushes through the crowd toward a DJ booth, capturing the scene with a horror-movie-inspired cinematic intensity.</t>
  </si>
  <si>
    <t>Q0360</t>
  </si>
  <si>
    <t>A wide establishing shot reveals a spacious ballet studio with floor-to-ceiling windows and golden afternoon light streaming in. Twelve ballerinas in matching pale pink tutus and satin pointe shoes stand in perfect formation across the wooden floor. The camera slowly dollies forward as they begin a synchronized grand jeté, their bodies suspended in mid-air at the peak of the leap with arms arched gracefully. Sweat glistens on their brows, their reflections visible in the wall-length mirrors. In the foreground, a choreographer stands with her back to the camera, gesturing with subtle hand movements as dust motes dance in the sunbeams.</t>
  </si>
  <si>
    <t>Q0361</t>
  </si>
  <si>
    <t>中近景镜头，两群职场人士在现代会议室中相对而立。一位藏青西装男将合同推到桌面中央，对面白色西装女审视后签字，两人起身握手。镜头缓慢推近至握手特写。</t>
  </si>
  <si>
    <t>Q0362</t>
  </si>
  <si>
    <t>Low-angle tracking shot, eight runners in colorful athletic wear jog steadily along a misty riverside path at dawn. The camera tracks alongside at ground level. The lead runner gradually accelerates and pulls ahead of the pack.</t>
  </si>
  <si>
    <t>Q0363</t>
  </si>
  <si>
    <t>A wide, dynamic shot from ground level captures a group of eight teenagers playing street football in a narrow cobblestone alley between old colorful buildings. The camera sits low near the goalpost, framing the action from an acute angle. A boy in a yellow jersey dribbles the ball diagonally across the frame as three defenders close in from both sides, their bodies leaning sharply into the sprint. Another player in red makes a sliding tackle, sending dust and small pebbles flying. Shadows stretch long from the setting sun behind them, and rapid camera pans follow the ball's movement.</t>
  </si>
  <si>
    <t>Q0364</t>
  </si>
  <si>
    <t>轻微俯拍广角定场镜头，黄昏时分热闹的游乐场。一座华丽复古的旋转木马，金色的灯串和彩绘木马在画面正中央优雅旋转，周围簇拥着全家出游的人群、孩子们和情侣。孩子们紧紧抱住木马，睁大眼睛满怀兴奋，而家长们在一旁挥手，脸庞被彩灯温暖的光芒照亮。摄影机缓慢右摇，背景中一座过山车正在翻转，摩天轮在深紫色的暮色天空下熠熠发光。多重景深层次——中景的旋转木马、前景的观众、背景的游乐设施——营造出丰富的空间构图。旋转木马的运动略作模糊处理形成动态对比，而笑脸则锐利清晰。鲜艳霓虹色与深邃暮色蓝形成对比，电影级画质，4K高清，欢乐而梦幻的氛围，充满笑声与惊奇。</t>
  </si>
  <si>
    <t>Q0365</t>
  </si>
  <si>
    <t>赛车在金字塔前的赛道上呼啸而过，黄沙在轮胎下扬起。镜头贴地，赛车飞驰过弯，沙尘飘散。多个赛车在蜿蜒赛道上交错超车，构图呈现金字塔剪影与疾速并存的张力。【高空无人机镜头】俯瞰整条沙漠赛道，展示车流轨迹与落日余晖交织的动态美感。</t>
  </si>
  <si>
    <t>Q0366</t>
  </si>
  <si>
    <t>场景设定：一个广阔的科幻机库或对接舱，向外望去是未来主义的天际线——高耸入云的尖塔沐浴在冷冽的日光中。地面是抛光金属材质，映出细微的建筑细节。镜头从阴影笼罩的机库内部深处开始，低位居中，向外凝视。镜头缓慢前推，逐渐展现更多由敞开的舱口框住的明亮天际线。推进时，地面上柔和的蓝色反光闪烁延伸。远处的高耸城市景观愈发清晰—抽象、高得不可思议的庞大建筑群。天际线上的光线微妙变化，暗示某种运动的开始——或许有什么正在抵达，或即将启程。最后几秒在机库地面边缘与外部平台相接时结束 ——城市仍遥不可及，刧似乎蕴藏着潜在的能量。</t>
  </si>
  <si>
    <t>Q0367</t>
  </si>
  <si>
    <t>一幅充满活力的插画，一只蓝色金刚鹦鹉从色彩丰富的热带树冠中展翅飞出。镜头缓缓跟随它滑翔穿过斑斓背景，羽毛在阳光下闪烁虹彩。背景融入艺术图形元素和有机形状，风格鲜明富有表现力。</t>
  </si>
  <si>
    <t>Q0368</t>
  </si>
  <si>
    <t>写实风格，一段玻璃楼梯在淡紫色的天空中螺旋而上，玻璃楼梯反射出漂亮的光影。一位赤足的舞者拾级而上，镜头随着她一同上升。</t>
  </si>
  <si>
    <t>Q0369</t>
  </si>
  <si>
    <t>花园中，微风吹动花枝左右摇摆，一只蜜蜂从花丛中飞出绕了一圈又落回花蕊。旁边喷泉水珠抛起后落入池面溅出涟漪。阳光穿过酒瓶在桌面投射出彩色折射光斑，光斑随云层移动缓慢变化。</t>
  </si>
  <si>
    <t>Q0370</t>
  </si>
  <si>
    <t>一片梦幻的雏菊花田在微风中轻轻摇曳，薄雾在背景中萦绕不散。</t>
  </si>
  <si>
    <t>Q0371</t>
  </si>
  <si>
    <t>一个穿着破旧宇航服的年轻宇航员坐在昏暗的太空舱驾驶舱内，头盔玻璃上布满雾气和划痕，仪表盘闪烁着橙黄色灯光，氛围紧张而孤寂。视频从这个静态首帧开始，镜头快速拉近宇航员的脸部，随即切换到舱外，展现飞船急速穿越暴风雪般的太空尘埃风暴。太空科幻风格。</t>
  </si>
  <si>
    <t>Q0372</t>
  </si>
  <si>
    <t>高美感的赛博朋克的未来风格，冷色调，近景，背景虚化，镜头缓慢跟随年轻东亚女性独自走在空旷的废墟中间，她凝重地盯着前方，眼眶发红，泪水在下眼脸聚着，表情悲伤而压抑，朝阳的光打在她脸上，形成明暗交替的斑驳光影，她抬头，转头看向左右，她的眼神脆弱中透露出一丝坚定和倔强。她嘴角先微微抽动，鼻翼轻颤，悲伤的神情消失了，转为一种温柔、平和又坚定的神情，嘴角上扬，她似乎又重拾信心看见了希望。具备细腻的胶片质感，摄影运镜是轻微的手持镜头，微表情清晰，表演非常细腻有层次感，整体非常有电影质感</t>
  </si>
  <si>
    <t>Q0373</t>
  </si>
  <si>
    <t>烈日下的废弃工业区，背景是高耸的大楼，此刻正轰然爆炸倒塌，火光和浓烟卷起尘埃，碎片飞溅。画面左侧呈现爆炸全景，摄影机聚焦主角面部大特写，主角身穿略显皱褶的西装，肩膀被微风轻轻吹起，衣角随动作轻摆。他的脸庞沧桑而坚毅，刻画出岁月痕迹和经历的沉重，眉眼间透出冷静与不屑。摄影机以大特写捕捉他的面部表情：微微眯起的眼睛、嘴角勾起一抹不屑的笑，火光映照在侧脸形成强烈光影对比，展现英雄气质和内心的傲然无畏。慢动作与景深结合，使爆炸背景和人物表情同时呈现，4K超清，光影层次丰富，整体画面写实而震撼，充满电影大片感和故事张力。电影质感。焦点调度由远景的爆炸聚焦到主角的脸部，他抽着烟轻蔑的笑了起来，情绪细腻</t>
  </si>
  <si>
    <t>Q0374</t>
  </si>
  <si>
    <t>午后的房间，阳光透过百叶窗形成条纹光斑。窗台上猫咪趴着呼吸，身体随呼吸微微起伏。一只飞蛾从窗缝飞入，猫咪耳朵竖起追踪飞蛾轨迹，头部随之左右转动。镜头从猫咪推近至地板光斑，光斑随云层移动缓慢偏移。</t>
  </si>
  <si>
    <t>Q0375</t>
  </si>
  <si>
    <t>一座城池出现在远方地平线上，城墙绵长坚固，在风雪中若隐若现。 无数黑甲骑兵从四面八方如黑色潮水般席卷而来。铁甲反射寒光，长矛如林，数不清的旌旗在风雪中剧烈翻卷舞动。骑兵冲锋一片混乱。 以大场面俯视角度的大广角全景图展现骑兵大战。 色彩以黑、白、灰、暗红为主，电影级光影，史诗感，8K，渲染引擎。无人机视角穿梭。</t>
  </si>
  <si>
    <t>Q0376</t>
  </si>
  <si>
    <t>In a dimly lit room at night, a man stands silhouetted against a projection screen. An eye-level close-up shot reveals he is wearing a white tank top, with a silver earring glinting in his ear. His gaze is lost in the distance, his expression pensive and thoughtful. As the camera pans to the right, the background dissolves into a blur of intertwining blue and purple light, creating a mysterious and captivating atmosphere. The ethereal glow casts a kaleidoscope of colors onto his face, sharply defining the contours of his features. Mixed underlighting and side lighting create strong contrast throughout.</t>
  </si>
  <si>
    <t>Q0377</t>
  </si>
  <si>
    <t>A cinematic wide shot with symmetrical composition shows a lone figure in a red coat walking down the center of a long, wet cobblestone street flanked by old European buildings on both sides. The buildings mirror each other perfectly, creating a strong central axis. Rain falls gently, reflecting the warm glow of vintage street lamps on the wet pavement. The camera tracks backward slowly, keeping the figure perfectly centered at all times. The towering architecture frames the subject on both sides, drawing the eye directly to the middle, all rendered in a moody blue and orange color grading with shallow depth of field.</t>
  </si>
  <si>
    <t>Q0378</t>
  </si>
  <si>
    <t>雨夜街角，特写镜头对准一位撑伞等待的行人。一辆出租车驶过，轮胎溅起水花。行人低头看手表，收起雨伞走向路边。镜头拉焦到前景雨珠，雨珠中折射出霓虹灯的倒影。焦点再次回到行人，他伸手拦下出租车，拉开车门上车。</t>
  </si>
  <si>
    <t>Q0379</t>
  </si>
  <si>
    <t>镜头跟随一位在舞台上独舞的舞者移动。舞者先完成一组旋转，随后下蹲滑步横移至舞台另一侧，最后跳跃落地定格造型。背景舞台灯光处于失焦状态，形成流动的彩色光斑。</t>
  </si>
  <si>
    <t>Q0380</t>
  </si>
  <si>
    <t>A close-up macro shot captures a single raindrop hitting a green lotus leaf in slow motion. The moment of impact is frozen in time, showing the water droplet deforming into a perfect crown shape before splashing outward. Tiny water droplets hang suspended in the air, glistening with sunlight. Soft natural lighting and shallow depth of field emphasize the highly detailed texture in a serene atmosphere.</t>
  </si>
  <si>
    <t>Q0381</t>
  </si>
  <si>
    <t>一位雀斑女孩，双眸美丽，脸颊柔润，目光径直望向镜头。她绽开微笑。鱼眼镜头采用带有广角畸变的特写。镜头从她面部的特写开始，逐渐后拉，现出她双手向镜头轻递一支小白花的画面。纤指因情绪波动微微发颤，双马尾辫随之轻摆。微风撩起她的衣角，她顽皮地歪了歪头。背景虚化成带有轻微弧度的梦幻光晕，虹膜里流转着细碎光芒。</t>
  </si>
  <si>
    <t>Q0382</t>
  </si>
  <si>
    <t>A Golden Retriever curiously approaches the lens, its nose almost touching the glass. Shot with a close-up fisheye lens, the dog's nose and mouth appear exaggeratedly enlarged due to perspective, its eyes looking like two giant black gems. Behind the dog, the owner sits on the sofa. Sunlight streams through the window onto the floor, forming circular warm light spots. The image is full of love and humor.</t>
  </si>
  <si>
    <t>Q0383</t>
  </si>
  <si>
    <t>红衣女子为女主，黑衣女子为对手。画面采用清晰的微观摄影风格，镜头贴近人物。首先聚焦红衣女子侧脸大特写，捕捉傍晚冷光下眼角汗珠、睫毛颤动以及眼神从漫不经心转为冷冽杀意的瞬间。山风仅吹动鬓角发丝与衣领一角，衣料纹理清晰可见；随即切换至手部与剑尖微距特写，展现手指紧扣剑柄时指节泛白的细节，以及两把剑尖在空气中微微颤动、反射寒光的金属质感，背景完全虚化；最后定格在两剑即将相交的毫米级距离，通过瞳孔快速切换捕捉眼神爆发的杀气，全程保持大光圈浅景深效果，营造烟雨江湖电影感，冷调低饱和，光影层次丰富，确保人物面部比例稳定、发丝与衣袂摆动遵循真实空气动力学，动作连贯自然，突出流体运动纹理与物理真实感。</t>
  </si>
  <si>
    <t>Q0384</t>
  </si>
  <si>
    <t>电影级无人机镜头，未来感玻璃摩天大楼反射金色夕阳，云层快速移动。切至楼顶平台，一人站在边缘俯瞰城市。切回无人机视角，镜头绕建筑环飞，动态光影在玻璃幕墙上流转。</t>
  </si>
  <si>
    <t>Q0385</t>
  </si>
  <si>
    <t>带有大窗户的温馨现代客厅，阳光透过薄纱窗帘洒入，尘埃在光束中飞舞，一人在沙发上阅读，暖色调，柔焦。</t>
  </si>
  <si>
    <t>Q0386</t>
  </si>
  <si>
    <t>In a minimalist open-plan office, team members collaborate around a glass table bathed in natural light, with green plants visible in the background. The camera pans smoothly across the workspace, capturing the professional and productive atmosphere.</t>
  </si>
  <si>
    <t>Q0387</t>
  </si>
  <si>
    <t>木桌上咖啡杯的微距镜头，蒸汽缓慢升起形成卷曲螺旋。一只手入画拿起小勺搅拌咖啡，液面出现旋涡。手放下勺子，端起杯子轻啜一口再放回桌面。镜头沿桌面缓慢滑动至窗边。</t>
  </si>
  <si>
    <t>Q0388</t>
  </si>
  <si>
    <t>色彩斑斓的水下珊瑚礁，彩色鱼群游动，阳光透过水面在沙底形成焦散图案。</t>
  </si>
  <si>
    <t>Q0389</t>
  </si>
  <si>
    <t>小草被风吹动，两只狗向不同方向转头看向远方。</t>
  </si>
  <si>
    <t>Q0390</t>
  </si>
  <si>
    <t>猫跳上桌子，开始喝水。</t>
  </si>
  <si>
    <t>Q0391</t>
  </si>
  <si>
    <t>清晨的原始森林，柔和的金色阳光透过茂密的树叶洒下。一只毛茸茸的树懒倒挂在低矮的树枝上，极其缓慢地眨了一下眼睛。切至微距特写，树懒的爪子紧握树枝，指甲纹理清晰。切回中景，一只彩色蝴蝶落在树懒鼻尖上，树懒缓慢地歪头注视。</t>
  </si>
  <si>
    <t>Q0392</t>
  </si>
  <si>
    <t>在一个温馨的公寓里，狗狗在趴着吃狗粮，猫猫走过来，伸出爪子碰了碰狗狗。切至狗狗面部特写，它停下吃饭抬头看猫。切回全景，猫猫依偎在狗狗身边，画面采用暖色调。</t>
  </si>
  <si>
    <t>Q0393</t>
  </si>
  <si>
    <t>一个定格动画风格的场景，主角是用黄色毛毡制作的小鸟。一只小鸟飞近鸟屋，与另一只小鸟分享一条虫子，在一个微缩场景中展现了羊毛、纸板和麻绳的触感。</t>
  </si>
  <si>
    <t>Q0394</t>
  </si>
  <si>
    <t>一座由寒冰雕琢而成的大教堂，自内部散发出柔和光芒。镜头从广角远景逐渐推至进门。切至内部仰拍视角，冰制穹顶上光线折射出彩虹。切回正面，冰柱细节清晰可见，内部结构逐渐显现。</t>
  </si>
  <si>
    <t>Q0395</t>
  </si>
  <si>
    <t>一座由硬纸板和瓶盖搭建的微型城市，在夜晚焕发出生机。一列硬纸板火车缓缓驶过，小灯点缀其间呢，照亮前路。</t>
  </si>
  <si>
    <t>Q0396</t>
  </si>
  <si>
    <t>Extreme close-up of a high-end mechanical watch movement. The frame is densely packed with precision gears, mainsprings, ruby bearings, and screws. The background consists of deep, intricate mechanical shadows, emphasizing the complexity and metallic sheen.</t>
  </si>
  <si>
    <t>Q0397</t>
  </si>
  <si>
    <t>玻璃杯从木桌边缘缓缓滑出，坠向大理石地面粉碎。碎片向四周飞溅，其中一块较大的碎片滑过地面撞上桌腿反弹。杯中残余的红酒泼洒在白色大理石上，液体沿缝隙流淌。一只猫从桌下窜出，踩过酒液留下红色爪印，跳上窗台回头张望。</t>
  </si>
  <si>
    <t>Q0398</t>
  </si>
  <si>
    <t>一个由木块和玻璃弹珠搭建在光滑桌面上的摇摇欲坠的塔。一颗弹珠滚向底部，引发连锁反应，木块一个接一个倒塌。切至慢动作微距，一块木块击中弹珠使其高速旋转弹射。切回全景，剩余的木块和弹珠在桌面上散落静止。</t>
  </si>
  <si>
    <t>Q0399</t>
  </si>
  <si>
    <t>一个沉重的保龄球滚过抛光的木质球道，撞击一排水晶酒杯。撞击瞬间，前排酒杯炸裂成数千片碎片向外飞溅。碎片击中第二排酒杯，引发连锁破碎。其中一只酒杯被弹飞旋转着落在球道上弹跳三次才碎裂。保龄球继续向前滚过碎片区域，碾碎残留的杯底，最终撞上球道尽头的挡板弹回。慢镜头回放：一片锋利碎片在空中翻转，背景中其他碎片以不同速度散射，地面的酒液被气浪推成扇形。切换至俯拍视角，展现球道上碎片散布的全貌。</t>
  </si>
  <si>
    <t>Q0400</t>
  </si>
  <si>
    <t>A vertical ASMR video with no music, focused entirely on macro details. A light blue skincare gel bottle sits on a glass surface as a pale, elegant hand gently taps the glass, producing crisp fingernail tapping sounds. The hand picks up the bottle and slowly twists the cap with an audible rotation sound. A spoon scoops a portion of gel, and with a soft plop, a thick blob of pale blue gel lands heavily on the glass surface. The gel is dense and viscous, containing tiny realistic air bubbles, glowing like a gemstone under dramatic cool backlighting. The hand presses firmly onto the gel, flattening it and causing it to spread outward into an irregular circle as tiny bubbles swirl within the texture. Palm lines and skin details are clearly visible through the glass as the hand slowly spreads the gel in circular motions, thinning it into a semi-transparent oily film.</t>
  </si>
  <si>
    <t>Q0401</t>
  </si>
  <si>
    <t>俯拍镜头，蓝色的海浪拍打礁岩，场面恢宏壮阔。</t>
  </si>
  <si>
    <t>Q0402</t>
  </si>
  <si>
    <t>特写镜头，一只拳头快速击打盛满非牛顿流体（玉米淀粉水）的容器。流体在受力瞬间表现出固体般的刚性，拳头未陷入；当拳头缓慢移开时，流体又恢复液态流动。</t>
  </si>
  <si>
    <t>Q0403</t>
  </si>
  <si>
    <t>俯拍镜头，浓稠的蜂蜜从勺子缓慢滴落，拉伸成细长的丝状。</t>
  </si>
  <si>
    <t>Q0404</t>
  </si>
  <si>
    <t>Solid black background. The text "THE FUTURE IS HERE" appears in bold, white, sans-serif typography. The characters pop out one by one in a rapid sequence. As each character appears, it performs a subtle upward bounce combined with a quick scale-up (zoom-in) effect.</t>
  </si>
  <si>
    <t>Q0405</t>
  </si>
  <si>
    <t>深蓝色背景，文字"智能驱动"以全息投影形式呈现。文字由无数发光的蓝色粒子组成，粒子从底部快速汇聚成字。切至侧面视角，文字整体缓慢旋转并闪烁，背景是流动的代码雨。切回正面，文字放大占满画面。</t>
  </si>
  <si>
    <t>Q0406</t>
  </si>
  <si>
    <t>宣纸背景，黑色毛笔写就“生生不息”。文字像水墨滴入水中一样，晕染开来。笔触边缘有毛边和飞白效果。墨色由浓转淡。</t>
  </si>
  <si>
    <t>Q0407</t>
  </si>
  <si>
    <t>Neon-colored background with a vibrant, high-contrast palette. The text "SYSTEM REBOOT" is displayed in a heavy Glitch art style.</t>
  </si>
  <si>
    <t>Q0408</t>
  </si>
  <si>
    <t>绿色自然背景，文字“生命”由藤蔓和绿叶构成。文字像植物一样向上生长，叶片逐渐展开，藤蔓缠绕形成笔画。生长过程自然，伴随微风拂叶的轻微晃动。</t>
  </si>
  <si>
    <t>Q0409</t>
  </si>
  <si>
    <t>画面里是一封泛黄旧信纸，上面密密麻麻的字迹潦草。内容："亲爱的，再见了。愿风带走我的思念，从此山水不相逢。那年春天你送我的白玉兰，如今已枯在书页里。我把所有照片都留在了老房子的抽屉中，钥匙在门垫下面。原谅我没有勇气当面说出这些话..."突然一阵强风灌入，信纸剧烈翻飞发出哗啦脆响。信纸被卷起撞上桌面的墨水瓶，墨水瓶倾倒，黑色墨汁流淌浸染信纸边缘，字迹在墨水中逐渐洇散模糊。风继续吹，信纸最终被卷出窗外飘向远方，镜头跟随信纸飞越屋顶，下方是雨后空旷的街道。</t>
  </si>
  <si>
    <t>Q0410</t>
  </si>
  <si>
    <t>特写一张铺在深色实木会议桌上的法律合同，一位律师正用红色钢笔批注条款。切至文字微距："第5.2条知识产权归属：[原条款]：所有开发成果归甲方所有。[修订建议]:改为双方共同所有。"切回律师面部特写，她推了推眼镜继续批注。</t>
  </si>
  <si>
    <t>Q0411</t>
  </si>
  <si>
    <t>镜头聚焦在一份病历上，一位带着听诊器的医生正在用黑色和红色记号笔书写诊断报告。切至文字特写："患者：男性，45岁。主诉：持续性胸痛伴呼吸困难。初步诊断：急性心肌梗死疑似。"切回医生面部，他皱眉沉思后拿起电话。</t>
  </si>
  <si>
    <t>Q0412</t>
  </si>
  <si>
    <t>特写镜头对准落地玻璃窗，窗外是模糊的城市夜景。一位设计师正手持白色和黄色荧光马克笔在玻璃上快速书写产品创意关键词。切至窗外视角，透过玻璃上的倒写文字看到设计师的身影。切回室内特写，设计师在一个关键词下面画了三个下划线。</t>
  </si>
  <si>
    <t>Q0413</t>
  </si>
  <si>
    <t>俯拍视角，一个人坐在桌前，旁边放着一杯冒着热气的咖啡。双手正在键盘上敲击，填写一份“季度复盘”的关键数据。</t>
  </si>
  <si>
    <t>Q0414</t>
  </si>
  <si>
    <t>特写镜头对准一块平板电脑，屏幕上显示着一份电子合同文档。一只戴着智能手表的手正用手指在屏幕上滑动，对关键条款进行高亮标记。</t>
  </si>
  <si>
    <t>Q0415</t>
  </si>
  <si>
    <t>俯拍视角，一张A4 白纸上画着产品草图（如一款智能音箱）。设计师正用黑色马克笔在草图旁快速标注设计要点。</t>
  </si>
  <si>
    <t>Q0416</t>
  </si>
  <si>
    <t>镜头展示一个巨大的屏幕，背景是深蓝色的科技网格。屏幕上密集排列着数百个关键财务指标和业务数据。</t>
  </si>
  <si>
    <t>Q0417</t>
  </si>
  <si>
    <t>一张快递单平铺在桌上，镜头推进聚焦密集运单信息：收件人"张三，138****1234，北京市朝阳区XX路XX号XX小区3栋501室"；寄件人"李四，139****5678，上海市浦东新区XX路XX号XX仓库"；商品信息"智能扫地机器人，数量1，重量3.5kg，体积0.02m³"；物流状态"已揽收（2026-05-20 09:30）→运输中（2026-05-20 14:15）→到达北京分拣中心（2026-05-21 08:00）→派送中（2026-05-21 10:30）"；备注"请放门口，勿敲门。易碎品，轻拿轻放。保价金额2000元"；底部是条形码和二维码，旁印"单号JD202605200001234567"。一只手入画用签字笔在签收栏签下"张三"二字并填写日期，随后撕下底联递给快递员。快递员接过底联塞入腰包，将包裹放在门口，用手持终端扫描二维码，屏幕显示"已签收"状态更新。镜头拉远，走廊里另外两个快递员正推着满载包裹的推车走来。</t>
  </si>
  <si>
    <t>Q0418</t>
  </si>
  <si>
    <t>Extreme close-up of a drop of SK-II Facial Treatment Essence falling into a glass, creating a perfect ripple. The camera pulls back to reveal a glowing, hydrated face of an Asian woman. She gently pats the product into her skin. Text overlay: 'SK-II Facial Treatment Essence, 75% Pitera'. Soft, warm studio lighting, luxurious and elegant mood. Final text: 'Double 11 Special Offer'</t>
  </si>
  <si>
    <t>Q0419</t>
  </si>
  <si>
    <t>A dynamic low-angle shot of a runner's feet hitting the pavement in a city park at sunrise. The camera tracks the Ananta running shoes, highlighting the 'Nitrogen Technology' sole compressing and rebounding. The runner sprints forward, motion blur emphasizing speed. Text overlay: 'ANTA Running Shoes, Lightweight &amp; Responsive'. Golden hour lighting, energetic and inspiring vibe. Final text: 'New Season Launch'</t>
  </si>
  <si>
    <t>Q0420</t>
  </si>
  <si>
    <t>俯拍视角，一篮金黄酥脆的鸡翅正从美的空气炸锅中被拉出，热气缓缓升腾。一只手在鸡翅上撒上罗勒碎。镜头向上摇摄，展示现代厨房台面上那台时尚黑色的空气炸锅。画面叠加文字：‘美的空气炸锅，无油烹饪’。温暖的的厨房灯光。结尾文字：‘买一送一’。</t>
  </si>
  <si>
    <t>Q0421</t>
  </si>
  <si>
    <t>慢动作镜头，新鲜洁白的牛奶倾倒入玻璃杯中，激起奶油般的飞溅。镜头聚焦于木桌上摆放的‘伊利纯牛奶’纸盒，旁边是新鲜水果。阳光透过窗户洒入，照亮了牛奶的质感。画面叠加文字：‘伊利纯牛奶，100% 新鲜’。自然、健康</t>
  </si>
  <si>
    <t>Q0422</t>
  </si>
  <si>
    <t>分屏转场：左侧展示一名学生用触控笔在华为 MatePad 上绘画，右侧展示同一幅画作以 3D 形式生动呈现。镜头推近屏幕，清晰显示‘鸿蒙系统（HarmonyOS）’界面。画面叠加文字：‘华为 MatePad，创意 powerhouse</t>
  </si>
  <si>
    <t>Q0423</t>
  </si>
  <si>
    <t>黎明时分，一位音乐家在安静的屋顶上弹奏吉他，背景是城市天际线。</t>
  </si>
  <si>
    <t>Q0424</t>
  </si>
  <si>
    <t>Graffiti artists paint a massive mural on a brick wall in an alley. The camera moves dynamically alongside the spray paint cans, capturing the rhythm of the music. Quick cuts between different angles showcase vibrant colors against the urban grit, conveying a high-energy, rebellious atmosphere.</t>
  </si>
  <si>
    <t>Q0425</t>
  </si>
  <si>
    <t>电影级镜头，一位身材健硕、轮廓分明的男模在悬浮于空中的透明T台上自信走秀。男模皮肤质感真实，肌肉线条流畅，神情冷峻专注。</t>
  </si>
  <si>
    <t>Q0426</t>
  </si>
  <si>
    <t>A couple walking hand in hand through a park at sunset, soft golden light surrounding them.</t>
  </si>
  <si>
    <t>Q0427</t>
  </si>
  <si>
    <t>A worker in protective gear operating a machine on a factory floor, sparks flying from the contact point.</t>
  </si>
  <si>
    <t>Q0428</t>
  </si>
  <si>
    <t>一片充满发光蘑菇和漂浮萤火虫的魔法森林。一个年轻女孩在森林中探索，她的裙摆拖在身后。镜头跟随她穿过树林，随后推近至一朵发光的花朵。</t>
  </si>
  <si>
    <t>Q0429</t>
  </si>
  <si>
    <t>一只蜂鸟在花朵间快速飞来飞去，翅膀动得看不清。</t>
  </si>
  <si>
    <t>Q0430</t>
  </si>
  <si>
    <t>低角度拍摄，一把狙击步枪架在支架上。镜头缓慢移动，展示枪管和枪身的质感。光线柔和地打在枪身上，非常酷炫的感觉。</t>
  </si>
  <si>
    <t>Q0431</t>
  </si>
  <si>
    <t>广角镜头，一门拿破仑野战炮矗立在夕阳下的古战场废墟中，炮身覆盖铜绿与锈迹。镜头从炮口推入，展现炮膛内壁的腐蚀纹理。一只乌鸦落在炮管上，啄了几下铁锈后飞走。镜头后拉并环绕炮身，经过炮口雕刻的新古典主义花纹，停在炮轮处。一阵风吹过，废墟中的枯草摇摆，一面残破的军旗从泥土中半露出来，随风颤动。远处地平线上走来一个牵马的人影。</t>
  </si>
  <si>
    <t>Q0432</t>
  </si>
  <si>
    <t>以手持设备的视角记录了户外的一幕。画面起始，一截表面粗糙带有烧焦痕迹的粗大树干占据右侧。在树干左侧，一只橘白相间的猫半隐在树干后。镜头微微向左下方移动，猫转过身来侧卧在泥地上。切至猫的面部特写，它的瞳孔追踪着什么。切回全景，一只长着小角、戴黄色颈带的棕色动物从左上角走入，低头凑近猫嗅探。猫全程保持静止偶尔转头。随后棕色动物抬头退去，猫继续依偎在树干旁抬头望向它离开的方向。</t>
  </si>
  <si>
    <t>Q0433</t>
  </si>
  <si>
    <t>The skateboarder, wearing a dark blue short-sleeved shirt, black pants, a black baseball cap, and light blue sneakers, pops his skateboard into the air, propelling it toward a low, straight metal grind rail positioned horizontally in the foreground. As the board's trucks make contact with the metal rail, the skateboard slips forward and out from under his feet. The skateboard drops off the rail and lands on its wheels on the concrete surface nearby. Concurrently, the skateboarder falls backward, his feet detaching from the board. He reaches out with his left hand toward the ground as he descends, landing flat on his back on the smooth concrete. The impact causes his legs to swing straight up into the air. He slides a short distance on his back before coming to a complete stop. After sliding to a halt, he bends his knees, lowers his legs until his feet rest flat on the ground, and lies motionless on his back with his arms spread out to his sides. The entire sequence is captured in a single, continuous shot without any cuts. The scene takes place on a flat concrete surface that displays distinct, elongated shadows of the rail and the skater. Directly behind the action, a chain-link fence separates the concrete area from a narrow strip of grass. Beyond the fence, parked vehicles, including a white van and a white pickup truck, sit adjacent to a street lined with trees and a building, forming the backdrop of the scene.</t>
  </si>
  <si>
    <t>Q0434</t>
  </si>
  <si>
    <t>视频以一个固定的中景镜头开始，画面中央偏右悬浮着一个巨大的橙色圆形气球，背景是深灰色点缀白色星星的幕布。气球表面亮起一个小红点。切至微距特写，红点迅速扩大成裂缝。切回中景，气球突然破裂，橙色外皮向内卷曲收缩成碎片掉落，内部大量亮黄色碎纸屑瞬间显露散开，纷纷向下飘落。</t>
  </si>
  <si>
    <t>Q0435</t>
  </si>
  <si>
    <t>这段视频是一个单一连续的固定长镜头，展示了一个动画风格的雪地场景。画面背景和边缘矗立着被厚厚白雪覆盖的松树，画面中景有一道破旧的木桩铁丝网栅栏，从画面左侧的一个岩石小沟渠一直延伸向右侧。起初，雪地场景中没有活动的物体。随后，一只棕白相间的狗从画面左下角的沟渠附近出现，并在前景的雪地上快速向画面右侧奔跑。随着狗向右移动，一根连接在狗身上的细牵引绳变得清晰可见，绳子一直向画面左侧延伸。紧接着，绳索突然绷紧，瞬间阻止了狗向前的动作。反向的拉力将狗向后猛拽，导致它的前肢腾空，身体失去平衡并在雪地里向后翻滚。狗在雪地上从右向左滑行了一段距离，滑过了前景的一根木栅栏桩。最后，狗在画面左下方靠近它最初出现的位置停了下来，整个身体平趴在雪地里，头部微抬面朝右前方，保持静止直到视频结束。</t>
  </si>
  <si>
    <t>Q0436</t>
  </si>
  <si>
    <t>Captured in a steady, high-angle, medium-close shot with a realistic, slightly dramatic visual style, the scene focuses on a dark, heavily distressed wooden floor indoors, positioned beneath the vertical metal legs of a piece of furniture. A white vase holding a bouquet of red roses suddenly plunges downward into the frame from above. The vase strikes the wooden floor forcefully, immediately causing the red rose petals to burst outward in all directions. Upon impact, the vase bounces and rolls toward the right side of the frame, finally coming to rest on its side with the neck pointing right. The green stems and red rose heads tumble along with the rolling vase, spilling out onto the floor. Dozens of detached red petals scatter widely, fluttering down to settle irregularly across the dark wood surface and around the bases of the metal legs in the background, as the rapid motion comes to a complete halt within the single, continuous shot.</t>
  </si>
  <si>
    <t>Q0437</t>
  </si>
  <si>
    <t>视频由一个固定的单一连续长镜头构成，呈现出微距摄影的视觉风格。画面聚焦于一个深色且带有纹理的湿润基底表面，背景完全处于黑暗之中。在画面的前景偏右位置，停靠着一个清晰的半球形肥皂泡，其透明的表面反射出红、绿、蓝交织的绚丽彩虹色光泽。在这个主干肥皂泡的左后方，还有一个略小一点的肥皂泡，由于景深较浅而处于模糊的失焦状态。两个肥皂泡的底部边缘都被一圈白色的细碎泡沫和水滴所环绕，这些泡沫不规则地散布在深色的水面上。在视频的开篇阶段，两个肥皂泡静止地附着在表面上。随后，大约在视频播放到1.4秒时，位于前景的那个大肥皂泡突然破裂，原本完整的彩色薄膜瞬间消失。随着它的破裂，只在原本接触水面的位置留下了一圈由白色细小气泡组成的半圆形痕迹，并伴有极微小的水滴向四周飞溅。与此同时，左后方那个模糊的肥皂泡并未受到影响，依然完好地停留在原地。在剩余的时间里，固定的镜头持续注视着前景残留的泡沫圈以及后方那个完好无损的肥皂泡，画面保持静止直到结束。</t>
  </si>
  <si>
    <t>Q0438</t>
  </si>
  <si>
    <t>In an outdoor railway setting, a prominent railroad crossing signal occupies the right foreground, positioned just behind a dark green metal fence with pointed tips that runs horizontally across the bottom of the frame. The signal consists of a large, black, shield-shaped backing with a white border, topped with angled red-and-white striped crossbucks. Below the center, it holds two circular red lights. The left red light illuminates brightly, then switches off, immediately followed by the right red light illuminating and switching off; this alternating flashing sequence continues steadily throughout the scene. As the lights flash, a yellow, blue, and white passenger train enters from the right side of the frame, moving rapidly and continuously from right to left behind the signal and the fence. The signal partially obscures the passing train as it moves across the field of view. The video is captured in a single, fixed medium shot with no camera movement or cuts, maintaining a steady focus on the signal. In the top left corner of the screen, an orange logo depicting a train with the text "TRAIN CHANNEL" is constantly visible. As the train speeds by, the large number "2", an interlocking blue logo, and the word "Sprinter" are briefly visible on its side. The slightly blurred background reveals overhead railway catenary lines, trees, and multi-story buildings, typical of an urban or suburban environment. The video has the direct, realistic, and observational style of documentary or railfan photography.</t>
  </si>
  <si>
    <t>Q0439</t>
  </si>
  <si>
    <t>MMA八角笼内，一名光头拳手以南派站架步步逼近，对手突然一记低扫腿将其击倒，随即骑乘上位连续锤击面部，裁判冲入分开两人。慢动作回放低扫腿命中胫骨的瞬间，切至场边教练挥拳庆祝。</t>
  </si>
  <si>
    <t>Q0440</t>
  </si>
  <si>
    <t>Two medieval knights in full plate armor clash swords on a rain-soaked battlefield. The first knight swings a longsword overhead — the second raises his shield, deflecting with a shower of sparks. He immediately counters with a low thrust that scrapes across the first knight's greave, staggering him sideways. The first knight recovers with a spinning backhand slash that catches the rim of the shield and wrenches it aside. Both step back panting, visors dripping rain, then charge simultaneously — blades locking at the crossguard, boots sliding in the mud, each straining to force the other down. One knee buckles; he rolls away as the sword slams into the earth where his head was.</t>
  </si>
  <si>
    <t>Q0441</t>
  </si>
  <si>
    <t>深夜巷弄，昏暗路灯下两个年轻人扭打在一起。穿夹克的一把抓住对方衣领猛推撞墙，后脑撞击砖面发出闷响；被撞者咬牙用膝盖猛顶对方腹部，趁其弯腰之际双手扣住后脑往下压同时抬膝撞击面部。穿夹克者抱住对方腰部发力摔倒，两人跌入积水中翻滚争夺上位，水花四溅打湿两人全身。最终一人骑在上方连续挥拳，另一人双臂护头蜷缩，旁边垃圾桶被撞翻滚出画面。镜头从侧面低角度缓慢平移拍摄。</t>
  </si>
  <si>
    <t>Q0442</t>
  </si>
  <si>
    <t>A kung fu master in a white changshan faces a wooden dummy in a dimly lit training hall. He opens with rapid Wing Chun chain punches — left-right-left-right — each strike snapping the dummy's wooden arms with precise wrist rotation. Without pausing, he transitions into a pak sao trap, pins the dummy's arm, and delivers three consecutive elbow strikes to the centerline. He then pivots on his rear foot, executes a sweeping low kick against the dummy's base post, and immediately follows with a jumping side kick that connects with the dummy's head section. The wooden frame shudders violently; splinters and sawdust explode outward. He lands in a stable horse stance, fists raised, breath visible in the cold air.</t>
  </si>
  <si>
    <t>Q0443</t>
  </si>
  <si>
    <t>日式道场木地板上，两名剑道选手全副护具面对面蹲踞，竹刀尖端交叉对峙。裁判一声号令，双方同时踏步起身——右侧选手抢先以迅猛的面击攻向头顶，左侧选手侧身闪避的同时顺势挥出胴击打中腰部护甲，发出清脆的竹刀撞击声。右侧选手后退一步调整，随即踏步前冲以突き刺向咽喉，左侧选手格挡后连续后退三步拉开距离。两人重新归位对峙，护面下可见急促呼吸形成的白雾。固定机位正面拍摄，道场旗帜可见轻微晃动。</t>
  </si>
  <si>
    <t>Q0444</t>
  </si>
  <si>
    <t>Two giant mechs battle in a destroyed cityscape. The red mech throws a punch that the blue mech catches mid-air, twists the arm, and delivers an elbow strike to the red mech's torso. Buildings crumble from the shockwave. The red mech retaliates with a rocket-powered uppercut, sending the blue mech crashing through a skyscraper.</t>
  </si>
  <si>
    <t>Q0445</t>
  </si>
  <si>
    <t>非洲草原黄昏，两头鬃毛浓密的雄狮为争夺领地爆发激战。一头率先发起冲锋，前爪高高抬起猛拍对方头部，利爪划过面颊留下血痕；另一头低吼着张口咬住对方颈部鬃毛，四肢发力试图将对手按倒。被咬者剧烈挣扎，后腿蹬地发力甩开对方，随即两头狮子同时后仰站起，前爪互相拍击推搡。一头突然侧身扑倒另一头，两头巨兽在尘土中翻滚扭打，黄沙漫天飞扬。远处母狮群警觉观望，几只幼狮躲在母亲身后。固定远景机位拍摄。</t>
  </si>
  <si>
    <t>Q0446</t>
  </si>
  <si>
    <t>拳击擂台第12回合。红角拳手鼻血横流，顶着对手刺拳强行突入内线，连续三记左钩拳重击对方肋部，蓝角拳手抱头后退至绳角。红角追击一记右手摆拳正中下巴，蓝角双腿发软倒地。裁判开始读秒，镜头切至观众席疯狂庆祝。</t>
  </si>
  <si>
    <t>Q0447</t>
  </si>
  <si>
    <t>A hooded assassin drops from a rooftop onto a guard, driving both to the ground. The guard rolls free and draws his sword. The assassin flicks out a hidden blade and parries the first swing. They exchange three rapid strikes before the assassin ducks a horizontal slash and sweeps the guard's legs. Night alley, torchlight casting long shadows.</t>
  </si>
  <si>
    <t>Q0448</t>
  </si>
  <si>
    <t>动漫风格，樱花飞舞的神社台阶上，两名忍者高速对决。一人掷出三枚手里剑被对方侧身闪过，随即两人贴身以苦无对击，火花四溅。其中一人后空翻拉开距离，双手结印喷出火焰；另一人以水盾抵挡，蒸汽弥漫整个画面。</t>
  </si>
  <si>
    <t>检查点ID</t>
  </si>
  <si>
    <t>原子检查点</t>
  </si>
  <si>
    <t>核心能力ID</t>
  </si>
  <si>
    <t>核心能力名称</t>
  </si>
  <si>
    <t>三级标签ID</t>
  </si>
  <si>
    <t>三级标签名称</t>
  </si>
  <si>
    <t>最低成功线</t>
  </si>
  <si>
    <t>证据时段（如有）</t>
  </si>
  <si>
    <t>Q0001-CP01</t>
  </si>
  <si>
    <t>按原题形成双镜头或多镜头结构与转场</t>
  </si>
  <si>
    <t>C30</t>
  </si>
  <si>
    <t>长镜头多镜头叙事与视觉特效</t>
  </si>
  <si>
    <t>D15.01.02</t>
  </si>
  <si>
    <t>多镜头结构与转场</t>
  </si>
  <si>
    <t>能辨认出原题要求的主要镜头段，切换顺序与转场类型大体成立，不合并成无切换的单段。</t>
  </si>
  <si>
    <t>全片</t>
  </si>
  <si>
    <t>Q0001-CP02</t>
  </si>
  <si>
    <t>按工具功能完成加工、修理或书写操作</t>
  </si>
  <si>
    <t>C18</t>
  </si>
  <si>
    <t>人-物与专业器械操作</t>
  </si>
  <si>
    <t>D07.01.02</t>
  </si>
  <si>
    <t>工具使用与加工操作</t>
  </si>
  <si>
    <t>工具握持方向和作用点合理，至少一次操作产生原题要求的可见结果。</t>
  </si>
  <si>
    <t>工具操作段</t>
  </si>
  <si>
    <t>Q0001-CP03</t>
  </si>
  <si>
    <t>保持角色、道具、场景或动作在切镜后的连续承接</t>
  </si>
  <si>
    <t>D15.01.03</t>
  </si>
  <si>
    <t>跨镜头连续性</t>
  </si>
  <si>
    <t>切镜前后主要角色身份、服装、道具所有者与动作状态可对应，不无故换人换物或重置。</t>
  </si>
  <si>
    <t>相邻切镜前后</t>
  </si>
  <si>
    <t>Q0001-CP04</t>
  </si>
  <si>
    <t>执行相机平移、升降或前推后拉</t>
  </si>
  <si>
    <t>C27</t>
  </si>
  <si>
    <t>镜头与摄影控制</t>
  </si>
  <si>
    <t>D11.01.02</t>
  </si>
  <si>
    <t>平移升降与前推后拉</t>
  </si>
  <si>
    <t>相机位移方向与原题一致，主体尺度和背景视差随位移连续变化。</t>
  </si>
  <si>
    <t>运镜段</t>
  </si>
  <si>
    <t>Q0001-CP05</t>
  </si>
  <si>
    <t>维持原题指定的三维动画、定格或手工媒介</t>
  </si>
  <si>
    <t>C28</t>
  </si>
  <si>
    <t>构图光照材质与风格媒介</t>
  </si>
  <si>
    <t>D13.02.01</t>
  </si>
  <si>
    <t>三维动画定格与手工媒介</t>
  </si>
  <si>
    <t>模型/手工材质与运动方式可辨，全片不突然切换为写实摄影或二维画面。</t>
  </si>
  <si>
    <t>Q0001-CP06</t>
  </si>
  <si>
    <t>保持原题指定景别、角度与前中后景构图</t>
  </si>
  <si>
    <t>D12.01.01</t>
  </si>
  <si>
    <t>画面构图与空间层次</t>
  </si>
  <si>
    <t>主要主体的画面位置、景别和俯仰/远近关系与原题一致，构图不在关键段无故漂移。</t>
  </si>
  <si>
    <t>构图要求对应段</t>
  </si>
  <si>
    <t>Q0001-CP07</t>
  </si>
  <si>
    <t>生成原题指定物种的动物或生物主体</t>
  </si>
  <si>
    <t>C04</t>
  </si>
  <si>
    <t>动物物体载具主体生成</t>
  </si>
  <si>
    <t>D02.02.01</t>
  </si>
  <si>
    <t>动物与生物主体</t>
  </si>
  <si>
    <t>主要动物的物种可辨，关键肢体、表皮与器官数量基本正确，不被相近物种替换。</t>
  </si>
  <si>
    <t>动物清晰出现段</t>
  </si>
  <si>
    <t>Q0002-CP01</t>
  </si>
  <si>
    <t>完成原题指定的武器或徒手连续攻防</t>
  </si>
  <si>
    <t>C20</t>
  </si>
  <si>
    <t>武器与徒手打斗</t>
  </si>
  <si>
    <t>D07.02.04</t>
  </si>
  <si>
    <t>至少一组攻击—防守/命中—反馈链清楚，武器或肢体轨迹对准对手且不无故穿体。</t>
  </si>
  <si>
    <t>攻防动作段</t>
  </si>
  <si>
    <t>Q0002-CP02</t>
  </si>
  <si>
    <t>按原题保持指定数量的主要主体</t>
  </si>
  <si>
    <t>C14</t>
  </si>
  <si>
    <t>多主体容量与精确数量</t>
  </si>
  <si>
    <t>D08.01.01</t>
  </si>
  <si>
    <t>可数主体精确控制</t>
  </si>
  <si>
    <t>主要主体同时清晰可数时数量与原题一致，且关键时段不持续增减或融合。</t>
  </si>
  <si>
    <t>主体同时清晰出现段</t>
  </si>
  <si>
    <t>Q0002-CP03</t>
  </si>
  <si>
    <t>呈现碰撞、命中与动量反作用</t>
  </si>
  <si>
    <t>C23</t>
  </si>
  <si>
    <t>刚体接触轨迹与碰撞物理</t>
  </si>
  <si>
    <t>D09.01.02</t>
  </si>
  <si>
    <t>碰撞动量与反作用</t>
  </si>
  <si>
    <t>碰撞双方在同一时空接触，受击体产生与方向、力度相符的位移、变形或反弹。</t>
  </si>
  <si>
    <t>碰撞发生段</t>
  </si>
  <si>
    <t>Q0002-CP04</t>
  </si>
  <si>
    <t>呈现液体流动、飞溅或容器边界</t>
  </si>
  <si>
    <t>C24</t>
  </si>
  <si>
    <t>柔体流体状态变化与世界因果</t>
  </si>
  <si>
    <t>D09.02.02</t>
  </si>
  <si>
    <t>液体流动与容器边界</t>
  </si>
  <si>
    <t>液体随重力连续流动，飞溅/波纹从接触点扩散，受容器或表面边界约束。</t>
  </si>
  <si>
    <t>液体运动段</t>
  </si>
  <si>
    <t>Q0002-CP05</t>
  </si>
  <si>
    <t>呈现粒子、光轨、全息或超现实变形特效</t>
  </si>
  <si>
    <t>D15.02.01</t>
  </si>
  <si>
    <t>动态特效与超现实变形</t>
  </si>
  <si>
    <t>特效从明确源点或初始形态连续生成，扩散/汇聚/变形有中间态且不瞬间跳变。</t>
  </si>
  <si>
    <t>特效发生段</t>
  </si>
  <si>
    <t>Q0002-CP06</t>
  </si>
  <si>
    <t>跟随移动主体并保持构图</t>
  </si>
  <si>
    <t>D11.02.01</t>
  </si>
  <si>
    <t>主体跟拍与构图保持</t>
  </si>
  <si>
    <t>跟拍期间主要主体持续在画面可见区域，尺度变化合理，相机不明显跟丢或跳位。</t>
  </si>
  <si>
    <t>跟拍段</t>
  </si>
  <si>
    <t>Q0002-CP07</t>
  </si>
  <si>
    <t>呈现失衡、受击、倒地及恢复的动力过程</t>
  </si>
  <si>
    <t>C12</t>
  </si>
  <si>
    <t>体操跑酷、跌倒受击与恢复</t>
  </si>
  <si>
    <t>D04.03.04</t>
  </si>
  <si>
    <t>跌倒受击与恢复</t>
  </si>
  <si>
    <t>受力方向与身体反馈一致，倒地过程连续；若原题要求恢复，需出现重新稳定或起身。</t>
  </si>
  <si>
    <t>受击/倒地段</t>
  </si>
  <si>
    <t>Q0002-CP08</t>
  </si>
  <si>
    <t>呈现原题可见的口部动作或面部精细操作</t>
  </si>
  <si>
    <t>C06</t>
  </si>
  <si>
    <t>面部结构表情与口部操作</t>
  </si>
  <si>
    <t>D03.01.03</t>
  </si>
  <si>
    <t>口部动作与面部精细操作</t>
  </si>
  <si>
    <t>可见张口、咀嚼、吹气、饮用或说唱口型等目标动作；只判断画面动作，不核验声音或指定台词。</t>
  </si>
  <si>
    <t>口部动作段</t>
  </si>
  <si>
    <t>Q0002-CP09</t>
  </si>
  <si>
    <t>保持人与载具、动物或水雪泥介质的接触和控制</t>
  </si>
  <si>
    <t>C21</t>
  </si>
  <si>
    <t>骑乘操控与跨类型环境交互</t>
  </si>
  <si>
    <t>D07.03.01</t>
  </si>
  <si>
    <t>人-载具动物与环境交互</t>
  </si>
  <si>
    <t>人体控制点与载具/动物/介质持续接触，姿态随速度和环境反馈变化，不明显脱离。</t>
  </si>
  <si>
    <t>跨类型交互段</t>
  </si>
  <si>
    <t>Q0002-CP10</t>
  </si>
  <si>
    <t>呈现烟火、气体或颗粒的扩散与聚散</t>
  </si>
  <si>
    <t>D09.02.03</t>
  </si>
  <si>
    <t>烟火气体与颗粒扩散</t>
  </si>
  <si>
    <t>烟、雾、火焰、粉尘或粒子从合理源点产生并连续扩散，方向与风/运动大体一致。</t>
  </si>
  <si>
    <t>烟火/颗粒段</t>
  </si>
  <si>
    <t>Q0002-CP11</t>
  </si>
  <si>
    <t>维持原题要求的同步动作或队形变化</t>
  </si>
  <si>
    <t>C15</t>
  </si>
  <si>
    <t>多主体独立、同步与团队组织</t>
  </si>
  <si>
    <t>D05.02.02</t>
  </si>
  <si>
    <t>多人同步与队形变化</t>
  </si>
  <si>
    <t>多数参与者在主要动作相位上同步，并保持或完成可辨的队形变化。</t>
  </si>
  <si>
    <t>同步/队形段</t>
  </si>
  <si>
    <t>Q0002-CP12</t>
  </si>
  <si>
    <t>完成原题目标—行动—结果构成的线性微故事</t>
  </si>
  <si>
    <t>D15.01.04</t>
  </si>
  <si>
    <t>线性因果微故事</t>
  </si>
  <si>
    <t>起因、主要行动和结果均可辨，事件先后与因果成立，结尾能承接前序动作。</t>
  </si>
  <si>
    <t>Q0003-CP01</t>
  </si>
  <si>
    <t>Q0003-CP02</t>
  </si>
  <si>
    <t>呈现原题要求的屏幕UI、图表、图标或界面反馈</t>
  </si>
  <si>
    <t>C29</t>
  </si>
  <si>
    <t>画面文字图形与界面</t>
  </si>
  <si>
    <t>D14.02.01</t>
  </si>
  <si>
    <t>图表符号与屏幕UI</t>
  </si>
  <si>
    <t>主要界面结构和关键图形可辨；若有点击/滑动，界面状态随操作发生对应变化。</t>
  </si>
  <si>
    <t>屏幕或界面段</t>
  </si>
  <si>
    <t>Q0003-CP03</t>
  </si>
  <si>
    <t>Q0003-CP04</t>
  </si>
  <si>
    <t>呈现载具动力学或机械部件联动</t>
  </si>
  <si>
    <t>C17</t>
  </si>
  <si>
    <t>非人主体运动</t>
  </si>
  <si>
    <t>D06.03.01</t>
  </si>
  <si>
    <t>载具动力学与机械联动</t>
  </si>
  <si>
    <t>主体刚体结构保持，轮轴、翼面、关节或传送部件与整体位移/操作同步运动。</t>
  </si>
  <si>
    <t>载具或机械运动段</t>
  </si>
  <si>
    <t>Q0003-CP05</t>
  </si>
  <si>
    <t>执行航拍、第一人称或复合多轴沉浸运镜</t>
  </si>
  <si>
    <t>D11.02.03</t>
  </si>
  <si>
    <t>复合多轴与沉浸运镜</t>
  </si>
  <si>
    <t>相机路径在至少两个轴向上连续变化，方向和速度可读，空间视差与路径一致。</t>
  </si>
  <si>
    <t>复合运镜段</t>
  </si>
  <si>
    <t>Q0003-CP06</t>
  </si>
  <si>
    <t>Q0003-CP07</t>
  </si>
  <si>
    <t>Q0003-CP08</t>
  </si>
  <si>
    <t>执行原题指定的慢速、快速、升格或加减速</t>
  </si>
  <si>
    <t>C25</t>
  </si>
  <si>
    <t>速度节奏步骤与同步</t>
  </si>
  <si>
    <t>D10.01.01</t>
  </si>
  <si>
    <t>静止微动与速度控制</t>
  </si>
  <si>
    <t>主要运动速度等级与原题一致；加速/减速有连续变化，不把慢动作生成为静止。</t>
  </si>
  <si>
    <t>速度特征段</t>
  </si>
  <si>
    <t>Q0004-CP01</t>
  </si>
  <si>
    <t>呈现反射折射、阴影或操作结果的视觉因果</t>
  </si>
  <si>
    <t>D09.03.03</t>
  </si>
  <si>
    <t>光学现象与功能因果</t>
  </si>
  <si>
    <t>光学关系随主体/光源变化，或点击/开关等操作后出现对应可见结果。</t>
  </si>
  <si>
    <t>光学或功能因果段</t>
  </si>
  <si>
    <t>Q0004-CP02</t>
  </si>
  <si>
    <t>呈现金属、玻璃、陶瓷、冰或镜面等硬质材质</t>
  </si>
  <si>
    <t>D12.02.01</t>
  </si>
  <si>
    <t>硬质反射与透明材质</t>
  </si>
  <si>
    <t>材质反射/折射、高光与透明度符合其类别，物体运动时材质不无故变成塑料或软体。</t>
  </si>
  <si>
    <t>材质特写段</t>
  </si>
  <si>
    <t>Q0004-CP03</t>
  </si>
  <si>
    <t>完成原题指定的走、跑、转向或启停</t>
  </si>
  <si>
    <t>C08</t>
  </si>
  <si>
    <t>整体人体结构与基础移动</t>
  </si>
  <si>
    <t>D04.01.02</t>
  </si>
  <si>
    <t>走跑转向与启停</t>
  </si>
  <si>
    <t>至少出现一个连续步态周期或完整转向/启停，足地接触成立且无明显滑步。</t>
  </si>
  <si>
    <t>人体移动段</t>
  </si>
  <si>
    <t>Q0004-CP04</t>
  </si>
  <si>
    <t>让多个主体按原题分别执行独立动作</t>
  </si>
  <si>
    <t>D05.02.01</t>
  </si>
  <si>
    <t>多主体独立异步运动</t>
  </si>
  <si>
    <t>至少两个主体的动作、速度或轨迹可区分，不把不同任务统一成相同摆动。</t>
  </si>
  <si>
    <t>并行动作段</t>
  </si>
  <si>
    <t>Q0004-CP05</t>
  </si>
  <si>
    <t>稳定呈现大群体并区分前景主角与背景群体</t>
  </si>
  <si>
    <t>D05.01.03</t>
  </si>
  <si>
    <t>大群体与主背景层级</t>
  </si>
  <si>
    <t>画面形成10个以上可感知个体的群体层级；前景主角与背景人群/动物群不整体融合。</t>
  </si>
  <si>
    <t>群体全景段</t>
  </si>
  <si>
    <t>Q0004-CP06</t>
  </si>
  <si>
    <t>保持主要主体身份、外观与物体恒常</t>
  </si>
  <si>
    <t>C26</t>
  </si>
  <si>
    <t>主体场景与接触跨帧一致性</t>
  </si>
  <si>
    <t>D10.02.01</t>
  </si>
  <si>
    <t>主体身份外观与物体恒常</t>
  </si>
  <si>
    <t>主体在转身、运动和遮挡中保持脸、外观、颜色、形状与数量，不发生明显漂移或突变。</t>
  </si>
  <si>
    <t>Q0004-CP07</t>
  </si>
  <si>
    <t>Q0004-CP08</t>
  </si>
  <si>
    <t>生成原题指定的主要人物主体</t>
  </si>
  <si>
    <t>C03</t>
  </si>
  <si>
    <t>人物与角色主体生成</t>
  </si>
  <si>
    <t>D02.01.01</t>
  </si>
  <si>
    <t>写实人物主体</t>
  </si>
  <si>
    <t>主要人物清楚可辨，五官和人体基本结构成立，人物类型未被其他主体替换。</t>
  </si>
  <si>
    <t>人物清晰出现段</t>
  </si>
  <si>
    <t>Q0005-CP01</t>
  </si>
  <si>
    <t>完成原题指定的烹饪或食物制作操作</t>
  </si>
  <si>
    <t>D07.01.03</t>
  </si>
  <si>
    <t>烹饪与食物制作</t>
  </si>
  <si>
    <t>至少一个关键食材处理、加热、混合或摆盘步骤可辨，工具接触与步骤结果相符。</t>
  </si>
  <si>
    <t>烹饪操作段</t>
  </si>
  <si>
    <t>Q0005-CP02</t>
  </si>
  <si>
    <t>生成原题指定年龄、体型、服饰或装备特征的人物</t>
  </si>
  <si>
    <t>D02.01.03</t>
  </si>
  <si>
    <t>人物多样性与特殊形态</t>
  </si>
  <si>
    <t>主要人物的年龄/体型/特殊装备至少有一项能明确对应原题，人体与装备连接可用。</t>
  </si>
  <si>
    <t>Q0005-CP03</t>
  </si>
  <si>
    <t>生成原题指定的主要日常物体、器皿或食品</t>
  </si>
  <si>
    <t>D02.02.02</t>
  </si>
  <si>
    <t>日常物体与食品主体</t>
  </si>
  <si>
    <t>主要物体/食品可辨，功能部件和整体形状基本完整，不出现持续融化或类别替换。</t>
  </si>
  <si>
    <t>主要物体清晰出现段</t>
  </si>
  <si>
    <t>Q0005-CP04</t>
  </si>
  <si>
    <t>建立符合原题用途的室内功能空间</t>
  </si>
  <si>
    <t>C05</t>
  </si>
  <si>
    <t>空间与环境场景生成</t>
  </si>
  <si>
    <t>D02.03.01</t>
  </si>
  <si>
    <t>室内功能空间</t>
  </si>
  <si>
    <t>室内类型可辨，主要家具/设备位置符合用途，空间边界和尺度未明显坍塌。</t>
  </si>
  <si>
    <t>场景建立段</t>
  </si>
  <si>
    <t>Q0006-CP01</t>
  </si>
  <si>
    <t>Q0006-CP02</t>
  </si>
  <si>
    <t>Q0006-CP03</t>
  </si>
  <si>
    <t>Q0006-CP04</t>
  </si>
  <si>
    <t>Q0006-CP05</t>
  </si>
  <si>
    <t>Q0006-CP06</t>
  </si>
  <si>
    <t>建立人物之间的面对、视线或共同注意关系</t>
  </si>
  <si>
    <t>C19</t>
  </si>
  <si>
    <t>人际交流接触与协力</t>
  </si>
  <si>
    <t>D07.02.01</t>
  </si>
  <si>
    <t>视线交流与共同注意</t>
  </si>
  <si>
    <t>相关人物朝向彼此或共同目标，视线/头姿大体对准；不核验说话内容。</t>
  </si>
  <si>
    <t>交流或共同注意段</t>
  </si>
  <si>
    <t>Q0006-CP07</t>
  </si>
  <si>
    <t>Q0006-CP08</t>
  </si>
  <si>
    <t>Q0006-CP09</t>
  </si>
  <si>
    <t>Q0006-CP10</t>
  </si>
  <si>
    <t>Q0006-CP11</t>
  </si>
  <si>
    <t>Q0006-CP12</t>
  </si>
  <si>
    <t>保持主要人物全身比例与关节连接</t>
  </si>
  <si>
    <t>D03.03.01</t>
  </si>
  <si>
    <t>全身比例与关节结构</t>
  </si>
  <si>
    <t>人物清晰可见时头身比、四肢数量和主要关节连接基本合理，动作中不持续增肢或断裂。</t>
  </si>
  <si>
    <t>人物全身清晰段</t>
  </si>
  <si>
    <t>Q0007-CP01</t>
  </si>
  <si>
    <t>Q0007-CP02</t>
  </si>
  <si>
    <t>Q0007-CP03</t>
  </si>
  <si>
    <t>Q0007-CP04</t>
  </si>
  <si>
    <t>生成原题指定的载具、机器人或大型机械主体</t>
  </si>
  <si>
    <t>D02.02.03</t>
  </si>
  <si>
    <t>载具与大型机械主体</t>
  </si>
  <si>
    <t>主要载具/机械类型可辨，轮轴、翼面、机械关节或主体刚体结构基本完整。</t>
  </si>
  <si>
    <t>载具或机械清晰出现段</t>
  </si>
  <si>
    <t>Q0007-CP05</t>
  </si>
  <si>
    <t>维持原题指定的电影、纪实或生活摄影域</t>
  </si>
  <si>
    <t>D13.01.01</t>
  </si>
  <si>
    <t>电影纪实与生活摄影</t>
  </si>
  <si>
    <t>全片保持相应写实摄影质感、运动模糊和镜头语言，不发生明显媒介跳变。</t>
  </si>
  <si>
    <t>Q0007-CP06</t>
  </si>
  <si>
    <t>稳定呈现双主体或小群体</t>
  </si>
  <si>
    <t>D05.01.01</t>
  </si>
  <si>
    <t>双主体与小群体稳定生成</t>
  </si>
  <si>
    <t>至少两个主要主体同时可辨，关键时段不无故融合为一个或持续增减。</t>
  </si>
  <si>
    <t>多主体同框段</t>
  </si>
  <si>
    <t>Q0007-CP07</t>
  </si>
  <si>
    <t>Q0007-CP08</t>
  </si>
  <si>
    <t>Q0008-CP01</t>
  </si>
  <si>
    <t>Q0008-CP02</t>
  </si>
  <si>
    <t>Q0008-CP03</t>
  </si>
  <si>
    <t>维持原题指定的类型、时代或地域美学</t>
  </si>
  <si>
    <t>D13.02.02</t>
  </si>
  <si>
    <t>类型时代美学与风格稳定</t>
  </si>
  <si>
    <t>服装、建筑、道具与色彩共同支持该类型/时代，跨帧或跨镜头不明显混入冲突风格。</t>
  </si>
  <si>
    <t>Q0008-CP04</t>
  </si>
  <si>
    <t>Q0008-CP05</t>
  </si>
  <si>
    <t>Q0008-CP06</t>
  </si>
  <si>
    <t>Q0008-CP07</t>
  </si>
  <si>
    <t>Q0008-CP08</t>
  </si>
  <si>
    <t>保持原题指定姿势与动态平衡</t>
  </si>
  <si>
    <t>D04.01.01</t>
  </si>
  <si>
    <t>静态姿势与动态平衡</t>
  </si>
  <si>
    <t>主要姿势可辨，身体重心有合理支撑，维持期间不持续漂浮、倾倒或关节错位。</t>
  </si>
  <si>
    <t>姿势保持段</t>
  </si>
  <si>
    <t>Q0009-CP01</t>
  </si>
  <si>
    <t>Q0009-CP02</t>
  </si>
  <si>
    <t>Q0009-CP03</t>
  </si>
  <si>
    <t>Q0009-CP04</t>
  </si>
  <si>
    <t>Q0009-CP05</t>
  </si>
  <si>
    <t>建立原题指定的自然或城市户外空间</t>
  </si>
  <si>
    <t>D02.03.02</t>
  </si>
  <si>
    <t>自然与城市户外空间</t>
  </si>
  <si>
    <t>户外场景类型、远近层次与尺度关系可辨，主要地貌/建筑不持续变形。</t>
  </si>
  <si>
    <t>Q0010-CP01</t>
  </si>
  <si>
    <t>Q0010-CP02</t>
  </si>
  <si>
    <t>Q0010-CP03</t>
  </si>
  <si>
    <t>保持下落、承托、悬挂或接地的重力关系</t>
  </si>
  <si>
    <t>D09.01.01</t>
  </si>
  <si>
    <t>重力支撑与接地</t>
  </si>
  <si>
    <t>物体/主体沿合理方向下落或被支撑，落地/承托接触点清楚，无持续悬浮或穿透。</t>
  </si>
  <si>
    <t>重力或接触段</t>
  </si>
  <si>
    <t>Q0010-CP04</t>
  </si>
  <si>
    <t>Q0011-CP01</t>
  </si>
  <si>
    <t>Q0011-CP02</t>
  </si>
  <si>
    <t>Q0011-CP03</t>
  </si>
  <si>
    <t>Q0011-CP04</t>
  </si>
  <si>
    <t>Q0011-CP05</t>
  </si>
  <si>
    <t>Q0011-CP06</t>
  </si>
  <si>
    <t>Q0011-CP07</t>
  </si>
  <si>
    <t>Q0011-CP08</t>
  </si>
  <si>
    <t>Q0012-CP01</t>
  </si>
  <si>
    <t>Q0012-CP02</t>
  </si>
  <si>
    <t>执行固定机位或原题指定的水平/垂直摇摄</t>
  </si>
  <si>
    <t>D11.01.01</t>
  </si>
  <si>
    <t>固定镜头与摇摄俯仰</t>
  </si>
  <si>
    <t>相机按要求保持静止或只做指定方向摇摄，无额外漂移、推拉或错误方向旋转。</t>
  </si>
  <si>
    <t>全片或指定镜头段</t>
  </si>
  <si>
    <t>Q0012-CP03</t>
  </si>
  <si>
    <t>Q0012-CP04</t>
  </si>
  <si>
    <t>Q0012-CP05</t>
  </si>
  <si>
    <t>Q0012-CP06</t>
  </si>
  <si>
    <t>表现推拉、抬举、搬运或负重中的全身发力</t>
  </si>
  <si>
    <t>C09</t>
  </si>
  <si>
    <t>功能动作与力量负重</t>
  </si>
  <si>
    <t>D04.02.02</t>
  </si>
  <si>
    <t>力量负重与推拉搬运</t>
  </si>
  <si>
    <t>手/肩与负载接触成立，躯干和下肢随重量产生可见发力与重心调整。</t>
  </si>
  <si>
    <t>负重或推拉段</t>
  </si>
  <si>
    <t>Q0012-CP07</t>
  </si>
  <si>
    <t>呈现皮肤、毛发、织物或羽毛等软质材质与动态光影</t>
  </si>
  <si>
    <t>D12.02.02</t>
  </si>
  <si>
    <t>软质生物材质与动态光影</t>
  </si>
  <si>
    <t>纹理和柔软度可辨，运动时高光/阴影随表面连续变化，不明显塑料化。</t>
  </si>
  <si>
    <t>材质清晰段</t>
  </si>
  <si>
    <t>Q0012-CP08</t>
  </si>
  <si>
    <t>呈现原题指定的自然光或人工布光</t>
  </si>
  <si>
    <t>D12.01.02</t>
  </si>
  <si>
    <t>自然光与人工布光</t>
  </si>
  <si>
    <t>主要光源方向和类型可辨，主体亮暗、阴影与场景时间大体一致，无严重曝光跳变。</t>
  </si>
  <si>
    <t>光照要求对应段</t>
  </si>
  <si>
    <t>Q0013-CP01</t>
  </si>
  <si>
    <t>呈现布料、绳索或柔体的受力形变</t>
  </si>
  <si>
    <t>D09.02.01</t>
  </si>
  <si>
    <t>布料绳索与软体形变</t>
  </si>
  <si>
    <t>柔性材料在连接边界内弯折/拉伸并可回弹，不像刚体整体平移或无故断裂。</t>
  </si>
  <si>
    <t>柔体受力段</t>
  </si>
  <si>
    <t>Q0013-CP02</t>
  </si>
  <si>
    <t>Q0013-CP03</t>
  </si>
  <si>
    <t>Q0013-CP04</t>
  </si>
  <si>
    <t>完成手指与小物体或界面的精细操作</t>
  </si>
  <si>
    <t>C07</t>
  </si>
  <si>
    <t>手部结构与精细动作</t>
  </si>
  <si>
    <t>D03.02.03</t>
  </si>
  <si>
    <t>手物精细操作</t>
  </si>
  <si>
    <t>手指与目标物形成可见接触，抓握/点击/书写位置合理，手指结构未严重崩坏。</t>
  </si>
  <si>
    <t>手物特写段</t>
  </si>
  <si>
    <t>Q0013-CP05</t>
  </si>
  <si>
    <t>保持近景人物面部结构与身份稳定</t>
  </si>
  <si>
    <t>D03.01.01</t>
  </si>
  <si>
    <t>面部结构与身份稳定</t>
  </si>
  <si>
    <t>近景中五官比例和身份连续可辨，转头、眨眼或切镜时不明显换脸或五官漂移。</t>
  </si>
  <si>
    <t>面部近景段</t>
  </si>
  <si>
    <t>Q0013-CP06</t>
  </si>
  <si>
    <t>Q0013-CP07</t>
  </si>
  <si>
    <t>Q0014-CP01</t>
  </si>
  <si>
    <t>Q0014-CP02</t>
  </si>
  <si>
    <t>Q0014-CP03</t>
  </si>
  <si>
    <t>Q0014-CP04</t>
  </si>
  <si>
    <t>Q0015-CP01</t>
  </si>
  <si>
    <t>完成人物上肢手势与身体语言</t>
  </si>
  <si>
    <t>D04.02.01</t>
  </si>
  <si>
    <t>上肢手势与身体语言</t>
  </si>
  <si>
    <t>目标挥手、指引、庆祝或鞠躬动作可辨，肩臂与躯干有合理联动。</t>
  </si>
  <si>
    <t>身体语言段</t>
  </si>
  <si>
    <t>Q0015-CP02</t>
  </si>
  <si>
    <t>Q0015-CP03</t>
  </si>
  <si>
    <t>Q0015-CP04</t>
  </si>
  <si>
    <t>Q0015-CP05</t>
  </si>
  <si>
    <t>Q0016-CP01</t>
  </si>
  <si>
    <t>Q0016-CP02</t>
  </si>
  <si>
    <t>Q0016-CP03</t>
  </si>
  <si>
    <t>呈现相变、生长、燃烧或其他不可逆过程</t>
  </si>
  <si>
    <t>D09.03.02</t>
  </si>
  <si>
    <t>相变生长与不可逆过程</t>
  </si>
  <si>
    <t>起始态、中间变化和终态方向一致，过程不无故恢复到初始状态。</t>
  </si>
  <si>
    <t>状态变化段</t>
  </si>
  <si>
    <t>Q0016-CP04</t>
  </si>
  <si>
    <t>Q0016-CP05</t>
  </si>
  <si>
    <t>Q0016-CP06</t>
  </si>
  <si>
    <t>Q0016-CP07</t>
  </si>
  <si>
    <t>Q0016-CP08</t>
  </si>
  <si>
    <t>Q0016-CP09</t>
  </si>
  <si>
    <t>呈现飞行动物起降、振翅或滑翔</t>
  </si>
  <si>
    <t>D06.01.02</t>
  </si>
  <si>
    <t>飞行动物起降与飞行</t>
  </si>
  <si>
    <t>振翅/滑翔与位移对应，起飞或降落阶段可读，翅膀数量与连接稳定。</t>
  </si>
  <si>
    <t>飞行动物运动段</t>
  </si>
  <si>
    <t>Q0016-CP10</t>
  </si>
  <si>
    <t>Q0016-CP11</t>
  </si>
  <si>
    <t>Q0016-CP12</t>
  </si>
  <si>
    <t>呈现植物或自然对象受风场、重力或生长驱动的动态</t>
  </si>
  <si>
    <t>D06.03.02</t>
  </si>
  <si>
    <t>植物与自然对象动态</t>
  </si>
  <si>
    <t>叶片、花朵、云层或草木的运动方向与外力/生长过程一致，变化连续。</t>
  </si>
  <si>
    <t>自然对象变化段</t>
  </si>
  <si>
    <t>Q0017-CP01</t>
  </si>
  <si>
    <t>呈现团队分工、传递、跑位或攻防组织</t>
  </si>
  <si>
    <t>D05.02.03</t>
  </si>
  <si>
    <t>团队协作与攻防组织</t>
  </si>
  <si>
    <t>至少出现一次可读的协作或攻防关系，角色不是无关联地各自动作。</t>
  </si>
  <si>
    <t>团队互动段</t>
  </si>
  <si>
    <t>Q0017-CP02</t>
  </si>
  <si>
    <t>呈现水生动物符合物种的游动与形变</t>
  </si>
  <si>
    <t>D06.01.03</t>
  </si>
  <si>
    <t>水生动物游动与形变</t>
  </si>
  <si>
    <t>鱼鳍/躯干或软体结构形成连续推进运动，转向时形态不崩坏。</t>
  </si>
  <si>
    <t>水生动物运动段</t>
  </si>
  <si>
    <t>Q0017-CP03</t>
  </si>
  <si>
    <t>Q0017-CP04</t>
  </si>
  <si>
    <t>让原题要求的多个事件同步或并行发生</t>
  </si>
  <si>
    <t>D10.01.04</t>
  </si>
  <si>
    <t>同步并行与时间对齐</t>
  </si>
  <si>
    <t>至少两个指定事件在主要时段同时可见或按同一相位发生，时间关系不明显错开。</t>
  </si>
  <si>
    <t>同步/并行段</t>
  </si>
  <si>
    <t>Q0017-CP05</t>
  </si>
  <si>
    <t>Q0017-CP06</t>
  </si>
  <si>
    <t>Q0017-CP07</t>
  </si>
  <si>
    <t>Q0017-CP08</t>
  </si>
  <si>
    <t>Q0018-CP01</t>
  </si>
  <si>
    <t>Q0018-CP02</t>
  </si>
  <si>
    <t>Q0018-CP03</t>
  </si>
  <si>
    <t>Q0018-CP04</t>
  </si>
  <si>
    <t>完成原题指定的表情、眼神或头姿变化</t>
  </si>
  <si>
    <t>D03.01.02</t>
  </si>
  <si>
    <t>表情演变与眼神头姿</t>
  </si>
  <si>
    <t>至少一次可明确辨认原题要求的表情/凝视/点头等变化，过渡连续且方向正确。</t>
  </si>
  <si>
    <t>表情或眼神变化段</t>
  </si>
  <si>
    <t>Q0018-CP05</t>
  </si>
  <si>
    <t>Q0019-CP01</t>
  </si>
  <si>
    <t>Q0019-CP02</t>
  </si>
  <si>
    <t>Q0019-CP03</t>
  </si>
  <si>
    <t>Q0019-CP04</t>
  </si>
  <si>
    <t>Q0019-CP05</t>
  </si>
  <si>
    <t>画面遵守原题的无字幕/无额外文字排除要求</t>
  </si>
  <si>
    <t>C01</t>
  </si>
  <si>
    <t>指令语义与排除约束</t>
  </si>
  <si>
    <t>D01.01.03</t>
  </si>
  <si>
    <t>否定与排除约束</t>
  </si>
  <si>
    <t>全片不出现字幕或原题明确排除的额外文字；声音相关的排除条件不在此点判断。</t>
  </si>
  <si>
    <t>Q0019-CP06</t>
  </si>
  <si>
    <t>Q0019-CP07</t>
  </si>
  <si>
    <t>Q0019-CP08</t>
  </si>
  <si>
    <t>Q0019-CP09</t>
  </si>
  <si>
    <t>Q0019-CP10</t>
  </si>
  <si>
    <t>Q0019-CP11</t>
  </si>
  <si>
    <t>Q0019-CP12</t>
  </si>
  <si>
    <t>按原题明确时间段或阶段提示安排视觉内容</t>
  </si>
  <si>
    <t>C02</t>
  </si>
  <si>
    <t>组合约束与时序理解</t>
  </si>
  <si>
    <t>D01.02.02</t>
  </si>
  <si>
    <t>结构化时序指令理解</t>
  </si>
  <si>
    <t>各主要视觉阶段落在原题给定时段或相邻合理时段，阶段不缺失、不倒序。</t>
  </si>
  <si>
    <t>全片（按原题时间码）</t>
  </si>
  <si>
    <t>Q0020-CP01</t>
  </si>
  <si>
    <t>Q0020-CP02</t>
  </si>
  <si>
    <t>完成连续舞步、旋转或节律性编排</t>
  </si>
  <si>
    <t>C11</t>
  </si>
  <si>
    <t>舞蹈编排与节律运动</t>
  </si>
  <si>
    <t>D04.03.02</t>
  </si>
  <si>
    <t>舞者至少完成一段由两个以上连续动作组成的舞段，重心和四肢协调，旋转不跳段。</t>
  </si>
  <si>
    <t>舞蹈动作段</t>
  </si>
  <si>
    <t>Q0020-CP03</t>
  </si>
  <si>
    <t>Q0020-CP04</t>
  </si>
  <si>
    <t>保持头发、衣物或配饰随人体和风场自然运动</t>
  </si>
  <si>
    <t>C13</t>
  </si>
  <si>
    <t>衣物头发与附属随动</t>
  </si>
  <si>
    <t>D04.04.01</t>
  </si>
  <si>
    <t>衣物头发与配饰随动</t>
  </si>
  <si>
    <t>附属物始终连接正确，运动方向与人物/风场一致，不明显粘体、穿模或无故脱落。</t>
  </si>
  <si>
    <t>人物或风场运动段</t>
  </si>
  <si>
    <t>Q0020-CP05</t>
  </si>
  <si>
    <t>Q0020-CP06</t>
  </si>
  <si>
    <t>Q0020-CP07</t>
  </si>
  <si>
    <t>Q0020-CP08</t>
  </si>
  <si>
    <t>Q0020-CP09</t>
  </si>
  <si>
    <t>完成原题指定的单手姿态或手势</t>
  </si>
  <si>
    <t>D03.02.01</t>
  </si>
  <si>
    <t>单手解剖与手势</t>
  </si>
  <si>
    <t>单手掌背朝向和主要手指姿态可辨，手势方向正确，无明显多指少指。</t>
  </si>
  <si>
    <t>手势段</t>
  </si>
  <si>
    <t>Q0020-CP10</t>
  </si>
  <si>
    <t>Q0021-CP01</t>
  </si>
  <si>
    <t>Q0021-CP02</t>
  </si>
  <si>
    <t>Q0021-CP03</t>
  </si>
  <si>
    <t>Q0021-CP04</t>
  </si>
  <si>
    <t>Q0021-CP05</t>
  </si>
  <si>
    <t>Q0021-CP06</t>
  </si>
  <si>
    <t>Q0021-CP07</t>
  </si>
  <si>
    <t>Q0021-CP08</t>
  </si>
  <si>
    <t>Q0021-CP09</t>
  </si>
  <si>
    <t>Q0021-CP10</t>
  </si>
  <si>
    <t>Q0022-CP01</t>
  </si>
  <si>
    <t>Q0022-CP02</t>
  </si>
  <si>
    <t>围绕主体形成连续视角变化和视差</t>
  </si>
  <si>
    <t>D11.02.02</t>
  </si>
  <si>
    <t>主体环绕与视角变化</t>
  </si>
  <si>
    <t>相机围绕目标连续移动，可见目标不同侧面与背景视差，目标未漂离构图中心。</t>
  </si>
  <si>
    <t>环绕运镜段</t>
  </si>
  <si>
    <t>Q0022-CP03</t>
  </si>
  <si>
    <t>Q0022-CP04</t>
  </si>
  <si>
    <t>Q0022-CP05</t>
  </si>
  <si>
    <t>Q0022-CP06</t>
  </si>
  <si>
    <t>Q0022-CP07</t>
  </si>
  <si>
    <t>执行原题指定的特殊镜头语言</t>
  </si>
  <si>
    <t>D11.02.04</t>
  </si>
  <si>
    <t>特殊电影运镜</t>
  </si>
  <si>
    <t>鱼眼、甩镜、子弹时间或特殊变焦的关键视觉机制可辨，并在镜头段内保持一致。</t>
  </si>
  <si>
    <t>特殊镜头段</t>
  </si>
  <si>
    <t>Q0022-CP08</t>
  </si>
  <si>
    <t>Q0022-CP09</t>
  </si>
  <si>
    <t>Q0022-CP10</t>
  </si>
  <si>
    <t>Q0023-CP01</t>
  </si>
  <si>
    <t>Q0023-CP02</t>
  </si>
  <si>
    <t>Q0023-CP03</t>
  </si>
  <si>
    <t>保持抛物、滚动、旋转或弹跳轨迹连续</t>
  </si>
  <si>
    <t>D09.01.03</t>
  </si>
  <si>
    <t>抛物滚动旋转与弹跳</t>
  </si>
  <si>
    <t>物体轨迹方向、速度和旋转连续，接触地面/目标时有合理摩擦或弹跳反馈。</t>
  </si>
  <si>
    <t>轨迹运动段</t>
  </si>
  <si>
    <t>Q0023-CP04</t>
  </si>
  <si>
    <t>Q0023-CP05</t>
  </si>
  <si>
    <t>Q0023-CP06</t>
  </si>
  <si>
    <t>Q0023-CP07</t>
  </si>
  <si>
    <t>Q0023-CP08</t>
  </si>
  <si>
    <t>Q0023-CP09</t>
  </si>
  <si>
    <t>Q0023-CP10</t>
  </si>
  <si>
    <t>Q0024-CP01</t>
  </si>
  <si>
    <t>Q0024-CP02</t>
  </si>
  <si>
    <t>Q0024-CP03</t>
  </si>
  <si>
    <t>Q0024-CP04</t>
  </si>
  <si>
    <t>Q0024-CP05</t>
  </si>
  <si>
    <t>Q0024-CP06</t>
  </si>
  <si>
    <t>Q0024-CP07</t>
  </si>
  <si>
    <t>Q0024-CP08</t>
  </si>
  <si>
    <t>Q0024-CP09</t>
  </si>
  <si>
    <t>Q0024-CP10</t>
  </si>
  <si>
    <t>Q0024-CP11</t>
  </si>
  <si>
    <t>Q0024-CP12</t>
  </si>
  <si>
    <t>Q0025-CP01</t>
  </si>
  <si>
    <t>完成原题指定的竞技体育专项动作</t>
  </si>
  <si>
    <t>C10</t>
  </si>
  <si>
    <t>竞技体育运动</t>
  </si>
  <si>
    <t>D04.03.01</t>
  </si>
  <si>
    <t>能辨认对应项目的关键姿势、器械/场地关系和一次完整攻防或技术动作，不以普通跑动替代。</t>
  </si>
  <si>
    <t>竞技动作段</t>
  </si>
  <si>
    <t>Q0025-CP02</t>
  </si>
  <si>
    <t>Q0025-CP03</t>
  </si>
  <si>
    <t>Q0025-CP04</t>
  </si>
  <si>
    <t>Q0025-CP05</t>
  </si>
  <si>
    <t>Q0026-CP01</t>
  </si>
  <si>
    <t>呈现原题指定的简短文字并稳定附着于载体</t>
  </si>
  <si>
    <t>D14.01.01</t>
  </si>
  <si>
    <t>短文字与载体附着</t>
  </si>
  <si>
    <t>目标文字主体可读且字符顺序正确，出现期间不持续乱码、变字或脱离载体。</t>
  </si>
  <si>
    <t>文字出现段</t>
  </si>
  <si>
    <t>Q0026-CP02</t>
  </si>
  <si>
    <t>Q0026-CP03</t>
  </si>
  <si>
    <t>Q0026-CP04</t>
  </si>
  <si>
    <t>Q0026-CP05</t>
  </si>
  <si>
    <t>Q0026-CP06</t>
  </si>
  <si>
    <t>Q0026-CP07</t>
  </si>
  <si>
    <t>Q0026-CP08</t>
  </si>
  <si>
    <t>Q0027-CP01</t>
  </si>
  <si>
    <t>Q0027-CP02</t>
  </si>
  <si>
    <t>Q0027-CP03</t>
  </si>
  <si>
    <t>Q0027-CP04</t>
  </si>
  <si>
    <t>Q0027-CP05</t>
  </si>
  <si>
    <t>Q0028-CP01</t>
  </si>
  <si>
    <t>保持原题要求的单镜头连续调度</t>
  </si>
  <si>
    <t>D15.01.01</t>
  </si>
  <si>
    <t>单镜头长调度</t>
  </si>
  <si>
    <t>主要动作和运镜在一次连续镜头内完成，无明显意外硬切、跳时或空间断裂。</t>
  </si>
  <si>
    <t>Q0028-CP02</t>
  </si>
  <si>
    <t>Q0028-CP03</t>
  </si>
  <si>
    <t>Q0028-CP04</t>
  </si>
  <si>
    <t>Q0028-CP05</t>
  </si>
  <si>
    <t>Q0028-CP06</t>
  </si>
  <si>
    <t>Q0028-CP07</t>
  </si>
  <si>
    <t>Q0028-CP08</t>
  </si>
  <si>
    <t>保持轨迹、接触、背景与遮挡重现连续</t>
  </si>
  <si>
    <t>D10.02.02</t>
  </si>
  <si>
    <t>轨迹接触场景与遮挡连续</t>
  </si>
  <si>
    <t>轨迹和接触不中断；主体遮挡后再出现时位置合理，背景布局不随帧明显重构。</t>
  </si>
  <si>
    <t>Q0028-CP09</t>
  </si>
  <si>
    <t>Q0028-CP10</t>
  </si>
  <si>
    <t>Q0029-CP01</t>
  </si>
  <si>
    <t>Q0029-CP02</t>
  </si>
  <si>
    <t>Q0029-CP03</t>
  </si>
  <si>
    <t>Q0029-CP04</t>
  </si>
  <si>
    <t>Q0029-CP05</t>
  </si>
  <si>
    <t>Q0029-CP06</t>
  </si>
  <si>
    <t>Q0029-CP07</t>
  </si>
  <si>
    <t>Q0029-CP08</t>
  </si>
  <si>
    <t>Q0029-CP09</t>
  </si>
  <si>
    <t>Q0029-CP10</t>
  </si>
  <si>
    <t>Q0030-CP01</t>
  </si>
  <si>
    <t>Q0030-CP02</t>
  </si>
  <si>
    <t>Q0030-CP03</t>
  </si>
  <si>
    <t>Q0030-CP04</t>
  </si>
  <si>
    <t>Q0030-CP05</t>
  </si>
  <si>
    <t>Q0030-CP06</t>
  </si>
  <si>
    <t>Q0030-CP07</t>
  </si>
  <si>
    <t>Q0030-CP08</t>
  </si>
  <si>
    <t>Q0031-CP01</t>
  </si>
  <si>
    <t>Q0031-CP02</t>
  </si>
  <si>
    <t>Q0031-CP03</t>
  </si>
  <si>
    <t>按原题先后关系完成多步骤操作</t>
  </si>
  <si>
    <t>D10.01.03</t>
  </si>
  <si>
    <t>多步骤事件顺序</t>
  </si>
  <si>
    <t>关键步骤按原题顺序出现，前一步的物体状态能进入后一步，不缺少决定性中间步骤。</t>
  </si>
  <si>
    <t>全片（关键步骤段）</t>
  </si>
  <si>
    <t>Q0031-CP04</t>
  </si>
  <si>
    <t>Q0031-CP05</t>
  </si>
  <si>
    <t>Q0031-CP06</t>
  </si>
  <si>
    <t>Q0031-CP07</t>
  </si>
  <si>
    <t>Q0031-CP08</t>
  </si>
  <si>
    <t>Q0032-CP01</t>
  </si>
  <si>
    <t>Q0032-CP02</t>
  </si>
  <si>
    <t>Q0032-CP03</t>
  </si>
  <si>
    <t>Q0033-CP01</t>
  </si>
  <si>
    <t>Q0033-CP02</t>
  </si>
  <si>
    <t>Q0033-CP03</t>
  </si>
  <si>
    <t>Q0033-CP04</t>
  </si>
  <si>
    <t>完成拿放、装取、开合或倾倒等基础物体操作</t>
  </si>
  <si>
    <t>D07.01.01</t>
  </si>
  <si>
    <t>基础拿放与容器操作</t>
  </si>
  <si>
    <t>手与物体形成持续接触，物体所有权和位置随动作连续变化，不悬空脱手。</t>
  </si>
  <si>
    <t>基础操作段</t>
  </si>
  <si>
    <t>Q0034-CP01</t>
  </si>
  <si>
    <t>Q0034-CP02</t>
  </si>
  <si>
    <t>Q0034-CP03</t>
  </si>
  <si>
    <t>Q0034-CP04</t>
  </si>
  <si>
    <t>Q0035-CP01</t>
  </si>
  <si>
    <t>Q0035-CP02</t>
  </si>
  <si>
    <t>Q0035-CP03</t>
  </si>
  <si>
    <t>完成人际递接或轻接触互动</t>
  </si>
  <si>
    <t>D07.02.02</t>
  </si>
  <si>
    <t>递接与轻接触互动</t>
  </si>
  <si>
    <t>递物、握手、牵手、碰杯等接触在正确双方之间成立，接触前后关系连续。</t>
  </si>
  <si>
    <t>轻接触互动段</t>
  </si>
  <si>
    <t>Q0035-CP04</t>
  </si>
  <si>
    <t>Q0035-CP05</t>
  </si>
  <si>
    <t>Q0035-CP06</t>
  </si>
  <si>
    <t>Q0035-CP07</t>
  </si>
  <si>
    <t>保持周期动作或机械循环相位连续</t>
  </si>
  <si>
    <t>D10.01.02</t>
  </si>
  <si>
    <t>周期动作连续性</t>
  </si>
  <si>
    <t>至少完成两个相邻周期，动作相位顺序一致，无突然跳相或倒播。</t>
  </si>
  <si>
    <t>周期动作段</t>
  </si>
  <si>
    <t>Q0035-CP08</t>
  </si>
  <si>
    <t>Q0036-CP01</t>
  </si>
  <si>
    <t>Q0036-CP02</t>
  </si>
  <si>
    <t>Q0036-CP03</t>
  </si>
  <si>
    <t>Q0036-CP04</t>
  </si>
  <si>
    <t>Q0036-CP05</t>
  </si>
  <si>
    <t>Q0036-CP06</t>
  </si>
  <si>
    <t>Q0036-CP07</t>
  </si>
  <si>
    <t>Q0036-CP08</t>
  </si>
  <si>
    <t>Q0037-CP01</t>
  </si>
  <si>
    <t>Q0037-CP02</t>
  </si>
  <si>
    <t>Q0037-CP03</t>
  </si>
  <si>
    <t>Q0037-CP04</t>
  </si>
  <si>
    <t>Q0037-CP05</t>
  </si>
  <si>
    <t>Q0037-CP06</t>
  </si>
  <si>
    <t>Q0038-CP01</t>
  </si>
  <si>
    <t>Q0038-CP02</t>
  </si>
  <si>
    <t>Q0038-CP03</t>
  </si>
  <si>
    <t>Q0038-CP04</t>
  </si>
  <si>
    <t>Q0038-CP05</t>
  </si>
  <si>
    <t>Q0038-CP06</t>
  </si>
  <si>
    <t>Q0038-CP07</t>
  </si>
  <si>
    <t>Q0038-CP08</t>
  </si>
  <si>
    <t>按地形、台阶或障碍调整人体移动</t>
  </si>
  <si>
    <t>D04.01.03</t>
  </si>
  <si>
    <t>台阶地形与障碍移动</t>
  </si>
  <si>
    <t>脚步与坡度/台阶/障碍形成接触，抬腿、步幅和重心随地形变化，不明显穿地。</t>
  </si>
  <si>
    <t>复杂地形移动段</t>
  </si>
  <si>
    <t>Q0038-CP09</t>
  </si>
  <si>
    <t>Q0038-CP10</t>
  </si>
  <si>
    <t>Q0038-CP11</t>
  </si>
  <si>
    <t>Q0038-CP12</t>
  </si>
  <si>
    <t>Q0039-CP01</t>
  </si>
  <si>
    <t>Q0039-CP02</t>
  </si>
  <si>
    <t>Q0039-CP03</t>
  </si>
  <si>
    <t>Q0039-CP04</t>
  </si>
  <si>
    <t>呈现动物群体的聚散、避碰或协同关系</t>
  </si>
  <si>
    <t>D06.02.01</t>
  </si>
  <si>
    <t>动物群体与捕食协同</t>
  </si>
  <si>
    <t>多个动物保持群体运动方向，同时可见个体避碰或队形变化，不融合成纹理块。</t>
  </si>
  <si>
    <t>动物群运动段</t>
  </si>
  <si>
    <t>Q0039-CP05</t>
  </si>
  <si>
    <t>Q0039-CP06</t>
  </si>
  <si>
    <t>Q0039-CP07</t>
  </si>
  <si>
    <t>Q0039-CP08</t>
  </si>
  <si>
    <t>Q0040-CP01</t>
  </si>
  <si>
    <t>Q0040-CP02</t>
  </si>
  <si>
    <t>Q0040-CP03</t>
  </si>
  <si>
    <t>Q0040-CP04</t>
  </si>
  <si>
    <t>Q0040-CP05</t>
  </si>
  <si>
    <t>Q0040-CP06</t>
  </si>
  <si>
    <t>呈现陆生动物符合物种的步态或奔跑</t>
  </si>
  <si>
    <t>D06.01.01</t>
  </si>
  <si>
    <t>陆生动物步态与奔跑</t>
  </si>
  <si>
    <t>四足/爬行步态与物种骨骼相符，至少一个运动周期连续，足地接触不明显滑移。</t>
  </si>
  <si>
    <t>动物移动段</t>
  </si>
  <si>
    <t>Q0041-CP01</t>
  </si>
  <si>
    <t>Q0041-CP02</t>
  </si>
  <si>
    <t>Q0041-CP03</t>
  </si>
  <si>
    <t>Q0041-CP04</t>
  </si>
  <si>
    <t>Q0041-CP05</t>
  </si>
  <si>
    <t>Q0041-CP06</t>
  </si>
  <si>
    <t>Q0041-CP07</t>
  </si>
  <si>
    <t>Q0041-CP08</t>
  </si>
  <si>
    <t>Q0042-CP01</t>
  </si>
  <si>
    <t>Q0042-CP02</t>
  </si>
  <si>
    <t>完成乐器或专业器械的可见操作</t>
  </si>
  <si>
    <t>D07.01.04</t>
  </si>
  <si>
    <t>乐器与专业器械操作</t>
  </si>
  <si>
    <t>手脚落在正确控制位置并形成可辨操作节律；不判断声音是否正确。</t>
  </si>
  <si>
    <t>器械操作段</t>
  </si>
  <si>
    <t>Q0042-CP03</t>
  </si>
  <si>
    <t>Q0042-CP04</t>
  </si>
  <si>
    <t>Q0042-CP05</t>
  </si>
  <si>
    <t>Q0042-CP06</t>
  </si>
  <si>
    <t>Q0042-CP07</t>
  </si>
  <si>
    <t>Q0042-CP08</t>
  </si>
  <si>
    <t>Q0042-CP09</t>
  </si>
  <si>
    <t>Q0042-CP10</t>
  </si>
  <si>
    <t>Q0042-CP11</t>
  </si>
  <si>
    <t>Q0042-CP12</t>
  </si>
  <si>
    <t>Q0043-CP01</t>
  </si>
  <si>
    <t>Q0043-CP02</t>
  </si>
  <si>
    <t>Q0043-CP03</t>
  </si>
  <si>
    <t>Q0043-CP04</t>
  </si>
  <si>
    <t>Q0043-CP05</t>
  </si>
  <si>
    <t>Q0043-CP06</t>
  </si>
  <si>
    <t>Q0043-CP07</t>
  </si>
  <si>
    <t>Q0043-CP08</t>
  </si>
  <si>
    <t>Q0044-CP01</t>
  </si>
  <si>
    <t>Q0044-CP02</t>
  </si>
  <si>
    <t>Q0044-CP03</t>
  </si>
  <si>
    <t>Q0044-CP04</t>
  </si>
  <si>
    <t>Q0044-CP05</t>
  </si>
  <si>
    <t>Q0044-CP06</t>
  </si>
  <si>
    <t>Q0044-CP07</t>
  </si>
  <si>
    <t>Q0044-CP08</t>
  </si>
  <si>
    <t>Q0044-CP09</t>
  </si>
  <si>
    <t>Q0044-CP10</t>
  </si>
  <si>
    <t>Q0045-CP01</t>
  </si>
  <si>
    <t>Q0045-CP02</t>
  </si>
  <si>
    <t>Q0045-CP03</t>
  </si>
  <si>
    <t>Q0045-CP04</t>
  </si>
  <si>
    <t>保持多主体身份、服装或阵营在运动中不串位</t>
  </si>
  <si>
    <t>C16</t>
  </si>
  <si>
    <t>多主体身份属性与归属稳定</t>
  </si>
  <si>
    <t>D05.02.04</t>
  </si>
  <si>
    <t>多主体身份与阵营稳定</t>
  </si>
  <si>
    <t>主要角色可凭外观/阵营持续区分，交叉和遮挡后不明显换人、换衣或串色。</t>
  </si>
  <si>
    <t>多主体交叉或切镜段</t>
  </si>
  <si>
    <t>Q0045-CP05</t>
  </si>
  <si>
    <t>Q0045-CP06</t>
  </si>
  <si>
    <t>Q0045-CP07</t>
  </si>
  <si>
    <t>Q0045-CP08</t>
  </si>
  <si>
    <t>Q0045-CP09</t>
  </si>
  <si>
    <t>Q0045-CP10</t>
  </si>
  <si>
    <t>Q0046-CP01</t>
  </si>
  <si>
    <t>Q0046-CP02</t>
  </si>
  <si>
    <t>Q0046-CP03</t>
  </si>
  <si>
    <t>Q0046-CP04</t>
  </si>
  <si>
    <t>Q0046-CP05</t>
  </si>
  <si>
    <t>Q0046-CP06</t>
  </si>
  <si>
    <t>Q0046-CP07</t>
  </si>
  <si>
    <t>Q0046-CP08</t>
  </si>
  <si>
    <t>Q0046-CP09</t>
  </si>
  <si>
    <t>Q0046-CP10</t>
  </si>
  <si>
    <t>Q0047-CP01</t>
  </si>
  <si>
    <t>Q0047-CP02</t>
  </si>
  <si>
    <t>Q0047-CP03</t>
  </si>
  <si>
    <t>Q0047-CP04</t>
  </si>
  <si>
    <t>Q0047-CP05</t>
  </si>
  <si>
    <t>Q0047-CP06</t>
  </si>
  <si>
    <t>Q0047-CP07</t>
  </si>
  <si>
    <t>Q0047-CP08</t>
  </si>
  <si>
    <t>Q0047-CP09</t>
  </si>
  <si>
    <t>维持原题指定的曝光影调与色彩氛围</t>
  </si>
  <si>
    <t>D12.01.03</t>
  </si>
  <si>
    <t>曝光影调与色彩氛围</t>
  </si>
  <si>
    <t>冷暖、明暗、饱和度或动态范围至少有一项明确对应原题，并在镜头内基本稳定。</t>
  </si>
  <si>
    <t>Q0047-CP10</t>
  </si>
  <si>
    <t>Q0048-CP01</t>
  </si>
  <si>
    <t>Q0048-CP02</t>
  </si>
  <si>
    <t>Q0048-CP03</t>
  </si>
  <si>
    <t>Q0048-CP04</t>
  </si>
  <si>
    <t>Q0048-CP05</t>
  </si>
  <si>
    <t>Q0048-CP06</t>
  </si>
  <si>
    <t>Q0048-CP07</t>
  </si>
  <si>
    <t>Q0049-CP01</t>
  </si>
  <si>
    <t>Q0049-CP02</t>
  </si>
  <si>
    <t>Q0049-CP03</t>
  </si>
  <si>
    <t>Q0049-CP04</t>
  </si>
  <si>
    <t>Q0049-CP05</t>
  </si>
  <si>
    <t>执行光学变焦、景深或焦点转移</t>
  </si>
  <si>
    <t>D11.01.03</t>
  </si>
  <si>
    <t>光学变焦与焦点转移</t>
  </si>
  <si>
    <t>焦点从原题指定前景/背景或主体之间连续转移，目标清晰、非目标失焦关系成立。</t>
  </si>
  <si>
    <t>变焦/拉焦段</t>
  </si>
  <si>
    <t>Q0049-CP06</t>
  </si>
  <si>
    <t>Q0049-CP07</t>
  </si>
  <si>
    <t>Q0049-CP08</t>
  </si>
  <si>
    <t>Q0049-CP09</t>
  </si>
  <si>
    <t>Q0049-CP10</t>
  </si>
  <si>
    <t>Q0049-CP11</t>
  </si>
  <si>
    <t>Q0049-CP12</t>
  </si>
  <si>
    <t>Q0050-CP01</t>
  </si>
  <si>
    <t>Q0050-CP02</t>
  </si>
  <si>
    <t>Q0050-CP03</t>
  </si>
  <si>
    <t>Q0050-CP04</t>
  </si>
  <si>
    <t>Q0050-CP05</t>
  </si>
  <si>
    <t>Q0050-CP06</t>
  </si>
  <si>
    <t>Q0050-CP07</t>
  </si>
  <si>
    <t>Q0050-CP08</t>
  </si>
  <si>
    <t>Q0050-CP09</t>
  </si>
  <si>
    <t>Q0050-CP10</t>
  </si>
  <si>
    <t>Q0050-CP11</t>
  </si>
  <si>
    <t>Q0050-CP12</t>
  </si>
  <si>
    <t>Q0051-CP01</t>
  </si>
  <si>
    <t>Q0051-CP02</t>
  </si>
  <si>
    <t>Q0052-CP01</t>
  </si>
  <si>
    <t>Q0052-CP02</t>
  </si>
  <si>
    <t>Q0052-CP03</t>
  </si>
  <si>
    <t>Q0052-CP04</t>
  </si>
  <si>
    <t>Q0052-CP05</t>
  </si>
  <si>
    <t>Q0052-CP06</t>
  </si>
  <si>
    <t>Q0052-CP07</t>
  </si>
  <si>
    <t>Q0052-CP08</t>
  </si>
  <si>
    <t>Q0052-CP09</t>
  </si>
  <si>
    <t>Q0052-CP10</t>
  </si>
  <si>
    <t>Q0053-CP01</t>
  </si>
  <si>
    <t>Q0053-CP02</t>
  </si>
  <si>
    <t>Q0054-CP01</t>
  </si>
  <si>
    <t>Q0054-CP02</t>
  </si>
  <si>
    <t>Q0055-CP01</t>
  </si>
  <si>
    <t>Q0055-CP02</t>
  </si>
  <si>
    <t>Q0055-CP03</t>
  </si>
  <si>
    <t>Q0055-CP04</t>
  </si>
  <si>
    <t>Q0055-CP05</t>
  </si>
  <si>
    <t>Q0055-CP06</t>
  </si>
  <si>
    <t>Q0055-CP07</t>
  </si>
  <si>
    <t>Q0055-CP08</t>
  </si>
  <si>
    <t>Q0055-CP09</t>
  </si>
  <si>
    <t>Q0055-CP10</t>
  </si>
  <si>
    <t>Q0056-CP01</t>
  </si>
  <si>
    <t>Q0056-CP02</t>
  </si>
  <si>
    <t>Q0056-CP03</t>
  </si>
  <si>
    <t>Q0056-CP04</t>
  </si>
  <si>
    <t>Q0057-CP01</t>
  </si>
  <si>
    <t>Q0057-CP02</t>
  </si>
  <si>
    <t>Q0058-CP01</t>
  </si>
  <si>
    <t>Q0058-CP02</t>
  </si>
  <si>
    <t>Q0058-CP03</t>
  </si>
  <si>
    <t>Q0058-CP04</t>
  </si>
  <si>
    <t>Q0058-CP05</t>
  </si>
  <si>
    <t>Q0059-CP01</t>
  </si>
  <si>
    <t>Q0059-CP02</t>
  </si>
  <si>
    <t>Q0059-CP03</t>
  </si>
  <si>
    <t>Q0059-CP04</t>
  </si>
  <si>
    <t>Q0060-CP01</t>
  </si>
  <si>
    <t>Q0060-CP02</t>
  </si>
  <si>
    <t>Q0060-CP03</t>
  </si>
  <si>
    <t>Q0060-CP04</t>
  </si>
  <si>
    <t>Q0061-CP01</t>
  </si>
  <si>
    <t>Q0061-CP02</t>
  </si>
  <si>
    <t>Q0061-CP03</t>
  </si>
  <si>
    <t>Q0061-CP04</t>
  </si>
  <si>
    <t>Q0061-CP05</t>
  </si>
  <si>
    <t>Q0061-CP06</t>
  </si>
  <si>
    <t>Q0061-CP07</t>
  </si>
  <si>
    <t>Q0061-CP08</t>
  </si>
  <si>
    <t>Q0062-CP01</t>
  </si>
  <si>
    <t>Q0062-CP02</t>
  </si>
  <si>
    <t>Q0062-CP03</t>
  </si>
  <si>
    <t>Q0062-CP04</t>
  </si>
  <si>
    <t>Q0062-CP05</t>
  </si>
  <si>
    <t>Q0062-CP06</t>
  </si>
  <si>
    <t>Q0062-CP07</t>
  </si>
  <si>
    <t>Q0062-CP08</t>
  </si>
  <si>
    <t>Q0062-CP09</t>
  </si>
  <si>
    <t>Q0062-CP10</t>
  </si>
  <si>
    <t>Q0063-CP01</t>
  </si>
  <si>
    <t>Q0063-CP02</t>
  </si>
  <si>
    <t>Q0063-CP03</t>
  </si>
  <si>
    <t>Q0063-CP04</t>
  </si>
  <si>
    <t>Q0063-CP05</t>
  </si>
  <si>
    <t>Q0063-CP06</t>
  </si>
  <si>
    <t>Q0063-CP07</t>
  </si>
  <si>
    <t>Q0063-CP08</t>
  </si>
  <si>
    <t>Q0063-CP09</t>
  </si>
  <si>
    <t>Q0063-CP10</t>
  </si>
  <si>
    <t>Q0063-CP11</t>
  </si>
  <si>
    <t>Q0063-CP12</t>
  </si>
  <si>
    <t>Q0064-CP01</t>
  </si>
  <si>
    <t>Q0064-CP02</t>
  </si>
  <si>
    <t>Q0064-CP03</t>
  </si>
  <si>
    <t>Q0064-CP04</t>
  </si>
  <si>
    <t>Q0065-CP01</t>
  </si>
  <si>
    <t>Q0065-CP02</t>
  </si>
  <si>
    <t>Q0065-CP03</t>
  </si>
  <si>
    <t>Q0065-CP04</t>
  </si>
  <si>
    <t>Q0065-CP05</t>
  </si>
  <si>
    <t>Q0065-CP06</t>
  </si>
  <si>
    <t>Q0065-CP07</t>
  </si>
  <si>
    <t>Q0065-CP08</t>
  </si>
  <si>
    <t>Q0066-CP01</t>
  </si>
  <si>
    <t>Q0066-CP02</t>
  </si>
  <si>
    <t>Q0066-CP03</t>
  </si>
  <si>
    <t>Q0066-CP04</t>
  </si>
  <si>
    <t>Q0066-CP05</t>
  </si>
  <si>
    <t>Q0066-CP06</t>
  </si>
  <si>
    <t>Q0066-CP07</t>
  </si>
  <si>
    <t>Q0067-CP01</t>
  </si>
  <si>
    <t>Q0067-CP02</t>
  </si>
  <si>
    <t>Q0067-CP03</t>
  </si>
  <si>
    <t>Q0067-CP04</t>
  </si>
  <si>
    <t>Q0067-CP05</t>
  </si>
  <si>
    <t>Q0067-CP06</t>
  </si>
  <si>
    <t>Q0067-CP07</t>
  </si>
  <si>
    <t>Q0067-CP08</t>
  </si>
  <si>
    <t>Q0068-CP01</t>
  </si>
  <si>
    <t>Q0068-CP02</t>
  </si>
  <si>
    <t>Q0068-CP03</t>
  </si>
  <si>
    <t>Q0068-CP04</t>
  </si>
  <si>
    <t>Q0068-CP05</t>
  </si>
  <si>
    <t>Q0068-CP06</t>
  </si>
  <si>
    <t>Q0068-CP07</t>
  </si>
  <si>
    <t>Q0068-CP08</t>
  </si>
  <si>
    <t>Q0069-CP01</t>
  </si>
  <si>
    <t>Q0069-CP02</t>
  </si>
  <si>
    <t>Q0069-CP03</t>
  </si>
  <si>
    <t>Q0069-CP04</t>
  </si>
  <si>
    <t>Q0069-CP05</t>
  </si>
  <si>
    <t>Q0069-CP06</t>
  </si>
  <si>
    <t>Q0069-CP07</t>
  </si>
  <si>
    <t>Q0069-CP08</t>
  </si>
  <si>
    <t>Q0069-CP09</t>
  </si>
  <si>
    <t>Q0069-CP10</t>
  </si>
  <si>
    <t>Q0069-CP11</t>
  </si>
  <si>
    <t>Q0069-CP12</t>
  </si>
  <si>
    <t>Q0070-CP01</t>
  </si>
  <si>
    <t>Q0070-CP02</t>
  </si>
  <si>
    <t>Q0070-CP03</t>
  </si>
  <si>
    <t>Q0070-CP04</t>
  </si>
  <si>
    <t>Q0070-CP05</t>
  </si>
  <si>
    <t>Q0070-CP06</t>
  </si>
  <si>
    <t>Q0070-CP07</t>
  </si>
  <si>
    <t>Q0070-CP08</t>
  </si>
  <si>
    <t>Q0070-CP09</t>
  </si>
  <si>
    <t>Q0070-CP10</t>
  </si>
  <si>
    <t>Q0070-CP11</t>
  </si>
  <si>
    <t>Q0070-CP12</t>
  </si>
  <si>
    <t>Q0071-CP01</t>
  </si>
  <si>
    <t>Q0071-CP02</t>
  </si>
  <si>
    <t>执行原题指定的核心可见动作或状态</t>
  </si>
  <si>
    <t>D01.01.01</t>
  </si>
  <si>
    <t>常见直接指令理解</t>
  </si>
  <si>
    <t>至少一次清楚出现原题核心动作/状态，并由正确主体完成；不以静止、无关动作或角色错位替代。</t>
  </si>
  <si>
    <t>关键动作段</t>
  </si>
  <si>
    <t>Q0072-CP01</t>
  </si>
  <si>
    <t>Q0072-CP02</t>
  </si>
  <si>
    <t>完成人际重接触或共同受力动作</t>
  </si>
  <si>
    <t>D07.02.03</t>
  </si>
  <si>
    <t>重接触与协力动作</t>
  </si>
  <si>
    <t>拥抱、搀扶、背负或共同搬运时双方接触区域稳定，身体不融合且受力方向合理。</t>
  </si>
  <si>
    <t>重接触/协力段</t>
  </si>
  <si>
    <t>Q0072-CP03</t>
  </si>
  <si>
    <t>Q0072-CP04</t>
  </si>
  <si>
    <t>Q0072-CP05</t>
  </si>
  <si>
    <t>Q0072-CP06</t>
  </si>
  <si>
    <t>Q0072-CP07</t>
  </si>
  <si>
    <t>Q0072-CP08</t>
  </si>
  <si>
    <t>Q0073-CP01</t>
  </si>
  <si>
    <t>Q0073-CP02</t>
  </si>
  <si>
    <t>Q0074-CP01</t>
  </si>
  <si>
    <t>Q0074-CP02</t>
  </si>
  <si>
    <t>Q0075-CP01</t>
  </si>
  <si>
    <t>Q0075-CP02</t>
  </si>
  <si>
    <t>Q0075-CP03</t>
  </si>
  <si>
    <t>Q0075-CP04</t>
  </si>
  <si>
    <t>Q0075-CP05</t>
  </si>
  <si>
    <t>Q0075-CP06</t>
  </si>
  <si>
    <t>Q0075-CP07</t>
  </si>
  <si>
    <t>Q0075-CP08</t>
  </si>
  <si>
    <t>Q0075-CP09</t>
  </si>
  <si>
    <t>Q0076-CP01</t>
  </si>
  <si>
    <t>Q0076-CP02</t>
  </si>
  <si>
    <t>Q0076-CP03</t>
  </si>
  <si>
    <t>Q0076-CP04</t>
  </si>
  <si>
    <t>Q0076-CP05</t>
  </si>
  <si>
    <t>Q0076-CP06</t>
  </si>
  <si>
    <t>Q0076-CP07</t>
  </si>
  <si>
    <t>Q0076-CP08</t>
  </si>
  <si>
    <t>Q0077-CP01</t>
  </si>
  <si>
    <t>维持原题指定的绘画、动漫或平面媒介风格</t>
  </si>
  <si>
    <t>D13.01.02</t>
  </si>
  <si>
    <t>绘画动漫与平面媒介</t>
  </si>
  <si>
    <t>线条、色块和渲染语言在全片一致，不突然转为写实摄影或另一平面媒介。</t>
  </si>
  <si>
    <t>Q0077-CP02</t>
  </si>
  <si>
    <t>Q0077-CP03</t>
  </si>
  <si>
    <t>Q0077-CP04</t>
  </si>
  <si>
    <t>Q0078-CP01</t>
  </si>
  <si>
    <t>呈现物体从完整到破裂、爆裂或坍塌的连续变化</t>
  </si>
  <si>
    <t>D09.03.01</t>
  </si>
  <si>
    <t>破碎破坏与结构变化</t>
  </si>
  <si>
    <t>可看到完整态、破坏发生和碎片/残骸终态，变化方向不逆转且碎片来源合理。</t>
  </si>
  <si>
    <t>破坏事件段</t>
  </si>
  <si>
    <t>Q0078-CP02</t>
  </si>
  <si>
    <t>Q0078-CP03</t>
  </si>
  <si>
    <t>Q0078-CP04</t>
  </si>
  <si>
    <t>Q0078-CP05</t>
  </si>
  <si>
    <t>Q0079-CP01</t>
  </si>
  <si>
    <t>Q0079-CP02</t>
  </si>
  <si>
    <t>Q0079-CP03</t>
  </si>
  <si>
    <t>Q0079-CP04</t>
  </si>
  <si>
    <t>Q0079-CP05</t>
  </si>
  <si>
    <t>Q0079-CP06</t>
  </si>
  <si>
    <t>Q0079-CP07</t>
  </si>
  <si>
    <t>Q0079-CP08</t>
  </si>
  <si>
    <t>Q0080-CP01</t>
  </si>
  <si>
    <t>Q0080-CP02</t>
  </si>
  <si>
    <t>Q0080-CP03</t>
  </si>
  <si>
    <t>Q0080-CP04</t>
  </si>
  <si>
    <t>Q0081-CP01</t>
  </si>
  <si>
    <t>Q0081-CP02</t>
  </si>
  <si>
    <t>Q0081-CP03</t>
  </si>
  <si>
    <t>Q0081-CP04</t>
  </si>
  <si>
    <t>Q0081-CP05</t>
  </si>
  <si>
    <t>Q0081-CP06</t>
  </si>
  <si>
    <t>Q0082-CP01</t>
  </si>
  <si>
    <t>Q0082-CP02</t>
  </si>
  <si>
    <t>建立原题指定的历史、未来或幻想空间</t>
  </si>
  <si>
    <t>D02.03.03</t>
  </si>
  <si>
    <t>历史虚拟与抽象空间</t>
  </si>
  <si>
    <t>场景的时代/世界观特征清楚且内部一致，无明显现代与历史元素误混或空间规则随机改变。</t>
  </si>
  <si>
    <t>Q0083-CP01</t>
  </si>
  <si>
    <t>Q0083-CP02</t>
  </si>
  <si>
    <t>Q0083-CP03</t>
  </si>
  <si>
    <t>Q0083-CP04</t>
  </si>
  <si>
    <t>Q0083-CP05</t>
  </si>
  <si>
    <t>Q0083-CP06</t>
  </si>
  <si>
    <t>Q0083-CP07</t>
  </si>
  <si>
    <t>Q0083-CP08</t>
  </si>
  <si>
    <t>Q0083-CP09</t>
  </si>
  <si>
    <t>Q0084-CP01</t>
  </si>
  <si>
    <t>Q0084-CP02</t>
  </si>
  <si>
    <t>Q0084-CP03</t>
  </si>
  <si>
    <t>Q0084-CP04</t>
  </si>
  <si>
    <t>Q0084-CP05</t>
  </si>
  <si>
    <t>Q0084-CP06</t>
  </si>
  <si>
    <t>Q0084-CP07</t>
  </si>
  <si>
    <t>Q0084-CP08</t>
  </si>
  <si>
    <t>Q0084-CP09</t>
  </si>
  <si>
    <t>Q0084-CP10</t>
  </si>
  <si>
    <t>Q0085-CP01</t>
  </si>
  <si>
    <t>Q0085-CP02</t>
  </si>
  <si>
    <t>Q0085-CP03</t>
  </si>
  <si>
    <t>Q0085-CP04</t>
  </si>
  <si>
    <t>Q0085-CP05</t>
  </si>
  <si>
    <t>Q0085-CP06</t>
  </si>
  <si>
    <t>Q0085-CP07</t>
  </si>
  <si>
    <t>Q0085-CP08</t>
  </si>
  <si>
    <t>Q0086-CP01</t>
  </si>
  <si>
    <t>Q0086-CP02</t>
  </si>
  <si>
    <t>Q0086-CP03</t>
  </si>
  <si>
    <t>Q0086-CP04</t>
  </si>
  <si>
    <t>Q0086-CP05</t>
  </si>
  <si>
    <t>Q0086-CP06</t>
  </si>
  <si>
    <t>Q0086-CP07</t>
  </si>
  <si>
    <t>Q0086-CP08</t>
  </si>
  <si>
    <t>Q0086-CP09</t>
  </si>
  <si>
    <t>Q0086-CP10</t>
  </si>
  <si>
    <t>Q0086-CP11</t>
  </si>
  <si>
    <t>Q0086-CP12</t>
  </si>
  <si>
    <t>Q0087-CP01</t>
  </si>
  <si>
    <t>Q0087-CP02</t>
  </si>
  <si>
    <t>Q0088-CP01</t>
  </si>
  <si>
    <t>Q0088-CP02</t>
  </si>
  <si>
    <t>Q0088-CP03</t>
  </si>
  <si>
    <t>Q0088-CP04</t>
  </si>
  <si>
    <t>Q0088-CP05</t>
  </si>
  <si>
    <t>Q0088-CP06</t>
  </si>
  <si>
    <t>Q0088-CP07</t>
  </si>
  <si>
    <t>Q0088-CP08</t>
  </si>
  <si>
    <t>Q0089-CP01</t>
  </si>
  <si>
    <t>Q0089-CP02</t>
  </si>
  <si>
    <t>Q0089-CP03</t>
  </si>
  <si>
    <t>Q0089-CP04</t>
  </si>
  <si>
    <t>Q0089-CP05</t>
  </si>
  <si>
    <t>Q0089-CP06</t>
  </si>
  <si>
    <t>Q0090-CP01</t>
  </si>
  <si>
    <t>Q0090-CP02</t>
  </si>
  <si>
    <t>Q0090-CP03</t>
  </si>
  <si>
    <t>Q0090-CP04</t>
  </si>
  <si>
    <t>Q0090-CP05</t>
  </si>
  <si>
    <t>Q0090-CP06</t>
  </si>
  <si>
    <t>Q0090-CP07</t>
  </si>
  <si>
    <t>Q0090-CP08</t>
  </si>
  <si>
    <t>Q0091-CP01</t>
  </si>
  <si>
    <t>Q0091-CP02</t>
  </si>
  <si>
    <t>Q0091-CP03</t>
  </si>
  <si>
    <t>完成腾空、翻转或跑酷极端姿态</t>
  </si>
  <si>
    <t>D04.03.03</t>
  </si>
  <si>
    <t>体操跑酷与空中翻转</t>
  </si>
  <si>
    <t>起跳、腾空/翻转和落地主要阶段可读，空中人体结构未严重断裂。</t>
  </si>
  <si>
    <t>腾空或翻转段</t>
  </si>
  <si>
    <t>Q0091-CP04</t>
  </si>
  <si>
    <t>Q0091-CP05</t>
  </si>
  <si>
    <t>Q0091-CP06</t>
  </si>
  <si>
    <t>Q0091-CP07</t>
  </si>
  <si>
    <t>Q0091-CP08</t>
  </si>
  <si>
    <t>Q0091-CP09</t>
  </si>
  <si>
    <t>Q0091-CP10</t>
  </si>
  <si>
    <t>Q0092-CP01</t>
  </si>
  <si>
    <t>Q0092-CP02</t>
  </si>
  <si>
    <t>Q0092-CP03</t>
  </si>
  <si>
    <t>Q0092-CP04</t>
  </si>
  <si>
    <t>Q0092-CP05</t>
  </si>
  <si>
    <t>Q0092-CP06</t>
  </si>
  <si>
    <t>Q0092-CP07</t>
  </si>
  <si>
    <t>Q0092-CP08</t>
  </si>
  <si>
    <t>Q0092-CP09</t>
  </si>
  <si>
    <t>Q0092-CP10</t>
  </si>
  <si>
    <t>Q0093-CP01</t>
  </si>
  <si>
    <t>Q0093-CP02</t>
  </si>
  <si>
    <t>Q0093-CP03</t>
  </si>
  <si>
    <t>Q0093-CP04</t>
  </si>
  <si>
    <t>Q0093-CP05</t>
  </si>
  <si>
    <t>Q0093-CP06</t>
  </si>
  <si>
    <t>Q0093-CP07</t>
  </si>
  <si>
    <t>Q0094-CP01</t>
  </si>
  <si>
    <t>Q0094-CP02</t>
  </si>
  <si>
    <t>Q0094-CP03</t>
  </si>
  <si>
    <t>Q0094-CP04</t>
  </si>
  <si>
    <t>Q0094-CP05</t>
  </si>
  <si>
    <t>Q0094-CP06</t>
  </si>
  <si>
    <t>Q0094-CP07</t>
  </si>
  <si>
    <t>Q0094-CP08</t>
  </si>
  <si>
    <t>Q0094-CP09</t>
  </si>
  <si>
    <t>Q0094-CP10</t>
  </si>
  <si>
    <t>Q0094-CP11</t>
  </si>
  <si>
    <t>Q0094-CP12</t>
  </si>
  <si>
    <t>Q0095-CP01</t>
  </si>
  <si>
    <t>Q0095-CP02</t>
  </si>
  <si>
    <t>Q0095-CP03</t>
  </si>
  <si>
    <t>Q0095-CP04</t>
  </si>
  <si>
    <t>Q0095-CP05</t>
  </si>
  <si>
    <t>Q0095-CP06</t>
  </si>
  <si>
    <t>Q0095-CP07</t>
  </si>
  <si>
    <t>Q0095-CP08</t>
  </si>
  <si>
    <t>Q0096-CP01</t>
  </si>
  <si>
    <t>Q0096-CP02</t>
  </si>
  <si>
    <t>Q0096-CP03</t>
  </si>
  <si>
    <t>Q0096-CP04</t>
  </si>
  <si>
    <t>Q0096-CP05</t>
  </si>
  <si>
    <t>Q0096-CP06</t>
  </si>
  <si>
    <t>Q0096-CP07</t>
  </si>
  <si>
    <t>Q0097-CP01</t>
  </si>
  <si>
    <t>Q0097-CP02</t>
  </si>
  <si>
    <t>Q0097-CP03</t>
  </si>
  <si>
    <t>Q0097-CP04</t>
  </si>
  <si>
    <t>Q0097-CP05</t>
  </si>
  <si>
    <t>Q0098-CP01</t>
  </si>
  <si>
    <t>Q0098-CP02</t>
  </si>
  <si>
    <t>Q0098-CP03</t>
  </si>
  <si>
    <t>Q0098-CP04</t>
  </si>
  <si>
    <t>Q0098-CP05</t>
  </si>
  <si>
    <t>Q0098-CP06</t>
  </si>
  <si>
    <t>Q0098-CP07</t>
  </si>
  <si>
    <t>Q0098-CP08</t>
  </si>
  <si>
    <t>Q0098-CP09</t>
  </si>
  <si>
    <t>Q0098-CP10</t>
  </si>
  <si>
    <t>Q0099-CP01</t>
  </si>
  <si>
    <t>Q0099-CP02</t>
  </si>
  <si>
    <t>Q0099-CP03</t>
  </si>
  <si>
    <t>Q0099-CP04</t>
  </si>
  <si>
    <t>Q0099-CP05</t>
  </si>
  <si>
    <t>Q0099-CP06</t>
  </si>
  <si>
    <t>Q0099-CP07</t>
  </si>
  <si>
    <t>Q0099-CP08</t>
  </si>
  <si>
    <t>Q0099-CP09</t>
  </si>
  <si>
    <t>Q0099-CP10</t>
  </si>
  <si>
    <t>Q0100-CP01</t>
  </si>
  <si>
    <t>Q0100-CP02</t>
  </si>
  <si>
    <t>Q0100-CP03</t>
  </si>
  <si>
    <t>Q0100-CP04</t>
  </si>
  <si>
    <t>Q0100-CP05</t>
  </si>
  <si>
    <t>Q0101-CP01</t>
  </si>
  <si>
    <t>Q0101-CP02</t>
  </si>
  <si>
    <t>Q0101-CP03</t>
  </si>
  <si>
    <t>Q0101-CP04</t>
  </si>
  <si>
    <t>Q0101-CP05</t>
  </si>
  <si>
    <t>Q0101-CP06</t>
  </si>
  <si>
    <t>Q0101-CP07</t>
  </si>
  <si>
    <t>Q0101-CP08</t>
  </si>
  <si>
    <t>Q0101-CP09</t>
  </si>
  <si>
    <t>Q0101-CP10</t>
  </si>
  <si>
    <t>Q0101-CP11</t>
  </si>
  <si>
    <t>Q0101-CP12</t>
  </si>
  <si>
    <t>Q0102-CP01</t>
  </si>
  <si>
    <t>Q0102-CP02</t>
  </si>
  <si>
    <t>Q0102-CP03</t>
  </si>
  <si>
    <t>Q0102-CP04</t>
  </si>
  <si>
    <t>Q0102-CP05</t>
  </si>
  <si>
    <t>Q0102-CP06</t>
  </si>
  <si>
    <t>Q0103-CP01</t>
  </si>
  <si>
    <t>Q0103-CP02</t>
  </si>
  <si>
    <t>Q0103-CP03</t>
  </si>
  <si>
    <t>Q0103-CP04</t>
  </si>
  <si>
    <t>Q0103-CP05</t>
  </si>
  <si>
    <t>Q0103-CP06</t>
  </si>
  <si>
    <t>Q0103-CP07</t>
  </si>
  <si>
    <t>Q0103-CP08</t>
  </si>
  <si>
    <t>Q0104-CP01</t>
  </si>
  <si>
    <t>Q0104-CP02</t>
  </si>
  <si>
    <t>Q0104-CP03</t>
  </si>
  <si>
    <t>Q0104-CP04</t>
  </si>
  <si>
    <t>Q0104-CP05</t>
  </si>
  <si>
    <t>Q0104-CP06</t>
  </si>
  <si>
    <t>Q0104-CP07</t>
  </si>
  <si>
    <t>Q0104-CP08</t>
  </si>
  <si>
    <t>Q0105-CP01</t>
  </si>
  <si>
    <t>Q0105-CP02</t>
  </si>
  <si>
    <t>Q0105-CP03</t>
  </si>
  <si>
    <t>Q0105-CP04</t>
  </si>
  <si>
    <t>Q0105-CP05</t>
  </si>
  <si>
    <t>Q0105-CP06</t>
  </si>
  <si>
    <t>Q0106-CP01</t>
  </si>
  <si>
    <t>Q0106-CP02</t>
  </si>
  <si>
    <t>Q0106-CP03</t>
  </si>
  <si>
    <t>Q0106-CP04</t>
  </si>
  <si>
    <t>Q0106-CP05</t>
  </si>
  <si>
    <t>Q0106-CP06</t>
  </si>
  <si>
    <t>Q0106-CP07</t>
  </si>
  <si>
    <t>Q0106-CP08</t>
  </si>
  <si>
    <t>Q0107-CP01</t>
  </si>
  <si>
    <t>Q0107-CP02</t>
  </si>
  <si>
    <t>Q0107-CP03</t>
  </si>
  <si>
    <t>Q0107-CP04</t>
  </si>
  <si>
    <t>Q0107-CP05</t>
  </si>
  <si>
    <t>Q0107-CP06</t>
  </si>
  <si>
    <t>Q0107-CP07</t>
  </si>
  <si>
    <t>Q0107-CP08</t>
  </si>
  <si>
    <t>Q0107-CP09</t>
  </si>
  <si>
    <t>Q0107-CP10</t>
  </si>
  <si>
    <t>Q0107-CP11</t>
  </si>
  <si>
    <t>Q0107-CP12</t>
  </si>
  <si>
    <t>Q0108-CP01</t>
  </si>
  <si>
    <t>Q0108-CP02</t>
  </si>
  <si>
    <t>Q0108-CP03</t>
  </si>
  <si>
    <t>Q0108-CP04</t>
  </si>
  <si>
    <t>Q0108-CP05</t>
  </si>
  <si>
    <t>Q0108-CP06</t>
  </si>
  <si>
    <t>Q0108-CP07</t>
  </si>
  <si>
    <t>Q0108-CP08</t>
  </si>
  <si>
    <t>Q0108-CP09</t>
  </si>
  <si>
    <t>Q0108-CP10</t>
  </si>
  <si>
    <t>Q0108-CP11</t>
  </si>
  <si>
    <t>Q0108-CP12</t>
  </si>
  <si>
    <t>Q0109-CP01</t>
  </si>
  <si>
    <t>Q0109-CP02</t>
  </si>
  <si>
    <t>Q0109-CP03</t>
  </si>
  <si>
    <t>Q0109-CP04</t>
  </si>
  <si>
    <t>Q0109-CP05</t>
  </si>
  <si>
    <t>Q0109-CP06</t>
  </si>
  <si>
    <t>Q0109-CP07</t>
  </si>
  <si>
    <t>Q0109-CP08</t>
  </si>
  <si>
    <t>Q0110-CP01</t>
  </si>
  <si>
    <t>Q0110-CP02</t>
  </si>
  <si>
    <t>Q0110-CP03</t>
  </si>
  <si>
    <t>Q0110-CP04</t>
  </si>
  <si>
    <t>Q0110-CP05</t>
  </si>
  <si>
    <t>Q0110-CP06</t>
  </si>
  <si>
    <t>Q0110-CP07</t>
  </si>
  <si>
    <t>Q0110-CP08</t>
  </si>
  <si>
    <t>Q0111-CP01</t>
  </si>
  <si>
    <t>Q0111-CP02</t>
  </si>
  <si>
    <t>Q0111-CP03</t>
  </si>
  <si>
    <t>Q0111-CP04</t>
  </si>
  <si>
    <t>Q0111-CP05</t>
  </si>
  <si>
    <t>Q0111-CP06</t>
  </si>
  <si>
    <t>Q0112-CP01</t>
  </si>
  <si>
    <t>Q0112-CP02</t>
  </si>
  <si>
    <t>Q0112-CP03</t>
  </si>
  <si>
    <t>Q0112-CP04</t>
  </si>
  <si>
    <t>Q0112-CP05</t>
  </si>
  <si>
    <t>Q0112-CP06</t>
  </si>
  <si>
    <t>Q0113-CP01</t>
  </si>
  <si>
    <t>Q0113-CP02</t>
  </si>
  <si>
    <t>Q0113-CP03</t>
  </si>
  <si>
    <t>Q0113-CP04</t>
  </si>
  <si>
    <t>Q0113-CP05</t>
  </si>
  <si>
    <t>Q0113-CP06</t>
  </si>
  <si>
    <t>Q0114-CP01</t>
  </si>
  <si>
    <t>Q0114-CP02</t>
  </si>
  <si>
    <t>Q0114-CP03</t>
  </si>
  <si>
    <t>Q0114-CP04</t>
  </si>
  <si>
    <t>Q0114-CP05</t>
  </si>
  <si>
    <t>Q0114-CP06</t>
  </si>
  <si>
    <t>Q0114-CP07</t>
  </si>
  <si>
    <t>Q0114-CP08</t>
  </si>
  <si>
    <t>Q0114-CP09</t>
  </si>
  <si>
    <t>Q0115-CP01</t>
  </si>
  <si>
    <t>Q0115-CP02</t>
  </si>
  <si>
    <t>Q0115-CP03</t>
  </si>
  <si>
    <t>Q0115-CP04</t>
  </si>
  <si>
    <t>Q0115-CP05</t>
  </si>
  <si>
    <t>Q0115-CP06</t>
  </si>
  <si>
    <t>Q0116-CP01</t>
  </si>
  <si>
    <t>Q0116-CP02</t>
  </si>
  <si>
    <t>Q0116-CP03</t>
  </si>
  <si>
    <t>Q0116-CP04</t>
  </si>
  <si>
    <t>Q0116-CP05</t>
  </si>
  <si>
    <t>Q0116-CP06</t>
  </si>
  <si>
    <t>Q0116-CP07</t>
  </si>
  <si>
    <t>Q0116-CP08</t>
  </si>
  <si>
    <t>Q0117-CP01</t>
  </si>
  <si>
    <t>Q0117-CP02</t>
  </si>
  <si>
    <t>Q0117-CP03</t>
  </si>
  <si>
    <t>Q0117-CP04</t>
  </si>
  <si>
    <t>Q0117-CP05</t>
  </si>
  <si>
    <t>Q0117-CP06</t>
  </si>
  <si>
    <t>Q0118-CP01</t>
  </si>
  <si>
    <t>Q0118-CP02</t>
  </si>
  <si>
    <t>Q0118-CP03</t>
  </si>
  <si>
    <t>Q0118-CP04</t>
  </si>
  <si>
    <t>Q0118-CP05</t>
  </si>
  <si>
    <t>Q0118-CP06</t>
  </si>
  <si>
    <t>Q0118-CP07</t>
  </si>
  <si>
    <t>Q0118-CP08</t>
  </si>
  <si>
    <t>Q0118-CP09</t>
  </si>
  <si>
    <t>Q0118-CP10</t>
  </si>
  <si>
    <t>Q0118-CP11</t>
  </si>
  <si>
    <t>Q0118-CP12</t>
  </si>
  <si>
    <t>Q0119-CP01</t>
  </si>
  <si>
    <t>Q0119-CP02</t>
  </si>
  <si>
    <t>Q0119-CP03</t>
  </si>
  <si>
    <t>Q0119-CP04</t>
  </si>
  <si>
    <t>Q0119-CP05</t>
  </si>
  <si>
    <t>Q0119-CP06</t>
  </si>
  <si>
    <t>Q0119-CP07</t>
  </si>
  <si>
    <t>Q0119-CP08</t>
  </si>
  <si>
    <t>Q0120-CP01</t>
  </si>
  <si>
    <t>Q0120-CP02</t>
  </si>
  <si>
    <t>Q0120-CP03</t>
  </si>
  <si>
    <t>Q0120-CP04</t>
  </si>
  <si>
    <t>Q0120-CP05</t>
  </si>
  <si>
    <t>Q0120-CP06</t>
  </si>
  <si>
    <t>Q0120-CP07</t>
  </si>
  <si>
    <t>Q0120-CP08</t>
  </si>
  <si>
    <t>Q0120-CP09</t>
  </si>
  <si>
    <t>Q0120-CP10</t>
  </si>
  <si>
    <t>Q0121-CP01</t>
  </si>
  <si>
    <t>Q0121-CP02</t>
  </si>
  <si>
    <t>Q0121-CP03</t>
  </si>
  <si>
    <t>Q0121-CP04</t>
  </si>
  <si>
    <t>Q0121-CP05</t>
  </si>
  <si>
    <t>Q0121-CP06</t>
  </si>
  <si>
    <t>Q0121-CP07</t>
  </si>
  <si>
    <t>Q0121-CP08</t>
  </si>
  <si>
    <t>Q0121-CP09</t>
  </si>
  <si>
    <t>Q0121-CP10</t>
  </si>
  <si>
    <t>Q0122-CP01</t>
  </si>
  <si>
    <t>Q0122-CP02</t>
  </si>
  <si>
    <t>Q0122-CP03</t>
  </si>
  <si>
    <t>Q0122-CP04</t>
  </si>
  <si>
    <t>Q0122-CP05</t>
  </si>
  <si>
    <t>Q0122-CP06</t>
  </si>
  <si>
    <t>Q0122-CP07</t>
  </si>
  <si>
    <t>Q0122-CP08</t>
  </si>
  <si>
    <t>Q0122-CP09</t>
  </si>
  <si>
    <t>Q0122-CP10</t>
  </si>
  <si>
    <t>Q0123-CP01</t>
  </si>
  <si>
    <t>Q0123-CP02</t>
  </si>
  <si>
    <t>Q0123-CP03</t>
  </si>
  <si>
    <t>Q0124-CP01</t>
  </si>
  <si>
    <t>Q0124-CP02</t>
  </si>
  <si>
    <t>Q0124-CP03</t>
  </si>
  <si>
    <t>Q0124-CP04</t>
  </si>
  <si>
    <t>Q0124-CP05</t>
  </si>
  <si>
    <t>Q0124-CP06</t>
  </si>
  <si>
    <t>Q0124-CP07</t>
  </si>
  <si>
    <t>Q0124-CP08</t>
  </si>
  <si>
    <t>Q0124-CP09</t>
  </si>
  <si>
    <t>Q0124-CP10</t>
  </si>
  <si>
    <t>Q0125-CP01</t>
  </si>
  <si>
    <t>Q0125-CP02</t>
  </si>
  <si>
    <t>Q0125-CP03</t>
  </si>
  <si>
    <t>Q0126-CP01</t>
  </si>
  <si>
    <t>Q0126-CP02</t>
  </si>
  <si>
    <t>Q0126-CP03</t>
  </si>
  <si>
    <t>Q0126-CP04</t>
  </si>
  <si>
    <t>Q0126-CP05</t>
  </si>
  <si>
    <t>Q0126-CP06</t>
  </si>
  <si>
    <t>Q0126-CP07</t>
  </si>
  <si>
    <t>Q0126-CP08</t>
  </si>
  <si>
    <t>Q0126-CP09</t>
  </si>
  <si>
    <t>Q0126-CP10</t>
  </si>
  <si>
    <t>Q0127-CP01</t>
  </si>
  <si>
    <t>Q0127-CP02</t>
  </si>
  <si>
    <t>Q0127-CP03</t>
  </si>
  <si>
    <t>Q0127-CP04</t>
  </si>
  <si>
    <t>Q0127-CP05</t>
  </si>
  <si>
    <t>Q0127-CP06</t>
  </si>
  <si>
    <t>Q0127-CP07</t>
  </si>
  <si>
    <t>Q0127-CP08</t>
  </si>
  <si>
    <t>Q0127-CP09</t>
  </si>
  <si>
    <t>Q0127-CP10</t>
  </si>
  <si>
    <t>Q0128-CP01</t>
  </si>
  <si>
    <t>Q0128-CP02</t>
  </si>
  <si>
    <t>Q0128-CP03</t>
  </si>
  <si>
    <t>Q0128-CP04</t>
  </si>
  <si>
    <t>Q0128-CP05</t>
  </si>
  <si>
    <t>Q0128-CP06</t>
  </si>
  <si>
    <t>Q0128-CP07</t>
  </si>
  <si>
    <t>Q0128-CP08</t>
  </si>
  <si>
    <t>Q0128-CP09</t>
  </si>
  <si>
    <t>Q0128-CP10</t>
  </si>
  <si>
    <t>Q0129-CP01</t>
  </si>
  <si>
    <t>Q0129-CP02</t>
  </si>
  <si>
    <t>Q0129-CP03</t>
  </si>
  <si>
    <t>Q0129-CP04</t>
  </si>
  <si>
    <t>Q0129-CP05</t>
  </si>
  <si>
    <t>Q0129-CP06</t>
  </si>
  <si>
    <t>Q0129-CP07</t>
  </si>
  <si>
    <t>Q0130-CP01</t>
  </si>
  <si>
    <t>Q0130-CP02</t>
  </si>
  <si>
    <t>Q0130-CP03</t>
  </si>
  <si>
    <t>Q0130-CP04</t>
  </si>
  <si>
    <t>Q0130-CP05</t>
  </si>
  <si>
    <t>Q0130-CP06</t>
  </si>
  <si>
    <t>Q0130-CP07</t>
  </si>
  <si>
    <t>Q0130-CP08</t>
  </si>
  <si>
    <t>Q0130-CP09</t>
  </si>
  <si>
    <t>Q0130-CP10</t>
  </si>
  <si>
    <t>Q0131-CP01</t>
  </si>
  <si>
    <t>Q0131-CP02</t>
  </si>
  <si>
    <t>Q0131-CP03</t>
  </si>
  <si>
    <t>Q0131-CP04</t>
  </si>
  <si>
    <t>Q0131-CP05</t>
  </si>
  <si>
    <t>Q0131-CP06</t>
  </si>
  <si>
    <t>Q0132-CP01</t>
  </si>
  <si>
    <t>Q0132-CP02</t>
  </si>
  <si>
    <t>Q0132-CP03</t>
  </si>
  <si>
    <t>Q0132-CP04</t>
  </si>
  <si>
    <t>Q0132-CP05</t>
  </si>
  <si>
    <t>Q0132-CP06</t>
  </si>
  <si>
    <t>Q0132-CP07</t>
  </si>
  <si>
    <t>Q0132-CP08</t>
  </si>
  <si>
    <t>Q0132-CP09</t>
  </si>
  <si>
    <t>Q0132-CP10</t>
  </si>
  <si>
    <t>Q0133-CP01</t>
  </si>
  <si>
    <t>Q0133-CP02</t>
  </si>
  <si>
    <t>Q0133-CP03</t>
  </si>
  <si>
    <t>Q0133-CP04</t>
  </si>
  <si>
    <t>Q0133-CP05</t>
  </si>
  <si>
    <t>Q0133-CP06</t>
  </si>
  <si>
    <t>Q0133-CP07</t>
  </si>
  <si>
    <t>Q0133-CP08</t>
  </si>
  <si>
    <t>Q0133-CP09</t>
  </si>
  <si>
    <t>Q0133-CP10</t>
  </si>
  <si>
    <t>Q0134-CP01</t>
  </si>
  <si>
    <t>Q0134-CP02</t>
  </si>
  <si>
    <t>Q0134-CP03</t>
  </si>
  <si>
    <t>Q0134-CP04</t>
  </si>
  <si>
    <t>Q0134-CP05</t>
  </si>
  <si>
    <t>Q0134-CP06</t>
  </si>
  <si>
    <t>Q0134-CP07</t>
  </si>
  <si>
    <t>Q0134-CP08</t>
  </si>
  <si>
    <t>Q0134-CP09</t>
  </si>
  <si>
    <t>Q0134-CP10</t>
  </si>
  <si>
    <t>Q0135-CP01</t>
  </si>
  <si>
    <t>Q0135-CP02</t>
  </si>
  <si>
    <t>Q0135-CP03</t>
  </si>
  <si>
    <t>Q0135-CP04</t>
  </si>
  <si>
    <t>Q0135-CP05</t>
  </si>
  <si>
    <t>Q0135-CP06</t>
  </si>
  <si>
    <t>Q0136-CP01</t>
  </si>
  <si>
    <t>Q0136-CP02</t>
  </si>
  <si>
    <t>Q0136-CP03</t>
  </si>
  <si>
    <t>Q0136-CP04</t>
  </si>
  <si>
    <t>Q0136-CP05</t>
  </si>
  <si>
    <t>Q0136-CP06</t>
  </si>
  <si>
    <t>Q0136-CP07</t>
  </si>
  <si>
    <t>Q0136-CP08</t>
  </si>
  <si>
    <t>Q0137-CP01</t>
  </si>
  <si>
    <t>Q0137-CP02</t>
  </si>
  <si>
    <t>Q0137-CP03</t>
  </si>
  <si>
    <t>Q0137-CP04</t>
  </si>
  <si>
    <t>Q0137-CP05</t>
  </si>
  <si>
    <t>Q0137-CP06</t>
  </si>
  <si>
    <t>Q0137-CP07</t>
  </si>
  <si>
    <t>Q0137-CP08</t>
  </si>
  <si>
    <t>Q0137-CP09</t>
  </si>
  <si>
    <t>Q0138-CP01</t>
  </si>
  <si>
    <t>Q0138-CP02</t>
  </si>
  <si>
    <t>Q0138-CP03</t>
  </si>
  <si>
    <t>Q0138-CP04</t>
  </si>
  <si>
    <t>Q0138-CP05</t>
  </si>
  <si>
    <t>Q0138-CP06</t>
  </si>
  <si>
    <t>Q0138-CP07</t>
  </si>
  <si>
    <t>Q0138-CP08</t>
  </si>
  <si>
    <t>Q0139-CP01</t>
  </si>
  <si>
    <t>Q0139-CP02</t>
  </si>
  <si>
    <t>Q0139-CP03</t>
  </si>
  <si>
    <t>Q0139-CP04</t>
  </si>
  <si>
    <t>Q0140-CP01</t>
  </si>
  <si>
    <t>Q0140-CP02</t>
  </si>
  <si>
    <t>Q0140-CP03</t>
  </si>
  <si>
    <t>Q0140-CP04</t>
  </si>
  <si>
    <t>Q0140-CP05</t>
  </si>
  <si>
    <t>Q0140-CP06</t>
  </si>
  <si>
    <t>Q0140-CP07</t>
  </si>
  <si>
    <t>Q0140-CP08</t>
  </si>
  <si>
    <t>Q0141-CP01</t>
  </si>
  <si>
    <t>Q0141-CP02</t>
  </si>
  <si>
    <t>Q0141-CP03</t>
  </si>
  <si>
    <t>Q0141-CP04</t>
  </si>
  <si>
    <t>Q0141-CP05</t>
  </si>
  <si>
    <t>Q0141-CP06</t>
  </si>
  <si>
    <t>Q0141-CP07</t>
  </si>
  <si>
    <t>Q0141-CP08</t>
  </si>
  <si>
    <t>Q0142-CP01</t>
  </si>
  <si>
    <t>Q0142-CP02</t>
  </si>
  <si>
    <t>Q0142-CP03</t>
  </si>
  <si>
    <t>Q0142-CP04</t>
  </si>
  <si>
    <t>Q0142-CP05</t>
  </si>
  <si>
    <t>Q0142-CP06</t>
  </si>
  <si>
    <t>Q0142-CP07</t>
  </si>
  <si>
    <t>Q0142-CP08</t>
  </si>
  <si>
    <t>Q0143-CP01</t>
  </si>
  <si>
    <t>Q0143-CP02</t>
  </si>
  <si>
    <t>Q0143-CP03</t>
  </si>
  <si>
    <t>Q0143-CP04</t>
  </si>
  <si>
    <t>Q0143-CP05</t>
  </si>
  <si>
    <t>Q0143-CP06</t>
  </si>
  <si>
    <t>Q0143-CP07</t>
  </si>
  <si>
    <t>Q0143-CP08</t>
  </si>
  <si>
    <t>Q0144-CP01</t>
  </si>
  <si>
    <t>Q0144-CP02</t>
  </si>
  <si>
    <t>Q0144-CP03</t>
  </si>
  <si>
    <t>Q0144-CP04</t>
  </si>
  <si>
    <t>Q0145-CP01</t>
  </si>
  <si>
    <t>Q0145-CP02</t>
  </si>
  <si>
    <t>Q0145-CP03</t>
  </si>
  <si>
    <t>Q0145-CP04</t>
  </si>
  <si>
    <t>Q0145-CP05</t>
  </si>
  <si>
    <t>Q0145-CP06</t>
  </si>
  <si>
    <t>Q0145-CP07</t>
  </si>
  <si>
    <t>Q0145-CP08</t>
  </si>
  <si>
    <t>Q0145-CP09</t>
  </si>
  <si>
    <t>Q0145-CP10</t>
  </si>
  <si>
    <t>Q0145-CP11</t>
  </si>
  <si>
    <t>Q0145-CP12</t>
  </si>
  <si>
    <t>Q0146-CP01</t>
  </si>
  <si>
    <t>Q0146-CP02</t>
  </si>
  <si>
    <t>Q0146-CP03</t>
  </si>
  <si>
    <t>Q0146-CP04</t>
  </si>
  <si>
    <t>Q0146-CP05</t>
  </si>
  <si>
    <t>Q0146-CP06</t>
  </si>
  <si>
    <t>Q0146-CP07</t>
  </si>
  <si>
    <t>Q0146-CP08</t>
  </si>
  <si>
    <t>Q0147-CP01</t>
  </si>
  <si>
    <t>Q0147-CP02</t>
  </si>
  <si>
    <t>Q0147-CP03</t>
  </si>
  <si>
    <t>Q0147-CP04</t>
  </si>
  <si>
    <t>Q0147-CP05</t>
  </si>
  <si>
    <t>Q0147-CP06</t>
  </si>
  <si>
    <t>Q0147-CP07</t>
  </si>
  <si>
    <t>Q0147-CP08</t>
  </si>
  <si>
    <t>Q0148-CP01</t>
  </si>
  <si>
    <t>Q0148-CP02</t>
  </si>
  <si>
    <t>Q0148-CP03</t>
  </si>
  <si>
    <t>Q0148-CP04</t>
  </si>
  <si>
    <t>Q0148-CP05</t>
  </si>
  <si>
    <t>Q0148-CP06</t>
  </si>
  <si>
    <t>Q0148-CP07</t>
  </si>
  <si>
    <t>Q0148-CP08</t>
  </si>
  <si>
    <t>Q0149-CP01</t>
  </si>
  <si>
    <t>Q0149-CP02</t>
  </si>
  <si>
    <t>Q0149-CP03</t>
  </si>
  <si>
    <t>Q0149-CP04</t>
  </si>
  <si>
    <t>Q0150-CP01</t>
  </si>
  <si>
    <t>Q0150-CP02</t>
  </si>
  <si>
    <t>Q0150-CP03</t>
  </si>
  <si>
    <t>Q0150-CP04</t>
  </si>
  <si>
    <t>Q0150-CP05</t>
  </si>
  <si>
    <t>Q0150-CP06</t>
  </si>
  <si>
    <t>Q0151-CP01</t>
  </si>
  <si>
    <t>Q0151-CP02</t>
  </si>
  <si>
    <t>Q0151-CP03</t>
  </si>
  <si>
    <t>Q0152-CP01</t>
  </si>
  <si>
    <t>Q0152-CP02</t>
  </si>
  <si>
    <t>Q0152-CP03</t>
  </si>
  <si>
    <t>Q0152-CP04</t>
  </si>
  <si>
    <t>Q0152-CP05</t>
  </si>
  <si>
    <t>Q0152-CP06</t>
  </si>
  <si>
    <t>Q0152-CP07</t>
  </si>
  <si>
    <t>Q0152-CP08</t>
  </si>
  <si>
    <t>Q0152-CP09</t>
  </si>
  <si>
    <t>Q0152-CP10</t>
  </si>
  <si>
    <t>Q0153-CP01</t>
  </si>
  <si>
    <t>Q0153-CP02</t>
  </si>
  <si>
    <t>Q0154-CP01</t>
  </si>
  <si>
    <t>Q0154-CP02</t>
  </si>
  <si>
    <t>Q0154-CP03</t>
  </si>
  <si>
    <t>Q0154-CP04</t>
  </si>
  <si>
    <t>Q0154-CP05</t>
  </si>
  <si>
    <t>Q0154-CP06</t>
  </si>
  <si>
    <t>Q0154-CP07</t>
  </si>
  <si>
    <t>Q0154-CP08</t>
  </si>
  <si>
    <t>Q0155-CP01</t>
  </si>
  <si>
    <t>Q0155-CP02</t>
  </si>
  <si>
    <t>Q0156-CP01</t>
  </si>
  <si>
    <t>Q0156-CP02</t>
  </si>
  <si>
    <t>Q0156-CP03</t>
  </si>
  <si>
    <t>Q0156-CP04</t>
  </si>
  <si>
    <t>Q0156-CP05</t>
  </si>
  <si>
    <t>Q0156-CP06</t>
  </si>
  <si>
    <t>Q0156-CP07</t>
  </si>
  <si>
    <t>Q0156-CP08</t>
  </si>
  <si>
    <t>Q0157-CP01</t>
  </si>
  <si>
    <t>Q0157-CP02</t>
  </si>
  <si>
    <t>Q0158-CP01</t>
  </si>
  <si>
    <t>Q0158-CP02</t>
  </si>
  <si>
    <t>Q0158-CP03</t>
  </si>
  <si>
    <t>Q0158-CP04</t>
  </si>
  <si>
    <t>Q0158-CP05</t>
  </si>
  <si>
    <t>Q0158-CP06</t>
  </si>
  <si>
    <t>Q0158-CP07</t>
  </si>
  <si>
    <t>Q0158-CP08</t>
  </si>
  <si>
    <t>Q0159-CP01</t>
  </si>
  <si>
    <t>Q0159-CP02</t>
  </si>
  <si>
    <t>Q0159-CP03</t>
  </si>
  <si>
    <t>Q0159-CP04</t>
  </si>
  <si>
    <t>Q0160-CP01</t>
  </si>
  <si>
    <t>Q0160-CP02</t>
  </si>
  <si>
    <t>Q0160-CP03</t>
  </si>
  <si>
    <t>Q0160-CP04</t>
  </si>
  <si>
    <t>Q0160-CP05</t>
  </si>
  <si>
    <t>Q0160-CP06</t>
  </si>
  <si>
    <t>Q0160-CP07</t>
  </si>
  <si>
    <t>Q0160-CP08</t>
  </si>
  <si>
    <t>Q0161-CP01</t>
  </si>
  <si>
    <t>Q0161-CP02</t>
  </si>
  <si>
    <t>Q0161-CP03</t>
  </si>
  <si>
    <t>Q0162-CP01</t>
  </si>
  <si>
    <t>Q0162-CP02</t>
  </si>
  <si>
    <t>Q0162-CP03</t>
  </si>
  <si>
    <t>Q0162-CP04</t>
  </si>
  <si>
    <t>Q0162-CP05</t>
  </si>
  <si>
    <t>Q0162-CP06</t>
  </si>
  <si>
    <t>Q0162-CP07</t>
  </si>
  <si>
    <t>Q0162-CP08</t>
  </si>
  <si>
    <t>Q0163-CP01</t>
  </si>
  <si>
    <t>Q0163-CP02</t>
  </si>
  <si>
    <t>Q0163-CP03</t>
  </si>
  <si>
    <t>Q0164-CP01</t>
  </si>
  <si>
    <t>Q0164-CP02</t>
  </si>
  <si>
    <t>Q0164-CP03</t>
  </si>
  <si>
    <t>Q0164-CP04</t>
  </si>
  <si>
    <t>Q0165-CP01</t>
  </si>
  <si>
    <t>Q0165-CP02</t>
  </si>
  <si>
    <t>Q0165-CP03</t>
  </si>
  <si>
    <t>Q0165-CP04</t>
  </si>
  <si>
    <t>Q0165-CP05</t>
  </si>
  <si>
    <t>Q0165-CP06</t>
  </si>
  <si>
    <t>Q0165-CP07</t>
  </si>
  <si>
    <t>Q0165-CP08</t>
  </si>
  <si>
    <t>Q0166-CP01</t>
  </si>
  <si>
    <t>Q0166-CP02</t>
  </si>
  <si>
    <t>Q0166-CP03</t>
  </si>
  <si>
    <t>Q0166-CP04</t>
  </si>
  <si>
    <t>Q0166-CP05</t>
  </si>
  <si>
    <t>Q0166-CP06</t>
  </si>
  <si>
    <t>Q0167-CP01</t>
  </si>
  <si>
    <t>Q0167-CP02</t>
  </si>
  <si>
    <t>Q0167-CP03</t>
  </si>
  <si>
    <t>Q0167-CP04</t>
  </si>
  <si>
    <t>Q0167-CP05</t>
  </si>
  <si>
    <t>Q0167-CP06</t>
  </si>
  <si>
    <t>Q0168-CP01</t>
  </si>
  <si>
    <t>Q0168-CP02</t>
  </si>
  <si>
    <t>Q0168-CP03</t>
  </si>
  <si>
    <t>Q0168-CP04</t>
  </si>
  <si>
    <t>Q0168-CP05</t>
  </si>
  <si>
    <t>Q0168-CP06</t>
  </si>
  <si>
    <t>Q0169-CP01</t>
  </si>
  <si>
    <t>Q0169-CP02</t>
  </si>
  <si>
    <t>Q0169-CP03</t>
  </si>
  <si>
    <t>Q0170-CP01</t>
  </si>
  <si>
    <t>Q0170-CP02</t>
  </si>
  <si>
    <t>Q0170-CP03</t>
  </si>
  <si>
    <t>Q0170-CP04</t>
  </si>
  <si>
    <t>Q0171-CP01</t>
  </si>
  <si>
    <t>Q0171-CP02</t>
  </si>
  <si>
    <t>Q0171-CP03</t>
  </si>
  <si>
    <t>Q0172-CP01</t>
  </si>
  <si>
    <t>Q0172-CP02</t>
  </si>
  <si>
    <t>Q0172-CP03</t>
  </si>
  <si>
    <t>Q0172-CP04</t>
  </si>
  <si>
    <t>Q0172-CP05</t>
  </si>
  <si>
    <t>Q0172-CP06</t>
  </si>
  <si>
    <t>Q0173-CP01</t>
  </si>
  <si>
    <t>Q0173-CP02</t>
  </si>
  <si>
    <t>Q0174-CP01</t>
  </si>
  <si>
    <t>Q0174-CP02</t>
  </si>
  <si>
    <t>Q0174-CP03</t>
  </si>
  <si>
    <t>Q0174-CP04</t>
  </si>
  <si>
    <t>Q0174-CP05</t>
  </si>
  <si>
    <t>Q0174-CP06</t>
  </si>
  <si>
    <t>Q0175-CP01</t>
  </si>
  <si>
    <t>Q0175-CP02</t>
  </si>
  <si>
    <t>Q0176-CP01</t>
  </si>
  <si>
    <t>Q0176-CP02</t>
  </si>
  <si>
    <t>Q0176-CP03</t>
  </si>
  <si>
    <t>Q0176-CP04</t>
  </si>
  <si>
    <t>Q0176-CP05</t>
  </si>
  <si>
    <t>Q0176-CP06</t>
  </si>
  <si>
    <t>Q0176-CP07</t>
  </si>
  <si>
    <t>Q0176-CP08</t>
  </si>
  <si>
    <t>Q0177-CP01</t>
  </si>
  <si>
    <t>Q0177-CP02</t>
  </si>
  <si>
    <t>Q0178-CP01</t>
  </si>
  <si>
    <t>Q0178-CP02</t>
  </si>
  <si>
    <t>Q0178-CP03</t>
  </si>
  <si>
    <t>Q0178-CP04</t>
  </si>
  <si>
    <t>Q0178-CP05</t>
  </si>
  <si>
    <t>Q0178-CP06</t>
  </si>
  <si>
    <t>Q0178-CP07</t>
  </si>
  <si>
    <t>Q0178-CP08</t>
  </si>
  <si>
    <t>Q0179-CP01</t>
  </si>
  <si>
    <t>Q0179-CP02</t>
  </si>
  <si>
    <t>Q0179-CP03</t>
  </si>
  <si>
    <t>Q0179-CP04</t>
  </si>
  <si>
    <t>Q0180-CP01</t>
  </si>
  <si>
    <t>Q0180-CP02</t>
  </si>
  <si>
    <t>Q0180-CP03</t>
  </si>
  <si>
    <t>Q0180-CP04</t>
  </si>
  <si>
    <t>Q0180-CP05</t>
  </si>
  <si>
    <t>Q0180-CP06</t>
  </si>
  <si>
    <t>Q0180-CP07</t>
  </si>
  <si>
    <t>Q0180-CP08</t>
  </si>
  <si>
    <t>Q0180-CP09</t>
  </si>
  <si>
    <t>Q0180-CP10</t>
  </si>
  <si>
    <t>Q0181-CP01</t>
  </si>
  <si>
    <t>Q0181-CP02</t>
  </si>
  <si>
    <t>Q0181-CP03</t>
  </si>
  <si>
    <t>Q0182-CP01</t>
  </si>
  <si>
    <t>Q0182-CP02</t>
  </si>
  <si>
    <t>Q0182-CP03</t>
  </si>
  <si>
    <t>Q0182-CP04</t>
  </si>
  <si>
    <t>Q0182-CP05</t>
  </si>
  <si>
    <t>Q0183-CP01</t>
  </si>
  <si>
    <t>Q0183-CP02</t>
  </si>
  <si>
    <t>Q0183-CP03</t>
  </si>
  <si>
    <t>Q0184-CP01</t>
  </si>
  <si>
    <t>Q0184-CP02</t>
  </si>
  <si>
    <t>Q0184-CP03</t>
  </si>
  <si>
    <t>Q0184-CP04</t>
  </si>
  <si>
    <t>Q0185-CP01</t>
  </si>
  <si>
    <t>Q0185-CP02</t>
  </si>
  <si>
    <t>Q0185-CP03</t>
  </si>
  <si>
    <t>Q0185-CP04</t>
  </si>
  <si>
    <t>Q0186-CP01</t>
  </si>
  <si>
    <t>Q0186-CP02</t>
  </si>
  <si>
    <t>Q0186-CP03</t>
  </si>
  <si>
    <t>Q0186-CP04</t>
  </si>
  <si>
    <t>Q0186-CP05</t>
  </si>
  <si>
    <t>Q0186-CP06</t>
  </si>
  <si>
    <t>Q0187-CP01</t>
  </si>
  <si>
    <t>Q0187-CP02</t>
  </si>
  <si>
    <t>Q0187-CP03</t>
  </si>
  <si>
    <t>Q0188-CP01</t>
  </si>
  <si>
    <t>Q0188-CP02</t>
  </si>
  <si>
    <t>Q0188-CP03</t>
  </si>
  <si>
    <t>Q0188-CP04</t>
  </si>
  <si>
    <t>Q0188-CP05</t>
  </si>
  <si>
    <t>Q0188-CP06</t>
  </si>
  <si>
    <t>Q0189-CP01</t>
  </si>
  <si>
    <t>Q0189-CP02</t>
  </si>
  <si>
    <t>Q0189-CP03</t>
  </si>
  <si>
    <t>Q0189-CP04</t>
  </si>
  <si>
    <t>Q0190-CP01</t>
  </si>
  <si>
    <t>Q0190-CP02</t>
  </si>
  <si>
    <t>Q0191-CP01</t>
  </si>
  <si>
    <t>Q0191-CP02</t>
  </si>
  <si>
    <t>Q0191-CP03</t>
  </si>
  <si>
    <t>Q0191-CP04</t>
  </si>
  <si>
    <t>Q0191-CP05</t>
  </si>
  <si>
    <t>Q0191-CP06</t>
  </si>
  <si>
    <t>Q0191-CP07</t>
  </si>
  <si>
    <t>Q0191-CP08</t>
  </si>
  <si>
    <t>Q0191-CP09</t>
  </si>
  <si>
    <t>Q0191-CP10</t>
  </si>
  <si>
    <t>Q0191-CP11</t>
  </si>
  <si>
    <t>Q0191-CP12</t>
  </si>
  <si>
    <t>Q0192-CP01</t>
  </si>
  <si>
    <t>Q0192-CP02</t>
  </si>
  <si>
    <t>Q0192-CP03</t>
  </si>
  <si>
    <t>Q0192-CP04</t>
  </si>
  <si>
    <t>Q0192-CP05</t>
  </si>
  <si>
    <t>Q0192-CP06</t>
  </si>
  <si>
    <t>Q0192-CP07</t>
  </si>
  <si>
    <t>Q0192-CP08</t>
  </si>
  <si>
    <t>Q0192-CP09</t>
  </si>
  <si>
    <t>Q0192-CP10</t>
  </si>
  <si>
    <t>Q0192-CP11</t>
  </si>
  <si>
    <t>Q0192-CP12</t>
  </si>
  <si>
    <t>Q0193-CP01</t>
  </si>
  <si>
    <t>Q0193-CP02</t>
  </si>
  <si>
    <t>Q0193-CP03</t>
  </si>
  <si>
    <t>Q0193-CP04</t>
  </si>
  <si>
    <t>Q0193-CP05</t>
  </si>
  <si>
    <t>Q0193-CP06</t>
  </si>
  <si>
    <t>Q0193-CP07</t>
  </si>
  <si>
    <t>Q0193-CP08</t>
  </si>
  <si>
    <t>Q0193-CP09</t>
  </si>
  <si>
    <t>Q0193-CP10</t>
  </si>
  <si>
    <t>Q0193-CP11</t>
  </si>
  <si>
    <t>Q0193-CP12</t>
  </si>
  <si>
    <t>Q0194-CP01</t>
  </si>
  <si>
    <t>Q0194-CP02</t>
  </si>
  <si>
    <t>Q0195-CP01</t>
  </si>
  <si>
    <t>呈现原题指定的多行文字、文档或动态排版</t>
  </si>
  <si>
    <t>D14.01.02</t>
  </si>
  <si>
    <t>多行排版与动态文字</t>
  </si>
  <si>
    <t>关键字段和至少一行核心内容可读，行序和载体位置稳定；动态更新按原题发生。</t>
  </si>
  <si>
    <t>文字特写段</t>
  </si>
  <si>
    <t>Q0195-CP02</t>
  </si>
  <si>
    <t>Q0195-CP03</t>
  </si>
  <si>
    <t>Q0195-CP04</t>
  </si>
  <si>
    <t>Q0196-CP01</t>
  </si>
  <si>
    <t>Q0196-CP02</t>
  </si>
  <si>
    <t>Q0196-CP03</t>
  </si>
  <si>
    <t>Q0196-CP04</t>
  </si>
  <si>
    <t>Q0196-CP05</t>
  </si>
  <si>
    <t>Q0196-CP06</t>
  </si>
  <si>
    <t>Q0196-CP07</t>
  </si>
  <si>
    <t>Q0196-CP08</t>
  </si>
  <si>
    <t>Q0196-CP09</t>
  </si>
  <si>
    <t>Q0196-CP10</t>
  </si>
  <si>
    <t>Q0196-CP11</t>
  </si>
  <si>
    <t>Q0196-CP12</t>
  </si>
  <si>
    <t>Q0197-CP01</t>
  </si>
  <si>
    <t>Q0197-CP02</t>
  </si>
  <si>
    <t>Q0197-CP03</t>
  </si>
  <si>
    <t>Q0197-CP04</t>
  </si>
  <si>
    <t>Q0197-CP05</t>
  </si>
  <si>
    <t>Q0197-CP06</t>
  </si>
  <si>
    <t>Q0197-CP07</t>
  </si>
  <si>
    <t>Q0197-CP08</t>
  </si>
  <si>
    <t>Q0198-CP01</t>
  </si>
  <si>
    <t>Q0198-CP02</t>
  </si>
  <si>
    <t>Q0198-CP03</t>
  </si>
  <si>
    <t>Q0198-CP04</t>
  </si>
  <si>
    <t>Q0198-CP05</t>
  </si>
  <si>
    <t>Q0198-CP06</t>
  </si>
  <si>
    <t>Q0198-CP07</t>
  </si>
  <si>
    <t>Q0198-CP08</t>
  </si>
  <si>
    <t>Q0198-CP09</t>
  </si>
  <si>
    <t>Q0199-CP01</t>
  </si>
  <si>
    <t>Q0199-CP02</t>
  </si>
  <si>
    <t>Q0199-CP03</t>
  </si>
  <si>
    <t>Q0199-CP04</t>
  </si>
  <si>
    <t>Q0199-CP05</t>
  </si>
  <si>
    <t>Q0199-CP06</t>
  </si>
  <si>
    <t>Q0199-CP07</t>
  </si>
  <si>
    <t>Q0199-CP08</t>
  </si>
  <si>
    <t>Q0199-CP09</t>
  </si>
  <si>
    <t>Q0199-CP10</t>
  </si>
  <si>
    <t>Q0199-CP11</t>
  </si>
  <si>
    <t>Q0199-CP12</t>
  </si>
  <si>
    <t>Q0200-CP01</t>
  </si>
  <si>
    <t>Q0200-CP02</t>
  </si>
  <si>
    <t>Q0200-CP03</t>
  </si>
  <si>
    <t>Q0200-CP04</t>
  </si>
  <si>
    <t>Q0200-CP05</t>
  </si>
  <si>
    <t>Q0200-CP06</t>
  </si>
  <si>
    <t>Q0200-CP07</t>
  </si>
  <si>
    <t>Q0200-CP08</t>
  </si>
  <si>
    <t>Q0201-CP01</t>
  </si>
  <si>
    <t>Q0201-CP02</t>
  </si>
  <si>
    <t>Q0201-CP03</t>
  </si>
  <si>
    <t>Q0201-CP04</t>
  </si>
  <si>
    <t>Q0201-CP05</t>
  </si>
  <si>
    <t>Q0202-CP01</t>
  </si>
  <si>
    <t>Q0202-CP02</t>
  </si>
  <si>
    <t>Q0202-CP03</t>
  </si>
  <si>
    <t>Q0202-CP04</t>
  </si>
  <si>
    <t>Q0202-CP05</t>
  </si>
  <si>
    <t>Q0202-CP06</t>
  </si>
  <si>
    <t>Q0202-CP07</t>
  </si>
  <si>
    <t>Q0202-CP08</t>
  </si>
  <si>
    <t>Q0203-CP01</t>
  </si>
  <si>
    <t>Q0203-CP02</t>
  </si>
  <si>
    <t>Q0203-CP03</t>
  </si>
  <si>
    <t>Q0203-CP04</t>
  </si>
  <si>
    <t>Q0203-CP05</t>
  </si>
  <si>
    <t>Q0203-CP06</t>
  </si>
  <si>
    <t>Q0203-CP07</t>
  </si>
  <si>
    <t>Q0203-CP08</t>
  </si>
  <si>
    <t>Q0203-CP09</t>
  </si>
  <si>
    <t>Q0203-CP10</t>
  </si>
  <si>
    <t>Q0204-CP01</t>
  </si>
  <si>
    <t>Q0204-CP02</t>
  </si>
  <si>
    <t>Q0204-CP03</t>
  </si>
  <si>
    <t>Q0204-CP04</t>
  </si>
  <si>
    <t>Q0204-CP05</t>
  </si>
  <si>
    <t>Q0204-CP06</t>
  </si>
  <si>
    <t>Q0204-CP07</t>
  </si>
  <si>
    <t>Q0204-CP08</t>
  </si>
  <si>
    <t>Q0205-CP01</t>
  </si>
  <si>
    <t>Q0205-CP02</t>
  </si>
  <si>
    <t>Q0205-CP03</t>
  </si>
  <si>
    <t>Q0205-CP04</t>
  </si>
  <si>
    <t>Q0206-CP01</t>
  </si>
  <si>
    <t>Q0206-CP02</t>
  </si>
  <si>
    <t>Q0206-CP03</t>
  </si>
  <si>
    <t>Q0206-CP04</t>
  </si>
  <si>
    <t>Q0206-CP05</t>
  </si>
  <si>
    <t>Q0206-CP06</t>
  </si>
  <si>
    <t>Q0206-CP07</t>
  </si>
  <si>
    <t>Q0206-CP08</t>
  </si>
  <si>
    <t>Q0207-CP01</t>
  </si>
  <si>
    <t>Q0207-CP02</t>
  </si>
  <si>
    <t>Q0208-CP01</t>
  </si>
  <si>
    <t>Q0208-CP02</t>
  </si>
  <si>
    <t>Q0208-CP03</t>
  </si>
  <si>
    <t>Q0208-CP04</t>
  </si>
  <si>
    <t>Q0208-CP05</t>
  </si>
  <si>
    <t>Q0208-CP06</t>
  </si>
  <si>
    <t>Q0208-CP07</t>
  </si>
  <si>
    <t>Q0208-CP08</t>
  </si>
  <si>
    <t>Q0208-CP09</t>
  </si>
  <si>
    <t>Q0208-CP10</t>
  </si>
  <si>
    <t>Q0209-CP01</t>
  </si>
  <si>
    <t>Q0209-CP02</t>
  </si>
  <si>
    <t>Q0209-CP03</t>
  </si>
  <si>
    <t>Q0209-CP04</t>
  </si>
  <si>
    <t>Q0209-CP05</t>
  </si>
  <si>
    <t>Q0209-CP06</t>
  </si>
  <si>
    <t>Q0209-CP07</t>
  </si>
  <si>
    <t>Q0209-CP08</t>
  </si>
  <si>
    <t>Q0209-CP09</t>
  </si>
  <si>
    <t>Q0209-CP10</t>
  </si>
  <si>
    <t>Q0209-CP11</t>
  </si>
  <si>
    <t>Q0209-CP12</t>
  </si>
  <si>
    <t>Q0210-CP01</t>
  </si>
  <si>
    <t>Q0210-CP02</t>
  </si>
  <si>
    <t>Q0210-CP03</t>
  </si>
  <si>
    <t>Q0210-CP04</t>
  </si>
  <si>
    <t>Q0210-CP05</t>
  </si>
  <si>
    <t>Q0210-CP06</t>
  </si>
  <si>
    <t>Q0210-CP07</t>
  </si>
  <si>
    <t>Q0210-CP08</t>
  </si>
  <si>
    <t>Q0210-CP09</t>
  </si>
  <si>
    <t>Q0210-CP10</t>
  </si>
  <si>
    <t>Q0211-CP01</t>
  </si>
  <si>
    <t>Q0211-CP02</t>
  </si>
  <si>
    <t>Q0211-CP03</t>
  </si>
  <si>
    <t>Q0211-CP04</t>
  </si>
  <si>
    <t>Q0211-CP05</t>
  </si>
  <si>
    <t>Q0211-CP06</t>
  </si>
  <si>
    <t>Q0211-CP07</t>
  </si>
  <si>
    <t>Q0211-CP08</t>
  </si>
  <si>
    <t>Q0211-CP09</t>
  </si>
  <si>
    <t>Q0211-CP10</t>
  </si>
  <si>
    <t>Q0211-CP11</t>
  </si>
  <si>
    <t>Q0211-CP12</t>
  </si>
  <si>
    <t>Q0212-CP01</t>
  </si>
  <si>
    <t>Q0212-CP02</t>
  </si>
  <si>
    <t>Q0212-CP03</t>
  </si>
  <si>
    <t>Q0212-CP04</t>
  </si>
  <si>
    <t>Q0212-CP05</t>
  </si>
  <si>
    <t>Q0212-CP06</t>
  </si>
  <si>
    <t>Q0212-CP07</t>
  </si>
  <si>
    <t>Q0212-CP08</t>
  </si>
  <si>
    <t>Q0212-CP09</t>
  </si>
  <si>
    <t>Q0212-CP10</t>
  </si>
  <si>
    <t>Q0213-CP01</t>
  </si>
  <si>
    <t>Q0213-CP02</t>
  </si>
  <si>
    <t>Q0213-CP03</t>
  </si>
  <si>
    <t>Q0213-CP04</t>
  </si>
  <si>
    <t>Q0213-CP05</t>
  </si>
  <si>
    <t>Q0213-CP06</t>
  </si>
  <si>
    <t>Q0213-CP07</t>
  </si>
  <si>
    <t>Q0213-CP08</t>
  </si>
  <si>
    <t>Q0214-CP01</t>
  </si>
  <si>
    <t>Q0214-CP02</t>
  </si>
  <si>
    <t>Q0214-CP03</t>
  </si>
  <si>
    <t>Q0214-CP04</t>
  </si>
  <si>
    <t>Q0214-CP05</t>
  </si>
  <si>
    <t>Q0214-CP06</t>
  </si>
  <si>
    <t>Q0214-CP07</t>
  </si>
  <si>
    <t>Q0214-CP08</t>
  </si>
  <si>
    <t>Q0215-CP01</t>
  </si>
  <si>
    <t>Q0215-CP02</t>
  </si>
  <si>
    <t>Q0215-CP03</t>
  </si>
  <si>
    <t>Q0215-CP04</t>
  </si>
  <si>
    <t>Q0216-CP01</t>
  </si>
  <si>
    <t>Q0216-CP02</t>
  </si>
  <si>
    <t>Q0216-CP03</t>
  </si>
  <si>
    <t>Q0216-CP04</t>
  </si>
  <si>
    <t>Q0217-CP01</t>
  </si>
  <si>
    <t>Q0217-CP02</t>
  </si>
  <si>
    <t>Q0217-CP03</t>
  </si>
  <si>
    <t>Q0217-CP04</t>
  </si>
  <si>
    <t>Q0217-CP05</t>
  </si>
  <si>
    <t>Q0217-CP06</t>
  </si>
  <si>
    <t>Q0217-CP07</t>
  </si>
  <si>
    <t>Q0217-CP08</t>
  </si>
  <si>
    <t>Q0217-CP09</t>
  </si>
  <si>
    <t>Q0217-CP10</t>
  </si>
  <si>
    <t>Q0218-CP01</t>
  </si>
  <si>
    <t>Q0218-CP02</t>
  </si>
  <si>
    <t>Q0218-CP03</t>
  </si>
  <si>
    <t>Q0218-CP04</t>
  </si>
  <si>
    <t>Q0218-CP05</t>
  </si>
  <si>
    <t>Q0218-CP06</t>
  </si>
  <si>
    <t>Q0218-CP07</t>
  </si>
  <si>
    <t>Q0218-CP08</t>
  </si>
  <si>
    <t>Q0218-CP09</t>
  </si>
  <si>
    <t>Q0218-CP10</t>
  </si>
  <si>
    <t>Q0218-CP11</t>
  </si>
  <si>
    <t>Q0218-CP12</t>
  </si>
  <si>
    <t>Q0219-CP01</t>
  </si>
  <si>
    <t>Q0219-CP02</t>
  </si>
  <si>
    <t>Q0219-CP03</t>
  </si>
  <si>
    <t>Q0219-CP04</t>
  </si>
  <si>
    <t>Q0219-CP05</t>
  </si>
  <si>
    <t>Q0219-CP06</t>
  </si>
  <si>
    <t>Q0219-CP07</t>
  </si>
  <si>
    <t>Q0219-CP08</t>
  </si>
  <si>
    <t>Q0219-CP09</t>
  </si>
  <si>
    <t>Q0219-CP10</t>
  </si>
  <si>
    <t>Q0220-CP01</t>
  </si>
  <si>
    <t>Q0220-CP02</t>
  </si>
  <si>
    <t>Q0220-CP03</t>
  </si>
  <si>
    <t>Q0220-CP04</t>
  </si>
  <si>
    <t>Q0220-CP05</t>
  </si>
  <si>
    <t>Q0220-CP06</t>
  </si>
  <si>
    <t>Q0220-CP07</t>
  </si>
  <si>
    <t>Q0220-CP08</t>
  </si>
  <si>
    <t>Q0220-CP09</t>
  </si>
  <si>
    <t>Q0220-CP10</t>
  </si>
  <si>
    <t>Q0221-CP01</t>
  </si>
  <si>
    <t>Q0221-CP02</t>
  </si>
  <si>
    <t>Q0222-CP01</t>
  </si>
  <si>
    <t>Q0222-CP02</t>
  </si>
  <si>
    <t>Q0222-CP03</t>
  </si>
  <si>
    <t>Q0222-CP04</t>
  </si>
  <si>
    <t>Q0222-CP05</t>
  </si>
  <si>
    <t>Q0222-CP06</t>
  </si>
  <si>
    <t>Q0222-CP07</t>
  </si>
  <si>
    <t>Q0222-CP08</t>
  </si>
  <si>
    <t>Q0222-CP09</t>
  </si>
  <si>
    <t>Q0223-CP01</t>
  </si>
  <si>
    <t>Q0223-CP02</t>
  </si>
  <si>
    <t>Q0223-CP03</t>
  </si>
  <si>
    <t>Q0223-CP04</t>
  </si>
  <si>
    <t>Q0224-CP01</t>
  </si>
  <si>
    <t>Q0224-CP02</t>
  </si>
  <si>
    <t>Q0224-CP03</t>
  </si>
  <si>
    <t>Q0224-CP04</t>
  </si>
  <si>
    <t>Q0225-CP01</t>
  </si>
  <si>
    <t>Q0225-CP02</t>
  </si>
  <si>
    <t>Q0226-CP01</t>
  </si>
  <si>
    <t>Q0226-CP02</t>
  </si>
  <si>
    <t>Q0226-CP03</t>
  </si>
  <si>
    <t>Q0226-CP04</t>
  </si>
  <si>
    <t>Q0226-CP05</t>
  </si>
  <si>
    <t>Q0226-CP06</t>
  </si>
  <si>
    <t>Q0226-CP07</t>
  </si>
  <si>
    <t>Q0226-CP08</t>
  </si>
  <si>
    <t>Q0227-CP01</t>
  </si>
  <si>
    <t>Q0227-CP02</t>
  </si>
  <si>
    <t>Q0227-CP03</t>
  </si>
  <si>
    <t>Q0227-CP04</t>
  </si>
  <si>
    <t>Q0227-CP05</t>
  </si>
  <si>
    <t>Q0227-CP06</t>
  </si>
  <si>
    <t>Q0227-CP07</t>
  </si>
  <si>
    <t>Q0227-CP08</t>
  </si>
  <si>
    <t>Q0228-CP01</t>
  </si>
  <si>
    <t>Q0228-CP02</t>
  </si>
  <si>
    <t>Q0228-CP03</t>
  </si>
  <si>
    <t>Q0228-CP04</t>
  </si>
  <si>
    <t>Q0228-CP05</t>
  </si>
  <si>
    <t>Q0228-CP06</t>
  </si>
  <si>
    <t>Q0228-CP07</t>
  </si>
  <si>
    <t>Q0228-CP08</t>
  </si>
  <si>
    <t>Q0228-CP09</t>
  </si>
  <si>
    <t>Q0228-CP10</t>
  </si>
  <si>
    <t>Q0229-CP01</t>
  </si>
  <si>
    <t>Q0229-CP02</t>
  </si>
  <si>
    <t>Q0229-CP03</t>
  </si>
  <si>
    <t>Q0229-CP04</t>
  </si>
  <si>
    <t>Q0229-CP05</t>
  </si>
  <si>
    <t>Q0229-CP06</t>
  </si>
  <si>
    <t>Q0229-CP07</t>
  </si>
  <si>
    <t>Q0229-CP08</t>
  </si>
  <si>
    <t>Q0230-CP01</t>
  </si>
  <si>
    <t>Q0230-CP02</t>
  </si>
  <si>
    <t>Q0230-CP03</t>
  </si>
  <si>
    <t>Q0230-CP04</t>
  </si>
  <si>
    <t>Q0230-CP05</t>
  </si>
  <si>
    <t>Q0230-CP06</t>
  </si>
  <si>
    <t>Q0230-CP07</t>
  </si>
  <si>
    <t>Q0230-CP08</t>
  </si>
  <si>
    <t>Q0230-CP09</t>
  </si>
  <si>
    <t>Q0230-CP10</t>
  </si>
  <si>
    <t>Q0231-CP01</t>
  </si>
  <si>
    <t>Q0231-CP02</t>
  </si>
  <si>
    <t>Q0231-CP03</t>
  </si>
  <si>
    <t>Q0231-CP04</t>
  </si>
  <si>
    <t>Q0231-CP05</t>
  </si>
  <si>
    <t>Q0231-CP06</t>
  </si>
  <si>
    <t>Q0231-CP07</t>
  </si>
  <si>
    <t>Q0231-CP08</t>
  </si>
  <si>
    <t>Q0231-CP09</t>
  </si>
  <si>
    <t>Q0231-CP10</t>
  </si>
  <si>
    <t>Q0232-CP01</t>
  </si>
  <si>
    <t>Q0232-CP02</t>
  </si>
  <si>
    <t>Q0232-CP03</t>
  </si>
  <si>
    <t>Q0232-CP04</t>
  </si>
  <si>
    <t>Q0232-CP05</t>
  </si>
  <si>
    <t>Q0232-CP06</t>
  </si>
  <si>
    <t>Q0232-CP07</t>
  </si>
  <si>
    <t>Q0232-CP08</t>
  </si>
  <si>
    <t>Q0233-CP01</t>
  </si>
  <si>
    <t>Q0233-CP02</t>
  </si>
  <si>
    <t>Q0233-CP03</t>
  </si>
  <si>
    <t>Q0233-CP04</t>
  </si>
  <si>
    <t>Q0234-CP01</t>
  </si>
  <si>
    <t>Q0234-CP02</t>
  </si>
  <si>
    <t>Q0234-CP03</t>
  </si>
  <si>
    <t>Q0234-CP04</t>
  </si>
  <si>
    <t>Q0234-CP05</t>
  </si>
  <si>
    <t>Q0234-CP06</t>
  </si>
  <si>
    <t>Q0234-CP07</t>
  </si>
  <si>
    <t>Q0235-CP01</t>
  </si>
  <si>
    <t>Q0235-CP02</t>
  </si>
  <si>
    <t>Q0235-CP03</t>
  </si>
  <si>
    <t>Q0235-CP04</t>
  </si>
  <si>
    <t>Q0235-CP05</t>
  </si>
  <si>
    <t>Q0235-CP06</t>
  </si>
  <si>
    <t>Q0236-CP01</t>
  </si>
  <si>
    <t>Q0236-CP02</t>
  </si>
  <si>
    <t>Q0236-CP03</t>
  </si>
  <si>
    <t>Q0236-CP04</t>
  </si>
  <si>
    <t>Q0236-CP05</t>
  </si>
  <si>
    <t>Q0236-CP06</t>
  </si>
  <si>
    <t>Q0237-CP01</t>
  </si>
  <si>
    <t>Q0237-CP02</t>
  </si>
  <si>
    <t>Q0238-CP01</t>
  </si>
  <si>
    <t>Q0238-CP02</t>
  </si>
  <si>
    <t>Q0238-CP03</t>
  </si>
  <si>
    <t>Q0238-CP04</t>
  </si>
  <si>
    <t>Q0238-CP05</t>
  </si>
  <si>
    <t>Q0238-CP06</t>
  </si>
  <si>
    <t>Q0238-CP07</t>
  </si>
  <si>
    <t>Q0239-CP01</t>
  </si>
  <si>
    <t>Q0239-CP02</t>
  </si>
  <si>
    <t>Q0239-CP03</t>
  </si>
  <si>
    <t>Q0240-CP01</t>
  </si>
  <si>
    <t>Q0240-CP02</t>
  </si>
  <si>
    <t>Q0240-CP03</t>
  </si>
  <si>
    <t>Q0241-CP01</t>
  </si>
  <si>
    <t>Q0241-CP02</t>
  </si>
  <si>
    <t>Q0241-CP03</t>
  </si>
  <si>
    <t>Q0241-CP04</t>
  </si>
  <si>
    <t>Q0242-CP01</t>
  </si>
  <si>
    <t>Q0242-CP02</t>
  </si>
  <si>
    <t>Q0242-CP03</t>
  </si>
  <si>
    <t>Q0242-CP04</t>
  </si>
  <si>
    <t>Q0242-CP05</t>
  </si>
  <si>
    <t>Q0242-CP06</t>
  </si>
  <si>
    <t>Q0243-CP01</t>
  </si>
  <si>
    <t>Q0243-CP02</t>
  </si>
  <si>
    <t>Q0243-CP03</t>
  </si>
  <si>
    <t>Q0243-CP04</t>
  </si>
  <si>
    <t>Q0243-CP05</t>
  </si>
  <si>
    <t>Q0243-CP06</t>
  </si>
  <si>
    <t>Q0244-CP01</t>
  </si>
  <si>
    <t>Q0244-CP02</t>
  </si>
  <si>
    <t>Q0244-CP03</t>
  </si>
  <si>
    <t>Q0244-CP04</t>
  </si>
  <si>
    <t>Q0244-CP05</t>
  </si>
  <si>
    <t>Q0244-CP06</t>
  </si>
  <si>
    <t>Q0245-CP01</t>
  </si>
  <si>
    <t>Q0245-CP02</t>
  </si>
  <si>
    <t>Q0245-CP03</t>
  </si>
  <si>
    <t>Q0245-CP04</t>
  </si>
  <si>
    <t>Q0245-CP05</t>
  </si>
  <si>
    <t>Q0245-CP06</t>
  </si>
  <si>
    <t>Q0246-CP01</t>
  </si>
  <si>
    <t>Q0246-CP02</t>
  </si>
  <si>
    <t>Q0246-CP03</t>
  </si>
  <si>
    <t>Q0246-CP04</t>
  </si>
  <si>
    <t>Q0246-CP05</t>
  </si>
  <si>
    <t>Q0246-CP06</t>
  </si>
  <si>
    <t>Q0247-CP01</t>
  </si>
  <si>
    <t>Q0247-CP02</t>
  </si>
  <si>
    <t>Q0248-CP01</t>
  </si>
  <si>
    <t>Q0248-CP02</t>
  </si>
  <si>
    <t>Q0248-CP03</t>
  </si>
  <si>
    <t>Q0248-CP04</t>
  </si>
  <si>
    <t>Q0248-CP05</t>
  </si>
  <si>
    <t>Q0248-CP06</t>
  </si>
  <si>
    <t>Q0249-CP01</t>
  </si>
  <si>
    <t>Q0249-CP02</t>
  </si>
  <si>
    <t>Q0249-CP03</t>
  </si>
  <si>
    <t>Q0250-CP01</t>
  </si>
  <si>
    <t>Q0250-CP02</t>
  </si>
  <si>
    <t>Q0250-CP03</t>
  </si>
  <si>
    <t>Q0250-CP04</t>
  </si>
  <si>
    <t>Q0250-CP05</t>
  </si>
  <si>
    <t>Q0250-CP06</t>
  </si>
  <si>
    <t>Q0251-CP01</t>
  </si>
  <si>
    <t>Q0251-CP02</t>
  </si>
  <si>
    <t>Q0252-CP01</t>
  </si>
  <si>
    <t>Q0252-CP02</t>
  </si>
  <si>
    <t>Q0252-CP03</t>
  </si>
  <si>
    <t>Q0252-CP04</t>
  </si>
  <si>
    <t>Q0252-CP05</t>
  </si>
  <si>
    <t>Q0252-CP06</t>
  </si>
  <si>
    <t>Q0252-CP07</t>
  </si>
  <si>
    <t>Q0253-CP01</t>
  </si>
  <si>
    <t>Q0253-CP02</t>
  </si>
  <si>
    <t>Q0253-CP03</t>
  </si>
  <si>
    <t>Q0253-CP04</t>
  </si>
  <si>
    <t>Q0254-CP01</t>
  </si>
  <si>
    <t>Q0254-CP02</t>
  </si>
  <si>
    <t>Q0254-CP03</t>
  </si>
  <si>
    <t>Q0254-CP04</t>
  </si>
  <si>
    <t>Q0254-CP05</t>
  </si>
  <si>
    <t>Q0254-CP06</t>
  </si>
  <si>
    <t>Q0255-CP01</t>
  </si>
  <si>
    <t>Q0255-CP02</t>
  </si>
  <si>
    <t>Q0255-CP03</t>
  </si>
  <si>
    <t>Q0255-CP04</t>
  </si>
  <si>
    <t>Q0256-CP01</t>
  </si>
  <si>
    <t>Q0256-CP02</t>
  </si>
  <si>
    <t>Q0256-CP03</t>
  </si>
  <si>
    <t>Q0256-CP04</t>
  </si>
  <si>
    <t>Q0256-CP05</t>
  </si>
  <si>
    <t>Q0256-CP06</t>
  </si>
  <si>
    <t>Q0256-CP07</t>
  </si>
  <si>
    <t>Q0257-CP01</t>
  </si>
  <si>
    <t>Q0257-CP02</t>
  </si>
  <si>
    <t>Q0257-CP03</t>
  </si>
  <si>
    <t>Q0257-CP04</t>
  </si>
  <si>
    <t>Q0257-CP05</t>
  </si>
  <si>
    <t>Q0257-CP06</t>
  </si>
  <si>
    <t>Q0257-CP07</t>
  </si>
  <si>
    <t>Q0257-CP08</t>
  </si>
  <si>
    <t>Q0258-CP01</t>
  </si>
  <si>
    <t>Q0258-CP02</t>
  </si>
  <si>
    <t>Q0258-CP03</t>
  </si>
  <si>
    <t>Q0258-CP04</t>
  </si>
  <si>
    <t>Q0258-CP05</t>
  </si>
  <si>
    <t>Q0258-CP06</t>
  </si>
  <si>
    <t>Q0258-CP07</t>
  </si>
  <si>
    <t>Q0258-CP08</t>
  </si>
  <si>
    <t>Q0258-CP09</t>
  </si>
  <si>
    <t>Q0259-CP01</t>
  </si>
  <si>
    <t>Q0259-CP02</t>
  </si>
  <si>
    <t>Q0260-CP01</t>
  </si>
  <si>
    <t>Q0260-CP02</t>
  </si>
  <si>
    <t>Q0260-CP03</t>
  </si>
  <si>
    <t>Q0260-CP04</t>
  </si>
  <si>
    <t>Q0261-CP01</t>
  </si>
  <si>
    <t>Q0261-CP02</t>
  </si>
  <si>
    <t>Q0261-CP03</t>
  </si>
  <si>
    <t>Q0261-CP04</t>
  </si>
  <si>
    <t>Q0261-CP05</t>
  </si>
  <si>
    <t>Q0261-CP06</t>
  </si>
  <si>
    <t>Q0261-CP07</t>
  </si>
  <si>
    <t>Q0262-CP01</t>
  </si>
  <si>
    <t>Q0262-CP02</t>
  </si>
  <si>
    <t>Q0263-CP01</t>
  </si>
  <si>
    <t>Q0263-CP02</t>
  </si>
  <si>
    <t>Q0263-CP03</t>
  </si>
  <si>
    <t>Q0263-CP04</t>
  </si>
  <si>
    <t>Q0263-CP05</t>
  </si>
  <si>
    <t>Q0263-CP06</t>
  </si>
  <si>
    <t>Q0263-CP07</t>
  </si>
  <si>
    <t>Q0264-CP01</t>
  </si>
  <si>
    <t>Q0264-CP02</t>
  </si>
  <si>
    <t>Q0264-CP03</t>
  </si>
  <si>
    <t>Q0264-CP04</t>
  </si>
  <si>
    <t>Q0264-CP05</t>
  </si>
  <si>
    <t>Q0264-CP06</t>
  </si>
  <si>
    <t>Q0264-CP07</t>
  </si>
  <si>
    <t>Q0264-CP08</t>
  </si>
  <si>
    <t>Q0264-CP09</t>
  </si>
  <si>
    <t>Q0265-CP01</t>
  </si>
  <si>
    <t>Q0265-CP02</t>
  </si>
  <si>
    <t>Q0265-CP03</t>
  </si>
  <si>
    <t>Q0265-CP04</t>
  </si>
  <si>
    <t>Q0265-CP05</t>
  </si>
  <si>
    <t>Q0265-CP06</t>
  </si>
  <si>
    <t>Q0265-CP07</t>
  </si>
  <si>
    <t>Q0265-CP08</t>
  </si>
  <si>
    <t>Q0265-CP09</t>
  </si>
  <si>
    <t>Q0265-CP10</t>
  </si>
  <si>
    <t>Q0266-CP01</t>
  </si>
  <si>
    <t>Q0266-CP02</t>
  </si>
  <si>
    <t>Q0266-CP03</t>
  </si>
  <si>
    <t>Q0266-CP04</t>
  </si>
  <si>
    <t>Q0266-CP05</t>
  </si>
  <si>
    <t>Q0266-CP06</t>
  </si>
  <si>
    <t>Q0266-CP07</t>
  </si>
  <si>
    <t>Q0266-CP08</t>
  </si>
  <si>
    <t>Q0267-CP01</t>
  </si>
  <si>
    <t>Q0267-CP02</t>
  </si>
  <si>
    <t>Q0267-CP03</t>
  </si>
  <si>
    <t>Q0268-CP01</t>
  </si>
  <si>
    <t>Q0268-CP02</t>
  </si>
  <si>
    <t>Q0268-CP03</t>
  </si>
  <si>
    <t>Q0268-CP04</t>
  </si>
  <si>
    <t>Q0268-CP05</t>
  </si>
  <si>
    <t>Q0268-CP06</t>
  </si>
  <si>
    <t>Q0269-CP01</t>
  </si>
  <si>
    <t>Q0269-CP02</t>
  </si>
  <si>
    <t>Q0270-CP01</t>
  </si>
  <si>
    <t>Q0270-CP02</t>
  </si>
  <si>
    <t>Q0271-CP01</t>
  </si>
  <si>
    <t>Q0271-CP02</t>
  </si>
  <si>
    <t>Q0271-CP03</t>
  </si>
  <si>
    <t>Q0271-CP04</t>
  </si>
  <si>
    <t>Q0271-CP05</t>
  </si>
  <si>
    <t>Q0271-CP06</t>
  </si>
  <si>
    <t>Q0272-CP01</t>
  </si>
  <si>
    <t>Q0272-CP02</t>
  </si>
  <si>
    <t>Q0273-CP01</t>
  </si>
  <si>
    <t>Q0273-CP02</t>
  </si>
  <si>
    <t>Q0273-CP03</t>
  </si>
  <si>
    <t>Q0273-CP04</t>
  </si>
  <si>
    <t>Q0273-CP05</t>
  </si>
  <si>
    <t>Q0273-CP06</t>
  </si>
  <si>
    <t>Q0273-CP07</t>
  </si>
  <si>
    <t>Q0273-CP08</t>
  </si>
  <si>
    <t>Q0274-CP01</t>
  </si>
  <si>
    <t>Q0274-CP02</t>
  </si>
  <si>
    <t>Q0274-CP03</t>
  </si>
  <si>
    <t>Q0274-CP04</t>
  </si>
  <si>
    <t>Q0274-CP05</t>
  </si>
  <si>
    <t>Q0274-CP06</t>
  </si>
  <si>
    <t>Q0274-CP07</t>
  </si>
  <si>
    <t>Q0274-CP08</t>
  </si>
  <si>
    <t>Q0274-CP09</t>
  </si>
  <si>
    <t>Q0274-CP10</t>
  </si>
  <si>
    <t>Q0275-CP01</t>
  </si>
  <si>
    <t>Q0275-CP02</t>
  </si>
  <si>
    <t>Q0275-CP03</t>
  </si>
  <si>
    <t>Q0275-CP04</t>
  </si>
  <si>
    <t>Q0276-CP01</t>
  </si>
  <si>
    <t>Q0276-CP02</t>
  </si>
  <si>
    <t>Q0276-CP03</t>
  </si>
  <si>
    <t>Q0276-CP04</t>
  </si>
  <si>
    <t>Q0276-CP05</t>
  </si>
  <si>
    <t>Q0276-CP06</t>
  </si>
  <si>
    <t>Q0277-CP01</t>
  </si>
  <si>
    <t>Q0277-CP02</t>
  </si>
  <si>
    <t>Q0277-CP03</t>
  </si>
  <si>
    <t>Q0278-CP01</t>
  </si>
  <si>
    <t>Q0278-CP02</t>
  </si>
  <si>
    <t>Q0278-CP03</t>
  </si>
  <si>
    <t>Q0278-CP04</t>
  </si>
  <si>
    <t>Q0278-CP05</t>
  </si>
  <si>
    <t>Q0278-CP06</t>
  </si>
  <si>
    <t>Q0279-CP01</t>
  </si>
  <si>
    <t>Q0279-CP02</t>
  </si>
  <si>
    <t>Q0279-CP03</t>
  </si>
  <si>
    <t>Q0279-CP04</t>
  </si>
  <si>
    <t>Q0279-CP05</t>
  </si>
  <si>
    <t>Q0279-CP06</t>
  </si>
  <si>
    <t>Q0280-CP01</t>
  </si>
  <si>
    <t>Q0280-CP02</t>
  </si>
  <si>
    <t>Q0280-CP03</t>
  </si>
  <si>
    <t>Q0280-CP04</t>
  </si>
  <si>
    <t>Q0280-CP05</t>
  </si>
  <si>
    <t>Q0280-CP06</t>
  </si>
  <si>
    <t>Q0281-CP01</t>
  </si>
  <si>
    <t>Q0281-CP02</t>
  </si>
  <si>
    <t>Q0281-CP03</t>
  </si>
  <si>
    <t>Q0281-CP04</t>
  </si>
  <si>
    <t>Q0282-CP01</t>
  </si>
  <si>
    <t>Q0282-CP02</t>
  </si>
  <si>
    <t>Q0282-CP03</t>
  </si>
  <si>
    <t>Q0282-CP04</t>
  </si>
  <si>
    <t>Q0283-CP01</t>
  </si>
  <si>
    <t>Q0283-CP02</t>
  </si>
  <si>
    <t>Q0283-CP03</t>
  </si>
  <si>
    <t>Q0283-CP04</t>
  </si>
  <si>
    <t>Q0283-CP05</t>
  </si>
  <si>
    <t>Q0283-CP06</t>
  </si>
  <si>
    <t>Q0284-CP01</t>
  </si>
  <si>
    <t>Q0284-CP02</t>
  </si>
  <si>
    <t>Q0284-CP03</t>
  </si>
  <si>
    <t>Q0284-CP04</t>
  </si>
  <si>
    <t>Q0284-CP05</t>
  </si>
  <si>
    <t>Q0285-CP01</t>
  </si>
  <si>
    <t>Q0285-CP02</t>
  </si>
  <si>
    <t>Q0285-CP03</t>
  </si>
  <si>
    <t>Q0285-CP04</t>
  </si>
  <si>
    <t>Q0285-CP05</t>
  </si>
  <si>
    <t>Q0286-CP01</t>
  </si>
  <si>
    <t>Q0286-CP02</t>
  </si>
  <si>
    <t>Q0286-CP03</t>
  </si>
  <si>
    <t>Q0286-CP04</t>
  </si>
  <si>
    <t>Q0286-CP05</t>
  </si>
  <si>
    <t>Q0286-CP06</t>
  </si>
  <si>
    <t>Q0287-CP01</t>
  </si>
  <si>
    <t>Q0287-CP02</t>
  </si>
  <si>
    <t>Q0287-CP03</t>
  </si>
  <si>
    <t>Q0287-CP04</t>
  </si>
  <si>
    <t>Q0288-CP01</t>
  </si>
  <si>
    <t>Q0288-CP02</t>
  </si>
  <si>
    <t>Q0288-CP03</t>
  </si>
  <si>
    <t>Q0288-CP04</t>
  </si>
  <si>
    <t>Q0288-CP05</t>
  </si>
  <si>
    <t>完成原题要求的双手姿态或协同动作</t>
  </si>
  <si>
    <t>D03.02.02</t>
  </si>
  <si>
    <t>双手姿态与协同</t>
  </si>
  <si>
    <t>左右手均可辨，主要协同动作成立，双手不明显融合或增减手指。</t>
  </si>
  <si>
    <t>双手动作段</t>
  </si>
  <si>
    <t>Q0288-CP06</t>
  </si>
  <si>
    <t>Q0289-CP01</t>
  </si>
  <si>
    <t>Q0289-CP02</t>
  </si>
  <si>
    <t>Q0289-CP03</t>
  </si>
  <si>
    <t>Q0289-CP04</t>
  </si>
  <si>
    <t>Q0289-CP05</t>
  </si>
  <si>
    <t>Q0290-CP01</t>
  </si>
  <si>
    <t>Q0290-CP02</t>
  </si>
  <si>
    <t>Q0290-CP03</t>
  </si>
  <si>
    <t>Q0290-CP04</t>
  </si>
  <si>
    <t>Q0290-CP05</t>
  </si>
  <si>
    <t>Q0290-CP06</t>
  </si>
  <si>
    <t>Q0290-CP07</t>
  </si>
  <si>
    <t>Q0290-CP08</t>
  </si>
  <si>
    <t>Q0291-CP01</t>
  </si>
  <si>
    <t>Q0291-CP02</t>
  </si>
  <si>
    <t>Q0291-CP03</t>
  </si>
  <si>
    <t>Q0291-CP04</t>
  </si>
  <si>
    <t>Q0292-CP01</t>
  </si>
  <si>
    <t>Q0292-CP02</t>
  </si>
  <si>
    <t>Q0292-CP03</t>
  </si>
  <si>
    <t>Q0293-CP01</t>
  </si>
  <si>
    <t>Q0293-CP02</t>
  </si>
  <si>
    <t>Q0293-CP03</t>
  </si>
  <si>
    <t>Q0293-CP04</t>
  </si>
  <si>
    <t>Q0293-CP05</t>
  </si>
  <si>
    <t>Q0293-CP06</t>
  </si>
  <si>
    <t>Q0294-CP01</t>
  </si>
  <si>
    <t>Q0294-CP02</t>
  </si>
  <si>
    <t>Q0294-CP03</t>
  </si>
  <si>
    <t>Q0294-CP04</t>
  </si>
  <si>
    <t>Q0294-CP05</t>
  </si>
  <si>
    <t>Q0294-CP06</t>
  </si>
  <si>
    <t>Q0294-CP07</t>
  </si>
  <si>
    <t>Q0294-CP08</t>
  </si>
  <si>
    <t>Q0294-CP09</t>
  </si>
  <si>
    <t>Q0295-CP01</t>
  </si>
  <si>
    <t>Q0295-CP02</t>
  </si>
  <si>
    <t>Q0295-CP03</t>
  </si>
  <si>
    <t>Q0295-CP04</t>
  </si>
  <si>
    <t>Q0295-CP05</t>
  </si>
  <si>
    <t>Q0295-CP06</t>
  </si>
  <si>
    <t>Q0296-CP01</t>
  </si>
  <si>
    <t>Q0296-CP02</t>
  </si>
  <si>
    <t>Q0296-CP03</t>
  </si>
  <si>
    <t>Q0296-CP04</t>
  </si>
  <si>
    <t>Q0296-CP05</t>
  </si>
  <si>
    <t>Q0296-CP06</t>
  </si>
  <si>
    <t>Q0297-CP01</t>
  </si>
  <si>
    <t>Q0297-CP02</t>
  </si>
  <si>
    <t>Q0297-CP03</t>
  </si>
  <si>
    <t>Q0297-CP04</t>
  </si>
  <si>
    <t>Q0298-CP01</t>
  </si>
  <si>
    <t>Q0298-CP02</t>
  </si>
  <si>
    <t>Q0298-CP03</t>
  </si>
  <si>
    <t>Q0298-CP04</t>
  </si>
  <si>
    <t>Q0298-CP05</t>
  </si>
  <si>
    <t>Q0298-CP06</t>
  </si>
  <si>
    <t>Q0299-CP01</t>
  </si>
  <si>
    <t>Q0299-CP02</t>
  </si>
  <si>
    <t>Q0299-CP03</t>
  </si>
  <si>
    <t>Q0299-CP04</t>
  </si>
  <si>
    <t>Q0299-CP05</t>
  </si>
  <si>
    <t>Q0299-CP06</t>
  </si>
  <si>
    <t>Q0300-CP01</t>
  </si>
  <si>
    <t>Q0300-CP02</t>
  </si>
  <si>
    <t>Q0300-CP03</t>
  </si>
  <si>
    <t>Q0300-CP04</t>
  </si>
  <si>
    <t>Q0300-CP05</t>
  </si>
  <si>
    <t>Q0301-CP01</t>
  </si>
  <si>
    <t>Q0301-CP02</t>
  </si>
  <si>
    <t>Q0301-CP03</t>
  </si>
  <si>
    <t>Q0301-CP04</t>
  </si>
  <si>
    <t>Q0302-CP01</t>
  </si>
  <si>
    <t>Q0302-CP02</t>
  </si>
  <si>
    <t>Q0302-CP03</t>
  </si>
  <si>
    <t>Q0302-CP04</t>
  </si>
  <si>
    <t>Q0303-CP01</t>
  </si>
  <si>
    <t>Q0303-CP02</t>
  </si>
  <si>
    <t>Q0303-CP03</t>
  </si>
  <si>
    <t>Q0303-CP04</t>
  </si>
  <si>
    <t>Q0303-CP05</t>
  </si>
  <si>
    <t>Q0304-CP01</t>
  </si>
  <si>
    <t>Q0304-CP02</t>
  </si>
  <si>
    <t>Q0304-CP03</t>
  </si>
  <si>
    <t>Q0304-CP04</t>
  </si>
  <si>
    <t>Q0304-CP05</t>
  </si>
  <si>
    <t>Q0304-CP06</t>
  </si>
  <si>
    <t>Q0304-CP07</t>
  </si>
  <si>
    <t>Q0304-CP08</t>
  </si>
  <si>
    <t>Q0305-CP01</t>
  </si>
  <si>
    <t>Q0305-CP02</t>
  </si>
  <si>
    <t>Q0306-CP01</t>
  </si>
  <si>
    <t>Q0306-CP02</t>
  </si>
  <si>
    <t>Q0306-CP03</t>
  </si>
  <si>
    <t>Q0306-CP04</t>
  </si>
  <si>
    <t>Q0306-CP05</t>
  </si>
  <si>
    <t>Q0306-CP06</t>
  </si>
  <si>
    <t>Q0306-CP07</t>
  </si>
  <si>
    <t>Q0306-CP08</t>
  </si>
  <si>
    <t>Q0306-CP09</t>
  </si>
  <si>
    <t>Q0306-CP10</t>
  </si>
  <si>
    <t>Q0306-CP11</t>
  </si>
  <si>
    <t>Q0306-CP12</t>
  </si>
  <si>
    <t>Q0307-CP01</t>
  </si>
  <si>
    <t>Q0307-CP02</t>
  </si>
  <si>
    <t>Q0307-CP03</t>
  </si>
  <si>
    <t>Q0307-CP04</t>
  </si>
  <si>
    <t>Q0307-CP05</t>
  </si>
  <si>
    <t>Q0307-CP06</t>
  </si>
  <si>
    <t>Q0308-CP01</t>
  </si>
  <si>
    <t>Q0308-CP02</t>
  </si>
  <si>
    <t>Q0308-CP03</t>
  </si>
  <si>
    <t>Q0308-CP04</t>
  </si>
  <si>
    <t>Q0308-CP05</t>
  </si>
  <si>
    <t>Q0308-CP06</t>
  </si>
  <si>
    <t>Q0308-CP07</t>
  </si>
  <si>
    <t>Q0308-CP08</t>
  </si>
  <si>
    <t>Q0309-CP01</t>
  </si>
  <si>
    <t>Q0309-CP02</t>
  </si>
  <si>
    <t>Q0309-CP03</t>
  </si>
  <si>
    <t>Q0309-CP04</t>
  </si>
  <si>
    <t>Q0310-CP01</t>
  </si>
  <si>
    <t>Q0310-CP02</t>
  </si>
  <si>
    <t>Q0310-CP03</t>
  </si>
  <si>
    <t>Q0311-CP01</t>
  </si>
  <si>
    <t>Q0311-CP02</t>
  </si>
  <si>
    <t>Q0311-CP03</t>
  </si>
  <si>
    <t>Q0311-CP04</t>
  </si>
  <si>
    <t>Q0311-CP05</t>
  </si>
  <si>
    <t>Q0311-CP06</t>
  </si>
  <si>
    <t>Q0312-CP01</t>
  </si>
  <si>
    <t>Q0312-CP02</t>
  </si>
  <si>
    <t>Q0312-CP03</t>
  </si>
  <si>
    <t>Q0312-CP04</t>
  </si>
  <si>
    <t>Q0313-CP01</t>
  </si>
  <si>
    <t>Q0313-CP02</t>
  </si>
  <si>
    <t>Q0313-CP03</t>
  </si>
  <si>
    <t>Q0313-CP04</t>
  </si>
  <si>
    <t>Q0313-CP05</t>
  </si>
  <si>
    <t>Q0313-CP06</t>
  </si>
  <si>
    <t>Q0313-CP07</t>
  </si>
  <si>
    <t>Q0313-CP08</t>
  </si>
  <si>
    <t>Q0313-CP09</t>
  </si>
  <si>
    <t>Q0314-CP01</t>
  </si>
  <si>
    <t>Q0314-CP02</t>
  </si>
  <si>
    <t>Q0314-CP03</t>
  </si>
  <si>
    <t>Q0314-CP04</t>
  </si>
  <si>
    <t>Q0314-CP05</t>
  </si>
  <si>
    <t>Q0314-CP06</t>
  </si>
  <si>
    <t>Q0314-CP07</t>
  </si>
  <si>
    <t>Q0315-CP01</t>
  </si>
  <si>
    <t>Q0315-CP02</t>
  </si>
  <si>
    <t>Q0315-CP03</t>
  </si>
  <si>
    <t>Q0315-CP04</t>
  </si>
  <si>
    <t>Q0315-CP05</t>
  </si>
  <si>
    <t>Q0315-CP06</t>
  </si>
  <si>
    <t>Q0315-CP07</t>
  </si>
  <si>
    <t>Q0315-CP08</t>
  </si>
  <si>
    <t>Q0316-CP01</t>
  </si>
  <si>
    <t>Q0316-CP02</t>
  </si>
  <si>
    <t>Q0316-CP03</t>
  </si>
  <si>
    <t>Q0316-CP04</t>
  </si>
  <si>
    <t>Q0316-CP05</t>
  </si>
  <si>
    <t>Q0316-CP06</t>
  </si>
  <si>
    <t>Q0316-CP07</t>
  </si>
  <si>
    <t>Q0317-CP01</t>
  </si>
  <si>
    <t>Q0317-CP02</t>
  </si>
  <si>
    <t>Q0317-CP03</t>
  </si>
  <si>
    <t>Q0317-CP04</t>
  </si>
  <si>
    <t>Q0317-CP05</t>
  </si>
  <si>
    <t>Q0318-CP01</t>
  </si>
  <si>
    <t>Q0318-CP02</t>
  </si>
  <si>
    <t>Q0318-CP03</t>
  </si>
  <si>
    <t>Q0318-CP04</t>
  </si>
  <si>
    <t>Q0318-CP05</t>
  </si>
  <si>
    <t>Q0318-CP06</t>
  </si>
  <si>
    <t>Q0318-CP07</t>
  </si>
  <si>
    <t>Q0319-CP01</t>
  </si>
  <si>
    <t>Q0319-CP02</t>
  </si>
  <si>
    <t>Q0319-CP03</t>
  </si>
  <si>
    <t>Q0319-CP04</t>
  </si>
  <si>
    <t>Q0320-CP01</t>
  </si>
  <si>
    <t>Q0320-CP02</t>
  </si>
  <si>
    <t>Q0320-CP03</t>
  </si>
  <si>
    <t>Q0320-CP04</t>
  </si>
  <si>
    <t>Q0321-CP01</t>
  </si>
  <si>
    <t>Q0321-CP02</t>
  </si>
  <si>
    <t>Q0322-CP01</t>
  </si>
  <si>
    <t>Q0322-CP02</t>
  </si>
  <si>
    <t>Q0323-CP01</t>
  </si>
  <si>
    <t>Q0323-CP02</t>
  </si>
  <si>
    <t>Q0323-CP03</t>
  </si>
  <si>
    <t>Q0323-CP04</t>
  </si>
  <si>
    <t>Q0323-CP05</t>
  </si>
  <si>
    <t>Q0323-CP06</t>
  </si>
  <si>
    <t>Q0323-CP07</t>
  </si>
  <si>
    <t>Q0323-CP08</t>
  </si>
  <si>
    <t>Q0323-CP09</t>
  </si>
  <si>
    <t>Q0323-CP10</t>
  </si>
  <si>
    <t>Q0324-CP01</t>
  </si>
  <si>
    <t>Q0324-CP02</t>
  </si>
  <si>
    <t>Q0324-CP03</t>
  </si>
  <si>
    <t>Q0324-CP04</t>
  </si>
  <si>
    <t>Q0325-CP01</t>
  </si>
  <si>
    <t>Q0325-CP02</t>
  </si>
  <si>
    <t>Q0325-CP03</t>
  </si>
  <si>
    <t>Q0325-CP04</t>
  </si>
  <si>
    <t>Q0325-CP05</t>
  </si>
  <si>
    <t>Q0325-CP06</t>
  </si>
  <si>
    <t>Q0325-CP07</t>
  </si>
  <si>
    <t>Q0326-CP01</t>
  </si>
  <si>
    <t>Q0326-CP02</t>
  </si>
  <si>
    <t>Q0326-CP03</t>
  </si>
  <si>
    <t>Q0326-CP04</t>
  </si>
  <si>
    <t>Q0326-CP05</t>
  </si>
  <si>
    <t>Q0326-CP06</t>
  </si>
  <si>
    <t>Q0327-CP01</t>
  </si>
  <si>
    <t>Q0327-CP02</t>
  </si>
  <si>
    <t>Q0327-CP03</t>
  </si>
  <si>
    <t>Q0327-CP04</t>
  </si>
  <si>
    <t>Q0327-CP05</t>
  </si>
  <si>
    <t>Q0327-CP06</t>
  </si>
  <si>
    <t>Q0327-CP07</t>
  </si>
  <si>
    <t>Q0327-CP08</t>
  </si>
  <si>
    <t>Q0328-CP01</t>
  </si>
  <si>
    <t>Q0328-CP02</t>
  </si>
  <si>
    <t>Q0328-CP03</t>
  </si>
  <si>
    <t>Q0328-CP04</t>
  </si>
  <si>
    <t>Q0328-CP05</t>
  </si>
  <si>
    <t>Q0329-CP01</t>
  </si>
  <si>
    <t>Q0329-CP02</t>
  </si>
  <si>
    <t>Q0329-CP03</t>
  </si>
  <si>
    <t>Q0329-CP04</t>
  </si>
  <si>
    <t>Q0329-CP05</t>
  </si>
  <si>
    <t>Q0329-CP06</t>
  </si>
  <si>
    <t>Q0329-CP07</t>
  </si>
  <si>
    <t>Q0329-CP08</t>
  </si>
  <si>
    <t>Q0329-CP09</t>
  </si>
  <si>
    <t>Q0329-CP10</t>
  </si>
  <si>
    <t>Q0330-CP01</t>
  </si>
  <si>
    <t>Q0330-CP02</t>
  </si>
  <si>
    <t>Q0330-CP03</t>
  </si>
  <si>
    <t>Q0330-CP04</t>
  </si>
  <si>
    <t>Q0330-CP05</t>
  </si>
  <si>
    <t>Q0330-CP06</t>
  </si>
  <si>
    <t>Q0330-CP07</t>
  </si>
  <si>
    <t>Q0331-CP01</t>
  </si>
  <si>
    <t>Q0331-CP02</t>
  </si>
  <si>
    <t>Q0331-CP03</t>
  </si>
  <si>
    <t>Q0331-CP04</t>
  </si>
  <si>
    <t>Q0331-CP05</t>
  </si>
  <si>
    <t>Q0331-CP06</t>
  </si>
  <si>
    <t>Q0331-CP07</t>
  </si>
  <si>
    <t>Q0331-CP08</t>
  </si>
  <si>
    <t>Q0332-CP01</t>
  </si>
  <si>
    <t>Q0332-CP02</t>
  </si>
  <si>
    <t>Q0332-CP03</t>
  </si>
  <si>
    <t>Q0332-CP04</t>
  </si>
  <si>
    <t>Q0332-CP05</t>
  </si>
  <si>
    <t>Q0332-CP06</t>
  </si>
  <si>
    <t>Q0333-CP01</t>
  </si>
  <si>
    <t>Q0333-CP02</t>
  </si>
  <si>
    <t>Q0333-CP03</t>
  </si>
  <si>
    <t>Q0333-CP04</t>
  </si>
  <si>
    <t>Q0333-CP05</t>
  </si>
  <si>
    <t>Q0333-CP06</t>
  </si>
  <si>
    <t>Q0333-CP07</t>
  </si>
  <si>
    <t>Q0333-CP08</t>
  </si>
  <si>
    <t>Q0334-CP01</t>
  </si>
  <si>
    <t>Q0334-CP02</t>
  </si>
  <si>
    <t>Q0334-CP03</t>
  </si>
  <si>
    <t>Q0334-CP04</t>
  </si>
  <si>
    <t>Q0334-CP05</t>
  </si>
  <si>
    <t>Q0334-CP06</t>
  </si>
  <si>
    <t>Q0334-CP07</t>
  </si>
  <si>
    <t>Q0334-CP08</t>
  </si>
  <si>
    <t>Q0335-CP01</t>
  </si>
  <si>
    <t>Q0335-CP02</t>
  </si>
  <si>
    <t>Q0335-CP03</t>
  </si>
  <si>
    <t>Q0335-CP04</t>
  </si>
  <si>
    <t>Q0335-CP05</t>
  </si>
  <si>
    <t>Q0335-CP06</t>
  </si>
  <si>
    <t>Q0335-CP07</t>
  </si>
  <si>
    <t>Q0335-CP08</t>
  </si>
  <si>
    <t>Q0336-CP01</t>
  </si>
  <si>
    <t>Q0336-CP02</t>
  </si>
  <si>
    <t>Q0336-CP03</t>
  </si>
  <si>
    <t>Q0336-CP04</t>
  </si>
  <si>
    <t>Q0336-CP05</t>
  </si>
  <si>
    <t>Q0336-CP06</t>
  </si>
  <si>
    <t>Q0336-CP07</t>
  </si>
  <si>
    <t>Q0336-CP08</t>
  </si>
  <si>
    <t>Q0337-CP01</t>
  </si>
  <si>
    <t>Q0337-CP02</t>
  </si>
  <si>
    <t>Q0337-CP03</t>
  </si>
  <si>
    <t>Q0337-CP04</t>
  </si>
  <si>
    <t>Q0337-CP05</t>
  </si>
  <si>
    <t>Q0337-CP06</t>
  </si>
  <si>
    <t>Q0337-CP07</t>
  </si>
  <si>
    <t>Q0337-CP08</t>
  </si>
  <si>
    <t>Q0338-CP01</t>
  </si>
  <si>
    <t>Q0338-CP02</t>
  </si>
  <si>
    <t>Q0339-CP01</t>
  </si>
  <si>
    <t>Q0339-CP02</t>
  </si>
  <si>
    <t>Q0339-CP03</t>
  </si>
  <si>
    <t>Q0339-CP04</t>
  </si>
  <si>
    <t>Q0339-CP05</t>
  </si>
  <si>
    <t>Q0339-CP06</t>
  </si>
  <si>
    <t>Q0340-CP01</t>
  </si>
  <si>
    <t>Q0340-CP02</t>
  </si>
  <si>
    <t>Q0340-CP03</t>
  </si>
  <si>
    <t>Q0340-CP04</t>
  </si>
  <si>
    <t>Q0341-CP01</t>
  </si>
  <si>
    <t>Q0341-CP02</t>
  </si>
  <si>
    <t>Q0341-CP03</t>
  </si>
  <si>
    <t>Q0341-CP04</t>
  </si>
  <si>
    <t>Q0341-CP05</t>
  </si>
  <si>
    <t>Q0341-CP06</t>
  </si>
  <si>
    <t>Q0342-CP01</t>
  </si>
  <si>
    <t>Q0342-CP02</t>
  </si>
  <si>
    <t>Q0342-CP03</t>
  </si>
  <si>
    <t>Q0342-CP04</t>
  </si>
  <si>
    <t>Q0343-CP01</t>
  </si>
  <si>
    <t>Q0343-CP02</t>
  </si>
  <si>
    <t>Q0344-CP01</t>
  </si>
  <si>
    <t>Q0344-CP02</t>
  </si>
  <si>
    <t>Q0344-CP03</t>
  </si>
  <si>
    <t>Q0345-CP01</t>
  </si>
  <si>
    <t>Q0345-CP02</t>
  </si>
  <si>
    <t>Q0345-CP03</t>
  </si>
  <si>
    <t>Q0345-CP04</t>
  </si>
  <si>
    <t>Q0345-CP05</t>
  </si>
  <si>
    <t>Q0346-CP01</t>
  </si>
  <si>
    <t>Q0346-CP02</t>
  </si>
  <si>
    <t>Q0347-CP01</t>
  </si>
  <si>
    <t>Q0347-CP02</t>
  </si>
  <si>
    <t>为简短Prompt补全合理运动与视觉连续性</t>
  </si>
  <si>
    <t>D01.02.03</t>
  </si>
  <si>
    <t>开放Prompt合理补全</t>
  </si>
  <si>
    <t>在不违背原题的前提下形成可读运动或状态延续，内容不静止、不过度发散。</t>
  </si>
  <si>
    <t>Q0348-CP01</t>
  </si>
  <si>
    <t>Q0348-CP02</t>
  </si>
  <si>
    <t>Q0348-CP03</t>
  </si>
  <si>
    <t>Q0348-CP04</t>
  </si>
  <si>
    <t>Q0348-CP05</t>
  </si>
  <si>
    <t>Q0348-CP06</t>
  </si>
  <si>
    <t>Q0348-CP07</t>
  </si>
  <si>
    <t>Q0348-CP08</t>
  </si>
  <si>
    <t>Q0348-CP09</t>
  </si>
  <si>
    <t>Q0348-CP10</t>
  </si>
  <si>
    <t>Q0348-CP11</t>
  </si>
  <si>
    <t>Q0348-CP12</t>
  </si>
  <si>
    <t>Q0349-CP01</t>
  </si>
  <si>
    <t>Q0349-CP02</t>
  </si>
  <si>
    <t>Q0349-CP03</t>
  </si>
  <si>
    <t>Q0349-CP04</t>
  </si>
  <si>
    <t>Q0350-CP01</t>
  </si>
  <si>
    <t>Q0350-CP02</t>
  </si>
  <si>
    <t>Q0350-CP03</t>
  </si>
  <si>
    <t>Q0350-CP04</t>
  </si>
  <si>
    <t>Q0350-CP05</t>
  </si>
  <si>
    <t>Q0350-CP06</t>
  </si>
  <si>
    <t>Q0351-CP01</t>
  </si>
  <si>
    <t>Q0351-CP02</t>
  </si>
  <si>
    <t>Q0351-CP03</t>
  </si>
  <si>
    <t>Q0351-CP04</t>
  </si>
  <si>
    <t>Q0352-CP01</t>
  </si>
  <si>
    <t>Q0352-CP02</t>
  </si>
  <si>
    <t>Q0353-CP01</t>
  </si>
  <si>
    <t>Q0353-CP02</t>
  </si>
  <si>
    <t>Q0354-CP01</t>
  </si>
  <si>
    <t>Q0354-CP02</t>
  </si>
  <si>
    <t>Q0354-CP03</t>
  </si>
  <si>
    <t>Q0354-CP04</t>
  </si>
  <si>
    <t>Q0355-CP01</t>
  </si>
  <si>
    <t>Q0355-CP02</t>
  </si>
  <si>
    <t>Q0355-CP03</t>
  </si>
  <si>
    <t>Q0355-CP04</t>
  </si>
  <si>
    <t>Q0356-CP01</t>
  </si>
  <si>
    <t>Q0356-CP02</t>
  </si>
  <si>
    <t>Q0356-CP03</t>
  </si>
  <si>
    <t>Q0356-CP04</t>
  </si>
  <si>
    <t>Q0356-CP05</t>
  </si>
  <si>
    <t>Q0356-CP06</t>
  </si>
  <si>
    <t>Q0356-CP07</t>
  </si>
  <si>
    <t>Q0356-CP08</t>
  </si>
  <si>
    <t>Q0356-CP09</t>
  </si>
  <si>
    <t>Q0356-CP10</t>
  </si>
  <si>
    <t>Q0357-CP01</t>
  </si>
  <si>
    <t>Q0357-CP02</t>
  </si>
  <si>
    <t>Q0357-CP03</t>
  </si>
  <si>
    <t>Q0357-CP04</t>
  </si>
  <si>
    <t>Q0357-CP05</t>
  </si>
  <si>
    <t>Q0357-CP06</t>
  </si>
  <si>
    <t>Q0357-CP07</t>
  </si>
  <si>
    <t>Q0357-CP08</t>
  </si>
  <si>
    <t>Q0357-CP09</t>
  </si>
  <si>
    <t>Q0357-CP10</t>
  </si>
  <si>
    <t>Q0358-CP01</t>
  </si>
  <si>
    <t>Q0358-CP02</t>
  </si>
  <si>
    <t>Q0359-CP01</t>
  </si>
  <si>
    <t>Q0359-CP02</t>
  </si>
  <si>
    <t>Q0359-CP03</t>
  </si>
  <si>
    <t>Q0359-CP04</t>
  </si>
  <si>
    <t>Q0359-CP05</t>
  </si>
  <si>
    <t>Q0360-CP01</t>
  </si>
  <si>
    <t>Q0360-CP02</t>
  </si>
  <si>
    <t>Q0360-CP03</t>
  </si>
  <si>
    <t>Q0360-CP04</t>
  </si>
  <si>
    <t>Q0360-CP05</t>
  </si>
  <si>
    <t>Q0360-CP06</t>
  </si>
  <si>
    <t>Q0360-CP07</t>
  </si>
  <si>
    <t>Q0360-CP08</t>
  </si>
  <si>
    <t>Q0360-CP09</t>
  </si>
  <si>
    <t>Q0360-CP10</t>
  </si>
  <si>
    <t>Q0360-CP11</t>
  </si>
  <si>
    <t>Q0361-CP01</t>
  </si>
  <si>
    <t>Q0361-CP02</t>
  </si>
  <si>
    <t>Q0361-CP03</t>
  </si>
  <si>
    <t>Q0361-CP04</t>
  </si>
  <si>
    <t>Q0362-CP01</t>
  </si>
  <si>
    <t>Q0362-CP02</t>
  </si>
  <si>
    <t>Q0362-CP03</t>
  </si>
  <si>
    <t>Q0362-CP04</t>
  </si>
  <si>
    <t>Q0362-CP05</t>
  </si>
  <si>
    <t>Q0362-CP06</t>
  </si>
  <si>
    <t>Q0362-CP07</t>
  </si>
  <si>
    <t>Q0363-CP01</t>
  </si>
  <si>
    <t>Q0363-CP02</t>
  </si>
  <si>
    <t>Q0363-CP03</t>
  </si>
  <si>
    <t>Q0363-CP04</t>
  </si>
  <si>
    <t>Q0363-CP05</t>
  </si>
  <si>
    <t>Q0363-CP06</t>
  </si>
  <si>
    <t>Q0363-CP07</t>
  </si>
  <si>
    <t>Q0363-CP08</t>
  </si>
  <si>
    <t>Q0363-CP09</t>
  </si>
  <si>
    <t>Q0363-CP10</t>
  </si>
  <si>
    <t>Q0364-CP01</t>
  </si>
  <si>
    <t>Q0364-CP02</t>
  </si>
  <si>
    <t>Q0364-CP03</t>
  </si>
  <si>
    <t>Q0364-CP04</t>
  </si>
  <si>
    <t>Q0364-CP05</t>
  </si>
  <si>
    <t>Q0364-CP06</t>
  </si>
  <si>
    <t>Q0364-CP07</t>
  </si>
  <si>
    <t>Q0364-CP08</t>
  </si>
  <si>
    <t>Q0365-CP01</t>
  </si>
  <si>
    <t>Q0365-CP02</t>
  </si>
  <si>
    <t>Q0365-CP03</t>
  </si>
  <si>
    <t>Q0365-CP04</t>
  </si>
  <si>
    <t>Q0365-CP05</t>
  </si>
  <si>
    <t>Q0366-CP01</t>
  </si>
  <si>
    <t>Q0366-CP02</t>
  </si>
  <si>
    <t>Q0366-CP03</t>
  </si>
  <si>
    <t>Q0366-CP04</t>
  </si>
  <si>
    <t>Q0366-CP05</t>
  </si>
  <si>
    <t>Q0366-CP06</t>
  </si>
  <si>
    <t>Q0366-CP07</t>
  </si>
  <si>
    <t>Q0366-CP08</t>
  </si>
  <si>
    <t>Q0367-CP01</t>
  </si>
  <si>
    <t>Q0367-CP02</t>
  </si>
  <si>
    <t>Q0367-CP03</t>
  </si>
  <si>
    <t>Q0367-CP04</t>
  </si>
  <si>
    <t>Q0368-CP01</t>
  </si>
  <si>
    <t>Q0368-CP02</t>
  </si>
  <si>
    <t>Q0368-CP03</t>
  </si>
  <si>
    <t>Q0368-CP04</t>
  </si>
  <si>
    <t>Q0369-CP01</t>
  </si>
  <si>
    <t>Q0369-CP02</t>
  </si>
  <si>
    <t>Q0369-CP03</t>
  </si>
  <si>
    <t>Q0369-CP04</t>
  </si>
  <si>
    <t>Q0369-CP05</t>
  </si>
  <si>
    <t>Q0369-CP06</t>
  </si>
  <si>
    <t>Q0370-CP01</t>
  </si>
  <si>
    <t>Q0370-CP02</t>
  </si>
  <si>
    <t>Q0371-CP01</t>
  </si>
  <si>
    <t>Q0371-CP02</t>
  </si>
  <si>
    <t>Q0371-CP03</t>
  </si>
  <si>
    <t>Q0371-CP04</t>
  </si>
  <si>
    <t>Q0371-CP05</t>
  </si>
  <si>
    <t>Q0371-CP06</t>
  </si>
  <si>
    <t>Q0372-CP01</t>
  </si>
  <si>
    <t>Q0372-CP02</t>
  </si>
  <si>
    <t>Q0372-CP03</t>
  </si>
  <si>
    <t>Q0372-CP04</t>
  </si>
  <si>
    <t>Q0372-CP05</t>
  </si>
  <si>
    <t>Q0372-CP06</t>
  </si>
  <si>
    <t>Q0372-CP07</t>
  </si>
  <si>
    <t>Q0372-CP08</t>
  </si>
  <si>
    <t>Q0373-CP01</t>
  </si>
  <si>
    <t>Q0373-CP02</t>
  </si>
  <si>
    <t>Q0373-CP03</t>
  </si>
  <si>
    <t>Q0373-CP04</t>
  </si>
  <si>
    <t>Q0373-CP05</t>
  </si>
  <si>
    <t>Q0373-CP06</t>
  </si>
  <si>
    <t>Q0373-CP07</t>
  </si>
  <si>
    <t>Q0373-CP08</t>
  </si>
  <si>
    <t>Q0374-CP01</t>
  </si>
  <si>
    <t>Q0374-CP02</t>
  </si>
  <si>
    <t>Q0374-CP03</t>
  </si>
  <si>
    <t>Q0374-CP04</t>
  </si>
  <si>
    <t>Q0374-CP05</t>
  </si>
  <si>
    <t>Q0374-CP06</t>
  </si>
  <si>
    <t>Q0375-CP01</t>
  </si>
  <si>
    <t>Q0375-CP02</t>
  </si>
  <si>
    <t>Q0375-CP03</t>
  </si>
  <si>
    <t>Q0375-CP04</t>
  </si>
  <si>
    <t>Q0375-CP05</t>
  </si>
  <si>
    <t>Q0375-CP06</t>
  </si>
  <si>
    <t>Q0376-CP01</t>
  </si>
  <si>
    <t>Q0376-CP02</t>
  </si>
  <si>
    <t>Q0376-CP03</t>
  </si>
  <si>
    <t>Q0376-CP04</t>
  </si>
  <si>
    <t>Q0376-CP05</t>
  </si>
  <si>
    <t>Q0376-CP06</t>
  </si>
  <si>
    <t>Q0376-CP07</t>
  </si>
  <si>
    <t>Q0376-CP08</t>
  </si>
  <si>
    <t>Q0376-CP09</t>
  </si>
  <si>
    <t>Q0376-CP10</t>
  </si>
  <si>
    <t>Q0376-CP11</t>
  </si>
  <si>
    <t>Q0377-CP01</t>
  </si>
  <si>
    <t>Q0377-CP02</t>
  </si>
  <si>
    <t>Q0377-CP03</t>
  </si>
  <si>
    <t>Q0377-CP04</t>
  </si>
  <si>
    <t>Q0377-CP05</t>
  </si>
  <si>
    <t>Q0377-CP06</t>
  </si>
  <si>
    <t>Q0377-CP07</t>
  </si>
  <si>
    <t>Q0377-CP08</t>
  </si>
  <si>
    <t>Q0377-CP09</t>
  </si>
  <si>
    <t>Q0377-CP10</t>
  </si>
  <si>
    <t>Q0377-CP11</t>
  </si>
  <si>
    <t>Q0378-CP01</t>
  </si>
  <si>
    <t>Q0378-CP02</t>
  </si>
  <si>
    <t>Q0378-CP03</t>
  </si>
  <si>
    <t>Q0378-CP04</t>
  </si>
  <si>
    <t>Q0378-CP05</t>
  </si>
  <si>
    <t>Q0378-CP06</t>
  </si>
  <si>
    <t>Q0379-CP01</t>
  </si>
  <si>
    <t>Q0379-CP02</t>
  </si>
  <si>
    <t>Q0379-CP03</t>
  </si>
  <si>
    <t>Q0379-CP04</t>
  </si>
  <si>
    <t>Q0380-CP01</t>
  </si>
  <si>
    <t>Q0380-CP02</t>
  </si>
  <si>
    <t>Q0380-CP03</t>
  </si>
  <si>
    <t>Q0380-CP04</t>
  </si>
  <si>
    <t>Q0380-CP05</t>
  </si>
  <si>
    <t>Q0380-CP06</t>
  </si>
  <si>
    <t>Q0380-CP07</t>
  </si>
  <si>
    <t>Q0380-CP08</t>
  </si>
  <si>
    <t>Q0381-CP01</t>
  </si>
  <si>
    <t>Q0381-CP02</t>
  </si>
  <si>
    <t>Q0381-CP03</t>
  </si>
  <si>
    <t>Q0381-CP04</t>
  </si>
  <si>
    <t>Q0381-CP05</t>
  </si>
  <si>
    <t>Q0381-CP06</t>
  </si>
  <si>
    <t>Q0381-CP07</t>
  </si>
  <si>
    <t>Q0381-CP08</t>
  </si>
  <si>
    <t>Q0382-CP01</t>
  </si>
  <si>
    <t>Q0382-CP02</t>
  </si>
  <si>
    <t>Q0382-CP03</t>
  </si>
  <si>
    <t>Q0382-CP04</t>
  </si>
  <si>
    <t>Q0382-CP05</t>
  </si>
  <si>
    <t>Q0382-CP06</t>
  </si>
  <si>
    <t>Q0382-CP07</t>
  </si>
  <si>
    <t>Q0382-CP08</t>
  </si>
  <si>
    <t>Q0382-CP09</t>
  </si>
  <si>
    <t>Q0383-CP01</t>
  </si>
  <si>
    <t>Q0383-CP02</t>
  </si>
  <si>
    <t>Q0383-CP03</t>
  </si>
  <si>
    <t>Q0383-CP04</t>
  </si>
  <si>
    <t>Q0383-CP05</t>
  </si>
  <si>
    <t>Q0383-CP06</t>
  </si>
  <si>
    <t>Q0383-CP07</t>
  </si>
  <si>
    <t>Q0383-CP08</t>
  </si>
  <si>
    <t>Q0384-CP01</t>
  </si>
  <si>
    <t>Q0384-CP02</t>
  </si>
  <si>
    <t>Q0384-CP03</t>
  </si>
  <si>
    <t>Q0384-CP04</t>
  </si>
  <si>
    <t>Q0384-CP05</t>
  </si>
  <si>
    <t>Q0384-CP06</t>
  </si>
  <si>
    <t>Q0385-CP01</t>
  </si>
  <si>
    <t>Q0385-CP02</t>
  </si>
  <si>
    <t>Q0385-CP03</t>
  </si>
  <si>
    <t>Q0386-CP01</t>
  </si>
  <si>
    <t>Q0386-CP02</t>
  </si>
  <si>
    <t>Q0386-CP03</t>
  </si>
  <si>
    <t>Q0386-CP04</t>
  </si>
  <si>
    <t>Q0386-CP05</t>
  </si>
  <si>
    <t>Q0386-CP06</t>
  </si>
  <si>
    <t>Q0387-CP01</t>
  </si>
  <si>
    <t>Q0387-CP02</t>
  </si>
  <si>
    <t>Q0387-CP03</t>
  </si>
  <si>
    <t>Q0387-CP04</t>
  </si>
  <si>
    <t>Q0388-CP01</t>
  </si>
  <si>
    <t>Q0388-CP02</t>
  </si>
  <si>
    <t>Q0388-CP03</t>
  </si>
  <si>
    <t>Q0389-CP01</t>
  </si>
  <si>
    <t>Q0389-CP02</t>
  </si>
  <si>
    <t>Q0390-CP01</t>
  </si>
  <si>
    <t>Q0390-CP02</t>
  </si>
  <si>
    <t>Q0390-CP03</t>
  </si>
  <si>
    <t>Q0391-CP01</t>
  </si>
  <si>
    <t>Q0391-CP02</t>
  </si>
  <si>
    <t>Q0391-CP03</t>
  </si>
  <si>
    <t>Q0391-CP04</t>
  </si>
  <si>
    <t>Q0391-CP05</t>
  </si>
  <si>
    <t>Q0391-CP06</t>
  </si>
  <si>
    <t>Q0392-CP01</t>
  </si>
  <si>
    <t>Q0392-CP02</t>
  </si>
  <si>
    <t>Q0392-CP03</t>
  </si>
  <si>
    <t>Q0392-CP04</t>
  </si>
  <si>
    <t>Q0392-CP05</t>
  </si>
  <si>
    <t>Q0392-CP06</t>
  </si>
  <si>
    <t>Q0393-CP01</t>
  </si>
  <si>
    <t>Q0393-CP02</t>
  </si>
  <si>
    <t>Q0393-CP03</t>
  </si>
  <si>
    <t>Q0393-CP04</t>
  </si>
  <si>
    <t>Q0394-CP01</t>
  </si>
  <si>
    <t>Q0394-CP02</t>
  </si>
  <si>
    <t>Q0394-CP03</t>
  </si>
  <si>
    <t>Q0394-CP04</t>
  </si>
  <si>
    <t>Q0395-CP01</t>
  </si>
  <si>
    <t>Q0395-CP02</t>
  </si>
  <si>
    <t>Q0395-CP03</t>
  </si>
  <si>
    <t>Q0395-CP04</t>
  </si>
  <si>
    <t>Q0396-CP01</t>
  </si>
  <si>
    <t>Q0396-CP02</t>
  </si>
  <si>
    <t>Q0396-CP03</t>
  </si>
  <si>
    <t>Q0396-CP04</t>
  </si>
  <si>
    <t>Q0396-CP05</t>
  </si>
  <si>
    <t>Q0396-CP06</t>
  </si>
  <si>
    <t>Q0397-CP01</t>
  </si>
  <si>
    <t>Q0397-CP02</t>
  </si>
  <si>
    <t>Q0397-CP03</t>
  </si>
  <si>
    <t>Q0397-CP04</t>
  </si>
  <si>
    <t>Q0397-CP05</t>
  </si>
  <si>
    <t>Q0397-CP06</t>
  </si>
  <si>
    <t>Q0398-CP01</t>
  </si>
  <si>
    <t>Q0398-CP02</t>
  </si>
  <si>
    <t>Q0398-CP03</t>
  </si>
  <si>
    <t>Q0398-CP04</t>
  </si>
  <si>
    <t>Q0398-CP05</t>
  </si>
  <si>
    <t>Q0398-CP06</t>
  </si>
  <si>
    <t>Q0399-CP01</t>
  </si>
  <si>
    <t>Q0399-CP02</t>
  </si>
  <si>
    <t>Q0399-CP03</t>
  </si>
  <si>
    <t>Q0399-CP04</t>
  </si>
  <si>
    <t>Q0399-CP05</t>
  </si>
  <si>
    <t>Q0399-CP06</t>
  </si>
  <si>
    <t>Q0399-CP07</t>
  </si>
  <si>
    <t>Q0399-CP08</t>
  </si>
  <si>
    <t>Q0400-CP01</t>
  </si>
  <si>
    <t>Q0400-CP02</t>
  </si>
  <si>
    <t>Q0400-CP03</t>
  </si>
  <si>
    <t>Q0400-CP04</t>
  </si>
  <si>
    <t>Q0400-CP05</t>
  </si>
  <si>
    <t>Q0400-CP06</t>
  </si>
  <si>
    <t>Q0400-CP07</t>
  </si>
  <si>
    <t>Q0400-CP08</t>
  </si>
  <si>
    <t>Q0400-CP09</t>
  </si>
  <si>
    <t>Q0400-CP10</t>
  </si>
  <si>
    <t>Q0401-CP01</t>
  </si>
  <si>
    <t>Q0401-CP02</t>
  </si>
  <si>
    <t>Q0402-CP01</t>
  </si>
  <si>
    <t>Q0402-CP02</t>
  </si>
  <si>
    <t>Q0402-CP03</t>
  </si>
  <si>
    <t>Q0402-CP04</t>
  </si>
  <si>
    <t>Q0403-CP01</t>
  </si>
  <si>
    <t>Q0403-CP02</t>
  </si>
  <si>
    <t>Q0403-CP03</t>
  </si>
  <si>
    <t>Q0404-CP01</t>
  </si>
  <si>
    <t>Q0404-CP02</t>
  </si>
  <si>
    <t>Q0404-CP03</t>
  </si>
  <si>
    <t>Q0404-CP04</t>
  </si>
  <si>
    <t>Q0404-CP05</t>
  </si>
  <si>
    <t>Q0405-CP01</t>
  </si>
  <si>
    <t>Q0405-CP02</t>
  </si>
  <si>
    <t>Q0405-CP03</t>
  </si>
  <si>
    <t>Q0405-CP04</t>
  </si>
  <si>
    <t>Q0405-CP05</t>
  </si>
  <si>
    <t>Q0405-CP06</t>
  </si>
  <si>
    <t>Q0406-CP01</t>
  </si>
  <si>
    <t>Q0406-CP02</t>
  </si>
  <si>
    <t>Q0407-CP01</t>
  </si>
  <si>
    <t>Q0407-CP02</t>
  </si>
  <si>
    <t>Q0407-CP03</t>
  </si>
  <si>
    <t>Q0407-CP04</t>
  </si>
  <si>
    <t>Q0408-CP01</t>
  </si>
  <si>
    <t>Q0408-CP02</t>
  </si>
  <si>
    <t>Q0408-CP03</t>
  </si>
  <si>
    <t>Q0409-CP01</t>
  </si>
  <si>
    <t>Q0409-CP02</t>
  </si>
  <si>
    <t>Q0409-CP03</t>
  </si>
  <si>
    <t>Q0409-CP04</t>
  </si>
  <si>
    <t>Q0409-CP05</t>
  </si>
  <si>
    <t>Q0409-CP06</t>
  </si>
  <si>
    <t>Q0409-CP07</t>
  </si>
  <si>
    <t>Q0409-CP08</t>
  </si>
  <si>
    <t>Q0410-CP01</t>
  </si>
  <si>
    <t>Q0410-CP02</t>
  </si>
  <si>
    <t>Q0410-CP03</t>
  </si>
  <si>
    <t>Q0410-CP04</t>
  </si>
  <si>
    <t>Q0410-CP05</t>
  </si>
  <si>
    <t>Q0410-CP06</t>
  </si>
  <si>
    <t>Q0411-CP01</t>
  </si>
  <si>
    <t>Q0411-CP02</t>
  </si>
  <si>
    <t>Q0411-CP03</t>
  </si>
  <si>
    <t>Q0411-CP04</t>
  </si>
  <si>
    <t>Q0411-CP05</t>
  </si>
  <si>
    <t>Q0411-CP06</t>
  </si>
  <si>
    <t>Q0412-CP01</t>
  </si>
  <si>
    <t>Q0412-CP02</t>
  </si>
  <si>
    <t>Q0412-CP03</t>
  </si>
  <si>
    <t>Q0412-CP04</t>
  </si>
  <si>
    <t>Q0412-CP05</t>
  </si>
  <si>
    <t>Q0412-CP06</t>
  </si>
  <si>
    <t>Q0413-CP01</t>
  </si>
  <si>
    <t>Q0413-CP02</t>
  </si>
  <si>
    <t>Q0413-CP03</t>
  </si>
  <si>
    <t>Q0413-CP04</t>
  </si>
  <si>
    <t>Q0414-CP01</t>
  </si>
  <si>
    <t>Q0414-CP02</t>
  </si>
  <si>
    <t>Q0414-CP03</t>
  </si>
  <si>
    <t>Q0414-CP04</t>
  </si>
  <si>
    <t>Q0415-CP01</t>
  </si>
  <si>
    <t>Q0415-CP02</t>
  </si>
  <si>
    <t>Q0415-CP03</t>
  </si>
  <si>
    <t>Q0415-CP04</t>
  </si>
  <si>
    <t>Q0416-CP01</t>
  </si>
  <si>
    <t>Q0416-CP02</t>
  </si>
  <si>
    <t>Q0417-CP01</t>
  </si>
  <si>
    <t>Q0417-CP02</t>
  </si>
  <si>
    <t>Q0417-CP03</t>
  </si>
  <si>
    <t>Q0417-CP04</t>
  </si>
  <si>
    <t>Q0417-CP05</t>
  </si>
  <si>
    <t>Q0417-CP06</t>
  </si>
  <si>
    <t>Q0417-CP07</t>
  </si>
  <si>
    <t>Q0417-CP08</t>
  </si>
  <si>
    <t>Q0417-CP09</t>
  </si>
  <si>
    <t>Q0417-CP10</t>
  </si>
  <si>
    <t>Q0418-CP01</t>
  </si>
  <si>
    <t>Q0418-CP02</t>
  </si>
  <si>
    <t>Q0418-CP03</t>
  </si>
  <si>
    <t>Q0418-CP04</t>
  </si>
  <si>
    <t>Q0418-CP05</t>
  </si>
  <si>
    <t>Q0418-CP06</t>
  </si>
  <si>
    <t>Q0418-CP07</t>
  </si>
  <si>
    <t>Q0418-CP08</t>
  </si>
  <si>
    <t>Q0418-CP09</t>
  </si>
  <si>
    <t>Q0418-CP10</t>
  </si>
  <si>
    <t>Q0419-CP01</t>
  </si>
  <si>
    <t>Q0419-CP02</t>
  </si>
  <si>
    <t>Q0419-CP03</t>
  </si>
  <si>
    <t>Q0419-CP04</t>
  </si>
  <si>
    <t>Q0419-CP05</t>
  </si>
  <si>
    <t>Q0419-CP06</t>
  </si>
  <si>
    <t>Q0419-CP07</t>
  </si>
  <si>
    <t>Q0419-CP08</t>
  </si>
  <si>
    <t>Q0419-CP09</t>
  </si>
  <si>
    <t>Q0420-CP01</t>
  </si>
  <si>
    <t>Q0420-CP02</t>
  </si>
  <si>
    <t>Q0420-CP03</t>
  </si>
  <si>
    <t>Q0420-CP04</t>
  </si>
  <si>
    <t>Q0420-CP05</t>
  </si>
  <si>
    <t>Q0421-CP01</t>
  </si>
  <si>
    <t>Q0421-CP02</t>
  </si>
  <si>
    <t>Q0421-CP03</t>
  </si>
  <si>
    <t>Q0421-CP04</t>
  </si>
  <si>
    <t>Q0421-CP05</t>
  </si>
  <si>
    <t>Q0421-CP06</t>
  </si>
  <si>
    <t>Q0422-CP01</t>
  </si>
  <si>
    <t>Q0422-CP02</t>
  </si>
  <si>
    <t>Q0422-CP03</t>
  </si>
  <si>
    <t>Q0422-CP04</t>
  </si>
  <si>
    <t>Q0422-CP05</t>
  </si>
  <si>
    <t>生成原题指定媒介中的风格化人物角色</t>
  </si>
  <si>
    <t>D02.01.02</t>
  </si>
  <si>
    <t>风格化人物角色</t>
  </si>
  <si>
    <t>主要人物保持所指定的动漫、CG或手工媒介形态，人物结构可辨且不突然转为另一媒介。</t>
  </si>
  <si>
    <t>Q0422-CP06</t>
  </si>
  <si>
    <t>Q0423-CP01</t>
  </si>
  <si>
    <t>Q0423-CP02</t>
  </si>
  <si>
    <t>Q0424-CP01</t>
  </si>
  <si>
    <t>Q0424-CP02</t>
  </si>
  <si>
    <t>Q0424-CP03</t>
  </si>
  <si>
    <t>Q0424-CP04</t>
  </si>
  <si>
    <t>Q0424-CP05</t>
  </si>
  <si>
    <t>Q0424-CP06</t>
  </si>
  <si>
    <t>Q0425-CP01</t>
  </si>
  <si>
    <t>Q0425-CP02</t>
  </si>
  <si>
    <t>Q0425-CP03</t>
  </si>
  <si>
    <t>Q0426-CP01</t>
  </si>
  <si>
    <t>Q0426-CP02</t>
  </si>
  <si>
    <t>Q0426-CP03</t>
  </si>
  <si>
    <t>Q0426-CP04</t>
  </si>
  <si>
    <t>Q0426-CP05</t>
  </si>
  <si>
    <t>Q0427-CP01</t>
  </si>
  <si>
    <t>Q0427-CP02</t>
  </si>
  <si>
    <t>Q0427-CP03</t>
  </si>
  <si>
    <t>Q0427-CP04</t>
  </si>
  <si>
    <t>Q0427-CP05</t>
  </si>
  <si>
    <t>Q0427-CP06</t>
  </si>
  <si>
    <t>Q0428-CP01</t>
  </si>
  <si>
    <t>Q0428-CP02</t>
  </si>
  <si>
    <t>Q0428-CP03</t>
  </si>
  <si>
    <t>Q0428-CP04</t>
  </si>
  <si>
    <t>Q0429-CP01</t>
  </si>
  <si>
    <t>Q0429-CP02</t>
  </si>
  <si>
    <t>Q0429-CP03</t>
  </si>
  <si>
    <t>Q0430-CP01</t>
  </si>
  <si>
    <t>Q0430-CP02</t>
  </si>
  <si>
    <t>Q0430-CP03</t>
  </si>
  <si>
    <t>Q0431-CP01</t>
  </si>
  <si>
    <t>Q0431-CP02</t>
  </si>
  <si>
    <t>Q0431-CP03</t>
  </si>
  <si>
    <t>Q0431-CP04</t>
  </si>
  <si>
    <t>Q0431-CP05</t>
  </si>
  <si>
    <t>Q0431-CP06</t>
  </si>
  <si>
    <t>Q0431-CP07</t>
  </si>
  <si>
    <t>Q0431-CP08</t>
  </si>
  <si>
    <t>Q0432-CP01</t>
  </si>
  <si>
    <t>Q0432-CP02</t>
  </si>
  <si>
    <t>Q0432-CP03</t>
  </si>
  <si>
    <t>Q0432-CP04</t>
  </si>
  <si>
    <t>Q0432-CP05</t>
  </si>
  <si>
    <t>Q0432-CP06</t>
  </si>
  <si>
    <t>Q0432-CP07</t>
  </si>
  <si>
    <t>Q0432-CP08</t>
  </si>
  <si>
    <t>Q0433-CP01</t>
  </si>
  <si>
    <t>Q0433-CP02</t>
  </si>
  <si>
    <t>Q0433-CP03</t>
  </si>
  <si>
    <t>Q0433-CP04</t>
  </si>
  <si>
    <t>Q0433-CP05</t>
  </si>
  <si>
    <t>Q0433-CP06</t>
  </si>
  <si>
    <t>Q0433-CP07</t>
  </si>
  <si>
    <t>Q0433-CP08</t>
  </si>
  <si>
    <t>Q0433-CP09</t>
  </si>
  <si>
    <t>Q0433-CP10</t>
  </si>
  <si>
    <t>Q0433-CP11</t>
  </si>
  <si>
    <t>Q0433-CP12</t>
  </si>
  <si>
    <t>Q0434-CP01</t>
  </si>
  <si>
    <t>Q0434-CP02</t>
  </si>
  <si>
    <t>Q0434-CP03</t>
  </si>
  <si>
    <t>Q0434-CP04</t>
  </si>
  <si>
    <t>Q0434-CP05</t>
  </si>
  <si>
    <t>Q0435-CP01</t>
  </si>
  <si>
    <t>Q0435-CP02</t>
  </si>
  <si>
    <t>Q0435-CP03</t>
  </si>
  <si>
    <t>Q0435-CP04</t>
  </si>
  <si>
    <t>Q0435-CP05</t>
  </si>
  <si>
    <t>Q0435-CP06</t>
  </si>
  <si>
    <t>Q0435-CP07</t>
  </si>
  <si>
    <t>Q0435-CP08</t>
  </si>
  <si>
    <t>Q0435-CP09</t>
  </si>
  <si>
    <t>Q0435-CP10</t>
  </si>
  <si>
    <t>Q0436-CP01</t>
  </si>
  <si>
    <t>Q0436-CP02</t>
  </si>
  <si>
    <t>Q0436-CP03</t>
  </si>
  <si>
    <t>Q0436-CP04</t>
  </si>
  <si>
    <t>Q0436-CP05</t>
  </si>
  <si>
    <t>Q0436-CP06</t>
  </si>
  <si>
    <t>Q0436-CP07</t>
  </si>
  <si>
    <t>Q0436-CP08</t>
  </si>
  <si>
    <t>Q0436-CP09</t>
  </si>
  <si>
    <t>Q0436-CP10</t>
  </si>
  <si>
    <t>Q0436-CP11</t>
  </si>
  <si>
    <t>Q0437-CP01</t>
  </si>
  <si>
    <t>Q0437-CP02</t>
  </si>
  <si>
    <t>Q0437-CP03</t>
  </si>
  <si>
    <t>Q0437-CP04</t>
  </si>
  <si>
    <t>Q0437-CP05</t>
  </si>
  <si>
    <t>Q0437-CP06</t>
  </si>
  <si>
    <t>Q0437-CP07</t>
  </si>
  <si>
    <t>Q0437-CP08</t>
  </si>
  <si>
    <t>Q0437-CP09</t>
  </si>
  <si>
    <t>Q0437-CP10</t>
  </si>
  <si>
    <t>Q0438-CP01</t>
  </si>
  <si>
    <t>Q0438-CP02</t>
  </si>
  <si>
    <t>Q0438-CP03</t>
  </si>
  <si>
    <t>Q0438-CP04</t>
  </si>
  <si>
    <t>Q0438-CP05</t>
  </si>
  <si>
    <t>Q0438-CP06</t>
  </si>
  <si>
    <t>Q0438-CP07</t>
  </si>
  <si>
    <t>Q0438-CP08</t>
  </si>
  <si>
    <t>Q0438-CP09</t>
  </si>
  <si>
    <t>Q0438-CP10</t>
  </si>
  <si>
    <t>Q0438-CP11</t>
  </si>
  <si>
    <t>Q0438-CP12</t>
  </si>
  <si>
    <t>Q0439-CP01</t>
  </si>
  <si>
    <t>Q0439-CP02</t>
  </si>
  <si>
    <t>Q0439-CP03</t>
  </si>
  <si>
    <t>Q0439-CP04</t>
  </si>
  <si>
    <t>Q0439-CP05</t>
  </si>
  <si>
    <t>Q0439-CP06</t>
  </si>
  <si>
    <t>Q0440-CP01</t>
  </si>
  <si>
    <t>Q0440-CP02</t>
  </si>
  <si>
    <t>Q0440-CP03</t>
  </si>
  <si>
    <t>Q0440-CP04</t>
  </si>
  <si>
    <t>Q0440-CP05</t>
  </si>
  <si>
    <t>Q0440-CP06</t>
  </si>
  <si>
    <t>Q0440-CP07</t>
  </si>
  <si>
    <t>Q0440-CP08</t>
  </si>
  <si>
    <t>Q0440-CP09</t>
  </si>
  <si>
    <t>Q0440-CP10</t>
  </si>
  <si>
    <t>Q0440-CP11</t>
  </si>
  <si>
    <t>Q0440-CP12</t>
  </si>
  <si>
    <t>Q0441-CP01</t>
  </si>
  <si>
    <t>Q0441-CP02</t>
  </si>
  <si>
    <t>Q0441-CP03</t>
  </si>
  <si>
    <t>Q0441-CP04</t>
  </si>
  <si>
    <t>Q0441-CP05</t>
  </si>
  <si>
    <t>Q0441-CP06</t>
  </si>
  <si>
    <t>Q0441-CP07</t>
  </si>
  <si>
    <t>Q0441-CP08</t>
  </si>
  <si>
    <t>Q0442-CP01</t>
  </si>
  <si>
    <t>Q0442-CP02</t>
  </si>
  <si>
    <t>Q0442-CP03</t>
  </si>
  <si>
    <t>Q0442-CP04</t>
  </si>
  <si>
    <t>Q0442-CP05</t>
  </si>
  <si>
    <t>Q0442-CP06</t>
  </si>
  <si>
    <t>Q0442-CP07</t>
  </si>
  <si>
    <t>Q0442-CP08</t>
  </si>
  <si>
    <t>Q0442-CP09</t>
  </si>
  <si>
    <t>Q0442-CP10</t>
  </si>
  <si>
    <t>Q0442-CP11</t>
  </si>
  <si>
    <t>Q0442-CP12</t>
  </si>
  <si>
    <t>Q0443-CP01</t>
  </si>
  <si>
    <t>Q0443-CP02</t>
  </si>
  <si>
    <t>Q0443-CP03</t>
  </si>
  <si>
    <t>Q0443-CP04</t>
  </si>
  <si>
    <t>Q0443-CP05</t>
  </si>
  <si>
    <t>Q0443-CP06</t>
  </si>
  <si>
    <t>Q0443-CP07</t>
  </si>
  <si>
    <t>Q0443-CP08</t>
  </si>
  <si>
    <t>Q0444-CP01</t>
  </si>
  <si>
    <t>Q0444-CP02</t>
  </si>
  <si>
    <t>Q0444-CP03</t>
  </si>
  <si>
    <t>Q0444-CP04</t>
  </si>
  <si>
    <t>Q0444-CP05</t>
  </si>
  <si>
    <t>Q0444-CP06</t>
  </si>
  <si>
    <t>Q0444-CP07</t>
  </si>
  <si>
    <t>Q0445-CP01</t>
  </si>
  <si>
    <t>Q0445-CP02</t>
  </si>
  <si>
    <t>Q0445-CP03</t>
  </si>
  <si>
    <t>Q0445-CP04</t>
  </si>
  <si>
    <t>Q0445-CP05</t>
  </si>
  <si>
    <t>Q0445-CP06</t>
  </si>
  <si>
    <t>Q0445-CP07</t>
  </si>
  <si>
    <t>Q0446-CP01</t>
  </si>
  <si>
    <t>Q0446-CP02</t>
  </si>
  <si>
    <t>Q0446-CP03</t>
  </si>
  <si>
    <t>Q0446-CP04</t>
  </si>
  <si>
    <t>Q0446-CP05</t>
  </si>
  <si>
    <t>Q0446-CP06</t>
  </si>
  <si>
    <t>Q0447-CP01</t>
  </si>
  <si>
    <t>Q0447-CP02</t>
  </si>
  <si>
    <t>Q0447-CP03</t>
  </si>
  <si>
    <t>Q0447-CP04</t>
  </si>
  <si>
    <t>Q0447-CP05</t>
  </si>
  <si>
    <t>Q0447-CP06</t>
  </si>
  <si>
    <t>Q0447-CP07</t>
  </si>
  <si>
    <t>Q0447-CP08</t>
  </si>
  <si>
    <t>Q0447-CP09</t>
  </si>
  <si>
    <t>Q0447-CP10</t>
  </si>
  <si>
    <t>Q0448-CP01</t>
  </si>
  <si>
    <t>Q0448-CP02</t>
  </si>
  <si>
    <t>Q0448-CP03</t>
  </si>
  <si>
    <t>Q0448-CP04</t>
  </si>
  <si>
    <t>Q0448-CP05</t>
  </si>
  <si>
    <t>Q0448-CP06</t>
  </si>
  <si>
    <t>2–12点</t>
  </si>
  <si>
    <t>V6唯一映射</t>
  </si>
  <si>
    <t>题内标签不重复</t>
  </si>
  <si>
    <t>声音要求已移除</t>
  </si>
  <si>
    <t>最低成功线可执行</t>
  </si>
  <si>
    <t>抽检建议</t>
  </si>
  <si>
    <t>通过</t>
  </si>
  <si>
    <t>常规抽检</t>
  </si>
  <si>
    <t>复杂题：建议全检</t>
  </si>
  <si>
    <t>能力描述</t>
  </si>
  <si>
    <t>准确识别主体、动作、场景和基础视觉要求。</t>
  </si>
  <si>
    <t>D01.01.02</t>
  </si>
  <si>
    <t>长尾与专业概念理解</t>
  </si>
  <si>
    <t>理解低频实体、专业器械、历史物件和影视术语。</t>
  </si>
  <si>
    <t>执行“不出现、不要变化、保持静止”等排除条件。</t>
  </si>
  <si>
    <t>D01.01.04</t>
  </si>
  <si>
    <t>指代与角色消歧</t>
  </si>
  <si>
    <t>正确解析前者/后者、左侧人物和同一对象等指代。</t>
  </si>
  <si>
    <t>D01.02.01</t>
  </si>
  <si>
    <t>多条件组合遵循</t>
  </si>
  <si>
    <t>同时满足多个主体、属性、动作、场景、镜头和风格条件。</t>
  </si>
  <si>
    <t>执行带阶段、时间词或分段描述的动作计划。</t>
  </si>
  <si>
    <t>在短提示未写全时补出合理运动、环境细节和视觉连续性。</t>
  </si>
  <si>
    <t>生成真实五官、皮肤、毛发和完整人体结构。</t>
  </si>
  <si>
    <t>稳定生成动漫、卡通、游戏和CG人物结构。</t>
  </si>
  <si>
    <t>覆盖年龄、体型、服饰、辅助器具和非典型身体特征。</t>
  </si>
  <si>
    <t>生成不同物种的骨骼、外形、表皮和关键器官。</t>
  </si>
  <si>
    <t>准确生成常见物体、家具、器皿、家电和食品结构。</t>
  </si>
  <si>
    <t>生成车辆、列车、飞机、船和工程机械的稳定刚体结构。</t>
  </si>
  <si>
    <t>生成符合用途和空间常识的室内布局。</t>
  </si>
  <si>
    <t>生成具有尺度、透视和环境层次的自然或城市大场景。</t>
  </si>
  <si>
    <t>生成时代化、幻想化或非现实但内部一致的空间。</t>
  </si>
  <si>
    <t>保持五官比例、皮肤细节和人物身份在运动中稳定。</t>
  </si>
  <si>
    <t>生成连续表情变化、眨眼、凝视转移和头部姿态。</t>
  </si>
  <si>
    <t>生成可见口型、咀嚼吹气及手或工具接触面部的连续动作；不评价声音。</t>
  </si>
  <si>
    <t>保持手指数量、关节、掌背朝向和单手姿态合理。</t>
  </si>
  <si>
    <t>保持左右手结构并完成双手相互配合或对称动作。</t>
  </si>
  <si>
    <t>准确处理手指、工具与小物体之间的抓握和接触。</t>
  </si>
  <si>
    <t>在不同景别和姿态下保持头身比、四肢长度及关节连接合理。</t>
  </si>
  <si>
    <t>保持站、坐、蹲、单脚支撑等姿势的重心和身体稳定。</t>
  </si>
  <si>
    <t>生成完整步态周期、跑动、转身、加速和急停。</t>
  </si>
  <si>
    <t>根据坡度、台阶和障碍调整抬腿、步幅、支撑和身体姿态。</t>
  </si>
  <si>
    <t>生成挥手、指引、庆祝等上肢动作及躯干联动。</t>
  </si>
  <si>
    <t>表现发力、负重、推拉、抬举和搬运中的姿态与受力。</t>
  </si>
  <si>
    <t>生成高速、规则化、器械或场地约束明确的竞技动作。</t>
  </si>
  <si>
    <t>生成连续舞步、节拍、旋转和编排段落中的全身协调。</t>
  </si>
  <si>
    <t>处理腾空、倒立、翻滚、自遮挡和极端关节姿态。</t>
  </si>
  <si>
    <t>生成失衡、碰撞、跌倒、翻滚和重新起身的连续动力过程。</t>
  </si>
  <si>
    <t>人体运动时保持衣物、头发和配饰的惯性、遮挡和连接关系。</t>
  </si>
  <si>
    <t>稳定生成2至5个主要主体并保持个体可分辨。</t>
  </si>
  <si>
    <t>D05.01.02</t>
  </si>
  <si>
    <t>六至十主体稳定生成</t>
  </si>
  <si>
    <t>稳定承载中等规模主要主体并减少持续增减。</t>
  </si>
  <si>
    <t>生成10人以上人群，并区分前景主角与背景群体。</t>
  </si>
  <si>
    <t>不同主体同时执行不同动作、速度和轨迹。</t>
  </si>
  <si>
    <t>多人按相位同步动作并维持或改变队形。</t>
  </si>
  <si>
    <t>生成分工、传递、跑位、配合或对抗中的组织关系。</t>
  </si>
  <si>
    <t>在遮挡和交叉运动中保持角色、服装、阵营和道具归属。</t>
  </si>
  <si>
    <t>符合不同骨骼结构地生成四足、爬行和小型动物运动。</t>
  </si>
  <si>
    <t>生成振翅、滑翔、盘旋、起飞和降落过程。</t>
  </si>
  <si>
    <t>生成鱼鳍摆动、躯干波动和软体水生生物形变。</t>
  </si>
  <si>
    <t>生成兽群、鸟群、鱼群的聚散、避碰和捕食育幼关系。</t>
  </si>
  <si>
    <t>保持刚体结构并正确表现轮轴、翼面、关节和动力部件。</t>
  </si>
  <si>
    <t>生成风场、重力或生长驱动的植物和自然对象变化。</t>
  </si>
  <si>
    <t>完成人体与物体之间的抓取、放置、装入、取出和倾倒。</t>
  </si>
  <si>
    <t>根据工具功能生成切割、敲击、打磨、拧紧和修理。</t>
  </si>
  <si>
    <t>生成多阶段食材处理、加热、混合和装盘过程。</t>
  </si>
  <si>
    <t>生成手脚与复杂器械的节律、控制和精细接触。</t>
  </si>
  <si>
    <t>在无接触条件下建立面对、凝视、手势和共同关注关系。</t>
  </si>
  <si>
    <t>完成人际递物、握手、牵手、拍肩等接触转换。</t>
  </si>
  <si>
    <t>表现拥抱、托举、搬运、搀扶和摔跤中的共同受力。</t>
  </si>
  <si>
    <t>生成攻防意图、武器轨迹、命中反馈和连续对抗动作。</t>
  </si>
  <si>
    <t>保持人与载具、动物或水雪泥等环境介质的接触和控制关系。</t>
  </si>
  <si>
    <t>按提示生成指定数量的主要主体，并在视频中保持数量。</t>
  </si>
  <si>
    <t>D08.01.02</t>
  </si>
  <si>
    <t>颜色材质与外观绑定</t>
  </si>
  <si>
    <t>把颜色、服装、材质和外观特征绑定到正确主体。</t>
  </si>
  <si>
    <t>D08.01.03</t>
  </si>
  <si>
    <t>动作与角色绑定</t>
  </si>
  <si>
    <t>让不同主体分别执行指定动作而不串位。</t>
  </si>
  <si>
    <t>D08.01.04</t>
  </si>
  <si>
    <t>道具与所有者绑定</t>
  </si>
  <si>
    <t>保持谁拿什么、物体传给谁以及使用权的连续变化。</t>
  </si>
  <si>
    <t>D08.02.01</t>
  </si>
  <si>
    <t>位置遮挡与相对空间关系</t>
  </si>
  <si>
    <t>C22</t>
  </si>
  <si>
    <t>空间朝向尺度与遮挡关系</t>
  </si>
  <si>
    <t>执行左右、前后、上下、内外、相邻、包围及遮挡关系。</t>
  </si>
  <si>
    <t>D08.02.02</t>
  </si>
  <si>
    <t>朝向视线与尺度透视</t>
  </si>
  <si>
    <t>控制面对、背向、看向，以及主体间的尺度和透视关系。</t>
  </si>
  <si>
    <t>表现下落、承托、站立和物体支撑中的重力关系。</t>
  </si>
  <si>
    <t>生成碰撞、受击、反弹和动量传递的可见反馈。</t>
  </si>
  <si>
    <t>保持轨迹、旋转、摩擦和弹跳阶段连续。</t>
  </si>
  <si>
    <t>生成柔性材料的弯折、拉伸、缠绕、回弹和边界约束。</t>
  </si>
  <si>
    <t>生成倾倒、飞溅、波浪、浮沉及液体受容器限制。</t>
  </si>
  <si>
    <t>生成烟雾、火焰、粉尘、沙雪和碎屑的扩散与聚散。</t>
  </si>
  <si>
    <t>生成从完整到开裂、破碎、坍塌的连续过程和碎片结果。</t>
  </si>
  <si>
    <t>保持融化、冻结、燃烧、生长等过程的方向和终态。</t>
  </si>
  <si>
    <t>保持镜像、阴影、折射，以及操作导致合理结果的世界常识。</t>
  </si>
  <si>
    <t>区分完全静止、轻微运动、慢速、快速和加减速。</t>
  </si>
  <si>
    <t>保持步态、振翅、机械循环等周期运动相位连续。</t>
  </si>
  <si>
    <t>按先后关系完成动作链，并让前一步结果进入后一步。</t>
  </si>
  <si>
    <t>让多个事件同时发生、在指定时刻发生或保持相位同步。</t>
  </si>
  <si>
    <t>保持人物脸、服装、物体形状、数量、颜色和材质跨帧稳定。</t>
  </si>
  <si>
    <t>保持运动轨迹、接触关系、背景布局及遮挡后再出现的一致性。</t>
  </si>
  <si>
    <t>控制相机保持静止或仅做水平/垂直旋转。</t>
  </si>
  <si>
    <t>控制相机横移、升降和沿视轴接近或远离主体。</t>
  </si>
  <si>
    <t>区分光学变焦与相机位移，并控制焦点从一对象转向另一对象。</t>
  </si>
  <si>
    <t>相机跟随移动主体并保持主体位置、尺度和可见性。</t>
  </si>
  <si>
    <t>围绕主体产生连续视差和多侧面观察。</t>
  </si>
  <si>
    <t>组合平移、旋转、升降或第一人称路径形成复杂轨迹。</t>
  </si>
  <si>
    <t>执行依赖特殊摄影或后期机制的低频镜头语言。</t>
  </si>
  <si>
    <t>控制中心、三分、对称、负空间及前中后景层次。</t>
  </si>
  <si>
    <t>表现日光、阴天、日出日落、窗光、三点光和霓虹等光源。</t>
  </si>
  <si>
    <t>控制高低调、明暗对比、冷暖、饱和度和动态范围。</t>
  </si>
  <si>
    <t>准确表现金属、玻璃、陶瓷、冰和镜面材料的反射折射。</t>
  </si>
  <si>
    <t>表现织物、毛绒、皮肤、毛发、羽毛及移动阴影和火光反馈。</t>
  </si>
  <si>
    <t>生成电影级、纪录片、手机、Vlog和家庭录像等写实摄影域。</t>
  </si>
  <si>
    <t>生成油画、水彩、水墨、素描、动漫、漫画和矢量图形的连续动态。</t>
  </si>
  <si>
    <t>生成卡通CG、游戏渲染、低多边形、黏土、木偶和剪纸等媒介。</t>
  </si>
  <si>
    <t>表现科幻、奇幻、历史地域等类型风格并保持跨帧跨镜头一致。</t>
  </si>
  <si>
    <t>生成简短可读文字并使其稳定附着在招牌、衣服或物体表面。</t>
  </si>
  <si>
    <t>生成菜单、段落、字幕式排版以及书写、打字、擦除和数字更新。</t>
  </si>
  <si>
    <t>生成图表、公式、地图、Logo、手机网页和HUD，并表现界面反馈。</t>
  </si>
  <si>
    <t>在不切镜条件下维持长时间动作、空间和运镜连续。</t>
  </si>
  <si>
    <t>按要求生成双镜头或多镜头结构及硬切、淡入、匹配等转场。</t>
  </si>
  <si>
    <t>保持人物、服装、道具、场景、光照和动作在切镜后承接。</t>
  </si>
  <si>
    <t>在短视频内完成目标、行动、结果构成的可读因果链。</t>
  </si>
  <si>
    <t>生成粒子、能量、魔法、材质变换、空间扭曲和大型奇观的连续过程。</t>
  </si>
  <si>
    <t>纯T2V V6检查点拆解｜覆盖统计</t>
  </si>
  <si>
    <t>统计指标</t>
  </si>
  <si>
    <t>结果</t>
  </si>
  <si>
    <t>题目总数</t>
  </si>
  <si>
    <t>检查点总数</t>
  </si>
  <si>
    <t>核心能力覆盖</t>
  </si>
  <si>
    <t>三级标签覆盖</t>
  </si>
  <si>
    <t>未覆盖三级标签数</t>
  </si>
  <si>
    <t>统计口径</t>
  </si>
  <si>
    <t>题目覆盖数＝至少包含1个对应能力/标签检查点的去重题目数；检查点数＝实际原子计分单元数。覆盖率只描述当前题库分布，不代表能力权重已经均衡，也不替代题目质量审查。三级标签按V6全部100项列示，0即为明确缺口。</t>
  </si>
  <si>
    <t>独立核对结果</t>
  </si>
  <si>
    <t>数值</t>
  </si>
  <si>
    <t>JS去重题目数</t>
  </si>
  <si>
    <t>JS检查点数</t>
  </si>
  <si>
    <t>题目覆盖数</t>
  </si>
  <si>
    <t>题目覆盖率</t>
  </si>
  <si>
    <t>检查点占比</t>
  </si>
  <si>
    <t>已覆盖三级标签</t>
  </si>
  <si>
    <t>三级标签总数</t>
  </si>
  <si>
    <t>标签覆盖率</t>
  </si>
  <si>
    <t>每覆盖题检查点数</t>
  </si>
  <si>
    <t>覆盖状态</t>
  </si>
  <si>
    <t>能力-题目首次出现</t>
  </si>
  <si>
    <t>标签-题目首次出现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</si>
</sst>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0">
    <font>
      <sz val="11"/>
      <name val="Carlito"/>
      <charset val="134"/>
    </font>
    <font>
      <b/>
      <sz val="11"/>
      <color rgb="FFFFFFFF"/>
      <name val="Carlito"/>
      <charset val="134"/>
    </font>
    <font>
      <b/>
      <sz val="16"/>
      <color rgb="FFFFFFFF"/>
      <name val="Carlito"/>
      <charset val="134"/>
    </font>
    <font>
      <b/>
      <sz val="11"/>
      <color rgb="FF17324D"/>
      <name val="Carlito"/>
      <charset val="134"/>
    </font>
    <font>
      <sz val="11"/>
      <color rgb="FF17324D"/>
      <name val="Carlito"/>
      <charset val="134"/>
    </font>
    <font>
      <b/>
      <sz val="10"/>
      <color rgb="FFFFFFFF"/>
      <name val="Aptos"/>
      <charset val="134"/>
    </font>
    <font>
      <sz val="10"/>
      <name val="Aptos"/>
      <charset val="134"/>
    </font>
    <font>
      <b/>
      <sz val="18"/>
      <color rgb="FFFFFFFF"/>
      <name val="Aptos Display"/>
      <charset val="134"/>
    </font>
    <font>
      <b/>
      <sz val="11"/>
      <color rgb="FF17365D"/>
      <name val="Carlito"/>
      <charset val="134"/>
    </font>
    <font>
      <sz val="11"/>
      <color rgb="FF40404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0E5A73"/>
        <bgColor indexed="64"/>
      </patternFill>
    </fill>
    <fill>
      <patternFill patternType="solid">
        <fgColor rgb="FFD9EAF4"/>
        <bgColor indexed="64"/>
      </patternFill>
    </fill>
    <fill>
      <patternFill patternType="solid">
        <fgColor rgb="FFF4F8FB"/>
        <bgColor indexed="64"/>
      </patternFill>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5B9BD5"/>
        <bgColor indexed="64"/>
      </patternFill>
    </fill>
    <fill>
      <patternFill patternType="solid">
        <fgColor rgb="FFF3F6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style="thin">
        <color rgb="FFB7D3E3"/>
      </right>
      <top/>
      <bottom style="thin">
        <color rgb="FFB7D3E3"/>
      </bottom>
      <diagonal/>
    </border>
    <border>
      <left style="thin">
        <color rgb="FFB7D3E3"/>
      </left>
      <right style="thin">
        <color rgb="FFB7D3E3"/>
      </right>
      <top/>
      <bottom style="thin">
        <color rgb="FFB7D3E3"/>
      </bottom>
      <diagonal/>
    </border>
    <border>
      <left style="thin">
        <color rgb="FFB7D3E3"/>
      </left>
      <right/>
      <top/>
      <bottom style="thin">
        <color rgb="FFB7D3E3"/>
      </bottom>
      <diagonal/>
    </border>
    <border>
      <left/>
      <right style="thin">
        <color rgb="FFB7D3E3"/>
      </right>
      <top style="thin">
        <color rgb="FFB7D3E3"/>
      </top>
      <bottom style="thin">
        <color rgb="FFB7D3E3"/>
      </bottom>
      <diagonal/>
    </border>
    <border>
      <left style="thin">
        <color rgb="FFB7D3E3"/>
      </left>
      <right style="thin">
        <color rgb="FFB7D3E3"/>
      </right>
      <top style="thin">
        <color rgb="FFB7D3E3"/>
      </top>
      <bottom style="thin">
        <color rgb="FFB7D3E3"/>
      </bottom>
      <diagonal/>
    </border>
    <border>
      <left style="thin">
        <color rgb="FFB7D3E3"/>
      </left>
      <right/>
      <top style="thin">
        <color rgb="FFB7D3E3"/>
      </top>
      <bottom style="thin">
        <color rgb="FFB7D3E3"/>
      </bottom>
      <diagonal/>
    </border>
    <border>
      <left/>
      <right style="thin">
        <color rgb="FFB7D3E3"/>
      </right>
      <top style="thin">
        <color rgb="FFB7D3E3"/>
      </top>
      <bottom/>
      <diagonal/>
    </border>
    <border>
      <left style="thin">
        <color rgb="FFB7D3E3"/>
      </left>
      <right style="thin">
        <color rgb="FFB7D3E3"/>
      </right>
      <top style="thin">
        <color rgb="FFB7D3E3"/>
      </top>
      <bottom/>
      <diagonal/>
    </border>
    <border>
      <left style="thin">
        <color rgb="FFB7D3E3"/>
      </left>
      <right/>
      <top style="thin">
        <color rgb="FFB7D3E3"/>
      </top>
      <bottom/>
      <diagonal/>
    </border>
    <border>
      <left/>
      <right/>
      <top style="thin">
        <color rgb="FFB7D3E3"/>
      </top>
      <bottom/>
      <diagonal/>
    </border>
    <border>
      <left style="thin">
        <color rgb="FFB7D3E3"/>
      </left>
      <right/>
      <top/>
      <bottom/>
      <diagonal/>
    </border>
    <border>
      <left/>
      <right style="thin">
        <color rgb="FFB7D3E3"/>
      </right>
      <top/>
      <bottom/>
      <diagonal/>
    </border>
    <border>
      <left/>
      <right/>
      <top/>
      <bottom style="thin">
        <color rgb="FFB7D3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10" borderId="1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5" applyNumberFormat="0" applyFill="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11" borderId="17" applyNumberFormat="0" applyAlignment="0" applyProtection="0">
      <alignment vertical="center"/>
    </xf>
    <xf numFmtId="0" fontId="20" fillId="12" borderId="18" applyNumberFormat="0" applyAlignment="0" applyProtection="0">
      <alignment vertical="center"/>
    </xf>
    <xf numFmtId="0" fontId="21" fillId="12" borderId="17" applyNumberFormat="0" applyAlignment="0" applyProtection="0">
      <alignment vertical="center"/>
    </xf>
    <xf numFmtId="0" fontId="22" fillId="13" borderId="19" applyNumberFormat="0" applyAlignment="0" applyProtection="0">
      <alignment vertical="center"/>
    </xf>
    <xf numFmtId="0" fontId="23" fillId="0" borderId="20" applyNumberFormat="0" applyFill="0" applyAlignment="0" applyProtection="0">
      <alignment vertical="center"/>
    </xf>
    <xf numFmtId="0" fontId="24" fillId="0" borderId="21"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0" fillId="0" borderId="0"/>
  </cellStyleXfs>
  <cellXfs count="55">
    <xf numFmtId="0" fontId="0" fillId="0" borderId="0" xfId="49"/>
    <xf numFmtId="0" fontId="1" fillId="2" borderId="0" xfId="49" applyNumberFormat="1" applyFont="1" applyFill="1" applyBorder="1" applyAlignment="1">
      <alignment horizontal="center" wrapText="1"/>
    </xf>
    <xf numFmtId="1" fontId="0" fillId="0" borderId="0" xfId="49" applyNumberFormat="1" applyFont="1" applyFill="1" applyBorder="1"/>
    <xf numFmtId="0" fontId="0" fillId="0" borderId="1" xfId="49" applyNumberFormat="1" applyFont="1" applyFill="1" applyBorder="1" applyAlignment="1">
      <alignment vertical="center"/>
    </xf>
    <xf numFmtId="0" fontId="0" fillId="0" borderId="2" xfId="49" applyNumberFormat="1" applyFont="1" applyFill="1" applyBorder="1" applyAlignment="1">
      <alignment vertical="center" wrapText="1"/>
    </xf>
    <xf numFmtId="0" fontId="0" fillId="0" borderId="2" xfId="49" applyNumberFormat="1" applyFont="1" applyFill="1" applyBorder="1" applyAlignment="1">
      <alignment vertical="center"/>
    </xf>
    <xf numFmtId="3" fontId="0" fillId="0" borderId="2" xfId="49" applyNumberFormat="1" applyFont="1" applyFill="1" applyBorder="1" applyAlignment="1">
      <alignment vertical="center"/>
    </xf>
    <xf numFmtId="176" fontId="0" fillId="0" borderId="2" xfId="49" applyNumberFormat="1" applyFont="1" applyFill="1" applyBorder="1" applyAlignment="1">
      <alignment vertical="center"/>
    </xf>
    <xf numFmtId="0" fontId="0" fillId="0" borderId="3" xfId="49" applyNumberFormat="1" applyFont="1" applyFill="1" applyBorder="1" applyAlignment="1">
      <alignment vertical="center"/>
    </xf>
    <xf numFmtId="0" fontId="0" fillId="0" borderId="4" xfId="49" applyNumberFormat="1" applyFont="1" applyFill="1" applyBorder="1" applyAlignment="1">
      <alignment vertical="center"/>
    </xf>
    <xf numFmtId="0" fontId="0" fillId="0" borderId="5" xfId="49" applyNumberFormat="1" applyFont="1" applyFill="1" applyBorder="1" applyAlignment="1">
      <alignment vertical="center" wrapText="1"/>
    </xf>
    <xf numFmtId="0" fontId="0" fillId="0" borderId="5" xfId="49" applyNumberFormat="1" applyFont="1" applyFill="1" applyBorder="1" applyAlignment="1">
      <alignment vertical="center"/>
    </xf>
    <xf numFmtId="3" fontId="0" fillId="0" borderId="5" xfId="49" applyNumberFormat="1" applyFont="1" applyFill="1" applyBorder="1" applyAlignment="1">
      <alignment vertical="center"/>
    </xf>
    <xf numFmtId="176" fontId="0" fillId="0" borderId="5" xfId="49" applyNumberFormat="1" applyFont="1" applyFill="1" applyBorder="1" applyAlignment="1">
      <alignment vertical="center"/>
    </xf>
    <xf numFmtId="0" fontId="0" fillId="0" borderId="6" xfId="49" applyNumberFormat="1" applyFont="1" applyFill="1" applyBorder="1" applyAlignment="1">
      <alignment vertical="center"/>
    </xf>
    <xf numFmtId="0" fontId="0" fillId="0" borderId="7" xfId="49" applyNumberFormat="1" applyFont="1" applyFill="1" applyBorder="1" applyAlignment="1">
      <alignment vertical="center"/>
    </xf>
    <xf numFmtId="0" fontId="0" fillId="0" borderId="8" xfId="49" applyNumberFormat="1" applyFont="1" applyFill="1" applyBorder="1" applyAlignment="1">
      <alignment vertical="center" wrapText="1"/>
    </xf>
    <xf numFmtId="0" fontId="0" fillId="0" borderId="8" xfId="49" applyNumberFormat="1" applyFont="1" applyFill="1" applyBorder="1" applyAlignment="1">
      <alignment vertical="center"/>
    </xf>
    <xf numFmtId="3" fontId="0" fillId="0" borderId="8" xfId="49" applyNumberFormat="1" applyFont="1" applyFill="1" applyBorder="1" applyAlignment="1">
      <alignment vertical="center"/>
    </xf>
    <xf numFmtId="176" fontId="0" fillId="0" borderId="8" xfId="49" applyNumberFormat="1" applyFont="1" applyFill="1" applyBorder="1" applyAlignment="1">
      <alignment vertical="center"/>
    </xf>
    <xf numFmtId="0" fontId="0" fillId="0" borderId="9" xfId="49" applyNumberFormat="1" applyFont="1" applyFill="1" applyBorder="1" applyAlignment="1">
      <alignment vertical="center"/>
    </xf>
    <xf numFmtId="1" fontId="0" fillId="0" borderId="2" xfId="49" applyNumberFormat="1" applyFont="1" applyFill="1" applyBorder="1" applyAlignment="1">
      <alignment vertical="center"/>
    </xf>
    <xf numFmtId="2" fontId="0" fillId="0" borderId="3" xfId="49" applyNumberFormat="1" applyFont="1" applyFill="1" applyBorder="1" applyAlignment="1">
      <alignment vertical="center"/>
    </xf>
    <xf numFmtId="1" fontId="0" fillId="0" borderId="5" xfId="49" applyNumberFormat="1" applyFont="1" applyFill="1" applyBorder="1" applyAlignment="1">
      <alignment vertical="center"/>
    </xf>
    <xf numFmtId="2" fontId="0" fillId="0" borderId="6" xfId="49" applyNumberFormat="1" applyFont="1" applyFill="1" applyBorder="1" applyAlignment="1">
      <alignment vertical="center"/>
    </xf>
    <xf numFmtId="1" fontId="0" fillId="0" borderId="8" xfId="49" applyNumberFormat="1" applyFont="1" applyFill="1" applyBorder="1" applyAlignment="1">
      <alignment vertical="center"/>
    </xf>
    <xf numFmtId="2" fontId="0" fillId="0" borderId="9" xfId="49" applyNumberFormat="1" applyFont="1" applyFill="1" applyBorder="1" applyAlignment="1">
      <alignment vertical="center"/>
    </xf>
    <xf numFmtId="0" fontId="2" fillId="2" borderId="0" xfId="49" applyNumberFormat="1" applyFont="1" applyFill="1" applyBorder="1" applyAlignment="1">
      <alignment vertical="center"/>
    </xf>
    <xf numFmtId="0" fontId="1" fillId="2" borderId="6" xfId="49" applyNumberFormat="1" applyFont="1" applyFill="1" applyBorder="1"/>
    <xf numFmtId="0" fontId="1" fillId="2" borderId="4" xfId="49" applyNumberFormat="1" applyFont="1" applyFill="1" applyBorder="1"/>
    <xf numFmtId="0" fontId="3" fillId="3" borderId="6" xfId="49" applyNumberFormat="1" applyFont="1" applyFill="1" applyBorder="1"/>
    <xf numFmtId="3" fontId="0" fillId="0" borderId="4" xfId="49" applyNumberFormat="1" applyFont="1" applyFill="1" applyBorder="1"/>
    <xf numFmtId="2" fontId="0" fillId="0" borderId="4" xfId="49" applyNumberFormat="1" applyFont="1" applyFill="1" applyBorder="1"/>
    <xf numFmtId="0" fontId="0" fillId="0" borderId="4" xfId="49" applyNumberFormat="1" applyFont="1" applyFill="1" applyBorder="1"/>
    <xf numFmtId="0" fontId="3" fillId="3" borderId="9" xfId="49" applyNumberFormat="1" applyFont="1" applyFill="1" applyBorder="1"/>
    <xf numFmtId="0" fontId="3" fillId="3" borderId="10" xfId="49" applyNumberFormat="1" applyFont="1" applyFill="1" applyBorder="1"/>
    <xf numFmtId="0" fontId="3" fillId="3" borderId="7" xfId="49" applyNumberFormat="1" applyFont="1" applyFill="1" applyBorder="1"/>
    <xf numFmtId="0" fontId="4" fillId="4" borderId="11" xfId="49" applyNumberFormat="1" applyFont="1" applyFill="1" applyBorder="1" applyAlignment="1">
      <alignment vertical="top" wrapText="1"/>
    </xf>
    <xf numFmtId="0" fontId="4" fillId="4" borderId="0" xfId="49" applyNumberFormat="1" applyFont="1" applyFill="1" applyAlignment="1">
      <alignment vertical="top" wrapText="1"/>
    </xf>
    <xf numFmtId="0" fontId="4" fillId="4" borderId="12" xfId="49" applyNumberFormat="1" applyFont="1" applyFill="1" applyBorder="1" applyAlignment="1">
      <alignment vertical="top" wrapText="1"/>
    </xf>
    <xf numFmtId="0" fontId="4" fillId="4" borderId="3" xfId="49" applyNumberFormat="1" applyFont="1" applyFill="1" applyBorder="1" applyAlignment="1">
      <alignment vertical="top" wrapText="1"/>
    </xf>
    <xf numFmtId="0" fontId="4" fillId="4" borderId="13" xfId="49" applyNumberFormat="1" applyFont="1" applyFill="1" applyBorder="1" applyAlignment="1">
      <alignment vertical="top" wrapText="1"/>
    </xf>
    <xf numFmtId="0" fontId="4" fillId="4" borderId="1" xfId="49" applyNumberFormat="1" applyFont="1" applyFill="1" applyBorder="1" applyAlignment="1">
      <alignment vertical="top" wrapText="1"/>
    </xf>
    <xf numFmtId="0" fontId="1" fillId="2" borderId="5" xfId="49" applyNumberFormat="1" applyFont="1" applyFill="1" applyBorder="1"/>
    <xf numFmtId="0" fontId="3" fillId="3" borderId="5" xfId="49" applyNumberFormat="1" applyFont="1" applyFill="1" applyBorder="1"/>
    <xf numFmtId="0" fontId="0" fillId="0" borderId="5" xfId="49" applyNumberFormat="1" applyFont="1" applyFill="1" applyBorder="1"/>
    <xf numFmtId="0" fontId="5" fillId="5" borderId="0" xfId="49" applyNumberFormat="1" applyFont="1" applyFill="1" applyBorder="1" applyAlignment="1">
      <alignment vertical="top" wrapText="1"/>
    </xf>
    <xf numFmtId="0" fontId="6" fillId="0" borderId="0" xfId="49" applyNumberFormat="1" applyFont="1" applyFill="1" applyBorder="1" applyAlignment="1">
      <alignment vertical="top" wrapText="1"/>
    </xf>
    <xf numFmtId="0" fontId="6" fillId="0" borderId="0" xfId="49" applyNumberFormat="1" applyFont="1" applyFill="1" applyBorder="1" applyAlignment="1">
      <alignment horizontal="center" vertical="top" wrapText="1"/>
    </xf>
    <xf numFmtId="0" fontId="7" fillId="6" borderId="0" xfId="49" applyNumberFormat="1" applyFont="1" applyFill="1" applyBorder="1" applyAlignment="1">
      <alignment horizontal="left" vertical="center"/>
    </xf>
    <xf numFmtId="0" fontId="8" fillId="7" borderId="0" xfId="49" applyNumberFormat="1" applyFont="1" applyFill="1" applyBorder="1" applyAlignment="1">
      <alignment wrapText="1"/>
    </xf>
    <xf numFmtId="0" fontId="0" fillId="0" borderId="0" xfId="49" applyNumberFormat="1" applyFont="1" applyFill="1" applyBorder="1" applyAlignment="1">
      <alignment horizontal="left" wrapText="1"/>
    </xf>
    <xf numFmtId="2" fontId="0" fillId="0" borderId="0" xfId="49" applyNumberFormat="1" applyFont="1" applyFill="1" applyBorder="1" applyAlignment="1">
      <alignment horizontal="left" wrapText="1"/>
    </xf>
    <xf numFmtId="0" fontId="1" fillId="8" borderId="0" xfId="49" applyNumberFormat="1" applyFont="1" applyFill="1" applyBorder="1"/>
    <xf numFmtId="0" fontId="9" fillId="9"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ont>
        <b val="1"/>
        <color rgb="FFC00000"/>
      </font>
      <fill>
        <patternFill patternType="solid">
          <bgColor rgb="FFFCE4D6"/>
        </patternFill>
      </fill>
    </dxf>
    <dxf>
      <font>
        <color rgb="FF375623"/>
      </font>
      <fill>
        <patternFill patternType="solid">
          <bgColor rgb="FFE2F0D9"/>
        </patternFill>
      </fill>
    </dxf>
    <dxf>
      <fill>
        <patternFill patternType="solid">
          <bgColor rgb="FFF4F8FB"/>
        </patternFill>
      </fill>
    </dxf>
    <dxf>
      <font>
        <b val="1"/>
        <color rgb="FF9C0006"/>
      </font>
      <fill>
        <patternFill patternType="solid">
          <bgColor rgb="FFFCE4D6"/>
        </patternFill>
      </fill>
    </dxf>
    <dxf>
      <font>
        <color rgb="FF006100"/>
      </font>
      <fill>
        <patternFill patternType="solid">
          <bgColor rgb="FFE2F0D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customXml/item1.xml" Type="http://schemas.openxmlformats.org/officeDocument/2006/relationships/customXml"/><Relationship Id="rId13" Target="../customXml/item2.xml" Type="http://schemas.openxmlformats.org/officeDocument/2006/relationships/customXml"/><Relationship Id="rId14" Target="../customXml/item3.xml" Type="http://schemas.openxmlformats.org/officeDocument/2006/relationships/customXml"/><Relationship Id="rId15"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30项核心能力检查点分布</a:t>
            </a:r>
          </a:p>
        </c:rich>
      </c:tx>
      <c:layout/>
      <c:overlay val="0"/>
    </c:title>
    <c:autoTitleDeleted val="0"/>
    <c:plotArea>
      <c:layout/>
      <c:barChart>
        <c:barDir val="col"/>
        <c:grouping val="none"/>
        <c:varyColors val="0"/>
        <c:ser>
          <c:idx val="0"/>
          <c:order val="0"/>
          <c:tx>
            <c:strRef>
              <c:f>"检查点数"</c:f>
              <c:strCache>
                <c:ptCount val="1"/>
                <c:pt idx="0">
                  <c:v>检查点数</c:v>
                </c:pt>
              </c:strCache>
            </c:strRef>
          </c:tx>
          <c:spPr>
            <a:solidFill>
              <a:srgbClr val="2F75B5"/>
            </a:solidFill>
          </c:spPr>
          <c:invertIfNegative val="0"/>
          <c:dLbls>
            <c:delete val="1"/>
          </c:dLbls>
          <c:cat>
            <c:strRef>
              <c:f>核心能力覆盖!$A$2:$A$31</c:f>
              <c:strCache>
                <c:ptCount val="30"/>
                <c:pt idx="0">
                  <c:v>C01</c:v>
                </c:pt>
                <c:pt idx="1">
                  <c:v>C02</c:v>
                </c:pt>
                <c:pt idx="2">
                  <c:v>C03</c:v>
                </c:pt>
                <c:pt idx="3">
                  <c:v>C04</c:v>
                </c:pt>
                <c:pt idx="4">
                  <c:v>C05</c:v>
                </c:pt>
                <c:pt idx="5">
                  <c:v>C06</c:v>
                </c:pt>
                <c:pt idx="6">
                  <c:v>C07</c:v>
                </c:pt>
                <c:pt idx="7">
                  <c:v>C08</c:v>
                </c:pt>
                <c:pt idx="8">
                  <c:v>C09</c:v>
                </c:pt>
                <c:pt idx="9">
                  <c:v>C10</c:v>
                </c:pt>
                <c:pt idx="10">
                  <c:v>C11</c:v>
                </c:pt>
                <c:pt idx="11">
                  <c:v>C12</c:v>
                </c:pt>
                <c:pt idx="12">
                  <c:v>C13</c:v>
                </c:pt>
                <c:pt idx="13">
                  <c:v>C14</c:v>
                </c:pt>
                <c:pt idx="14">
                  <c:v>C15</c:v>
                </c:pt>
                <c:pt idx="15">
                  <c:v>C16</c:v>
                </c:pt>
                <c:pt idx="16">
                  <c:v>C17</c:v>
                </c:pt>
                <c:pt idx="17">
                  <c:v>C18</c:v>
                </c:pt>
                <c:pt idx="18">
                  <c:v>C19</c:v>
                </c:pt>
                <c:pt idx="19">
                  <c:v>C20</c:v>
                </c:pt>
                <c:pt idx="20">
                  <c:v>C21</c:v>
                </c:pt>
                <c:pt idx="21">
                  <c:v>C22</c:v>
                </c:pt>
                <c:pt idx="22">
                  <c:v>C23</c:v>
                </c:pt>
                <c:pt idx="23">
                  <c:v>C24</c:v>
                </c:pt>
                <c:pt idx="24">
                  <c:v>C25</c:v>
                </c:pt>
                <c:pt idx="25">
                  <c:v>C26</c:v>
                </c:pt>
                <c:pt idx="26">
                  <c:v>C27</c:v>
                </c:pt>
                <c:pt idx="27">
                  <c:v>C28</c:v>
                </c:pt>
                <c:pt idx="28">
                  <c:v>C29</c:v>
                </c:pt>
                <c:pt idx="29">
                  <c:v>C30</c:v>
                </c:pt>
              </c:strCache>
            </c:strRef>
          </c:cat>
          <c:val>
            <c:numRef>
              <c:f>核心能力覆盖!$E$2:$E$31</c:f>
              <c:numCache>
                <c:formatCode>#,##0</c:formatCode>
                <c:ptCount val="30"/>
                <c:pt idx="0">
                  <c:v>15</c:v>
                </c:pt>
                <c:pt idx="1">
                  <c:v>3</c:v>
                </c:pt>
                <c:pt idx="2">
                  <c:v>73</c:v>
                </c:pt>
                <c:pt idx="3">
                  <c:v>154</c:v>
                </c:pt>
                <c:pt idx="4">
                  <c:v>100</c:v>
                </c:pt>
                <c:pt idx="5">
                  <c:v>159</c:v>
                </c:pt>
                <c:pt idx="6">
                  <c:v>8</c:v>
                </c:pt>
                <c:pt idx="7">
                  <c:v>96</c:v>
                </c:pt>
                <c:pt idx="8">
                  <c:v>24</c:v>
                </c:pt>
                <c:pt idx="9">
                  <c:v>10</c:v>
                </c:pt>
                <c:pt idx="10">
                  <c:v>42</c:v>
                </c:pt>
                <c:pt idx="11">
                  <c:v>30</c:v>
                </c:pt>
                <c:pt idx="12">
                  <c:v>8</c:v>
                </c:pt>
                <c:pt idx="13">
                  <c:v>75</c:v>
                </c:pt>
                <c:pt idx="14">
                  <c:v>56</c:v>
                </c:pt>
                <c:pt idx="15">
                  <c:v>13</c:v>
                </c:pt>
                <c:pt idx="16">
                  <c:v>98</c:v>
                </c:pt>
                <c:pt idx="17">
                  <c:v>66</c:v>
                </c:pt>
                <c:pt idx="18">
                  <c:v>20</c:v>
                </c:pt>
                <c:pt idx="19">
                  <c:v>21</c:v>
                </c:pt>
                <c:pt idx="20">
                  <c:v>15</c:v>
                </c:pt>
                <c:pt idx="21">
                  <c:v>0</c:v>
                </c:pt>
                <c:pt idx="22">
                  <c:v>108</c:v>
                </c:pt>
                <c:pt idx="23">
                  <c:v>269</c:v>
                </c:pt>
                <c:pt idx="24">
                  <c:v>233</c:v>
                </c:pt>
                <c:pt idx="25">
                  <c:v>128</c:v>
                </c:pt>
                <c:pt idx="26">
                  <c:v>345</c:v>
                </c:pt>
                <c:pt idx="27">
                  <c:v>426</c:v>
                </c:pt>
                <c:pt idx="28">
                  <c:v>65</c:v>
                </c:pt>
                <c:pt idx="29">
                  <c:v>283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0"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17ca0359-f410-45fd-88f2-6215fb5ed346}"/>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no"?><Relationships xmlns="http://schemas.openxmlformats.org/package/2006/relationships"><Relationship Id="rId1" Target="../charts/chart1.xml" Type="http://schemas.openxmlformats.org/officeDocument/2006/relationships/chart"/></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2</xdr:row>
      <xdr:rowOff>0</xdr:rowOff>
    </xdr:from>
    <xdr:to>
      <xdr:col>10</xdr:col>
      <xdr:colOff>0</xdr:colOff>
      <xdr:row>25</xdr:row>
      <xdr:rowOff>0</xdr:rowOff>
    </xdr:to>
    <xdr:graphicFrame>
      <xdr:nvGraphicFramePr>
        <xdr:cNvPr id="2" name="Chart"/>
        <xdr:cNvGraphicFramePr/>
      </xdr:nvGraphicFramePr>
      <xdr:xfrm>
        <a:off x="2867025" y="561975"/>
        <a:ext cx="6067425" cy="4457700"/>
      </xdr:xfrm>
      <a:graphic>
        <a:graphicData uri="http://schemas.openxmlformats.org/drawingml/2006/chart">
          <c:chart xmlns:c="http://schemas.openxmlformats.org/drawingml/2006/chart" r:id="rId1"/>
        </a:graphicData>
      </a:graphic>
    </xdr:graphicFrame>
    <xdr:clientData/>
  </xdr:twoCellAnchor>
</xdr:wsDr>
</file>

<file path=xl/tables/table1.xml><?xml version="1.0" encoding="utf-8"?>
<table xmlns="http://schemas.openxmlformats.org/spreadsheetml/2006/main" id="1" name="OriginalPromptsTable" displayName="OriginalPromptsTable" ref="A1:E449" totalsRowShown="0">
  <tableColumns count="5">
    <tableColumn id="1" name="题目ID"/>
    <tableColumn id="2" name="原序号"/>
    <tableColumn id="3" name="原Prompt（保留原文）"/>
    <tableColumn id="4" name="语言"/>
    <tableColumn id="5" name="预处理说明"/>
  </tableColumns>
  <tableStyleInfo name="TableStyleMedium2" showFirstColumn="0" showLastColumn="0" showRowStripes="1" showColumnStripes="0"/>
</table>
</file>

<file path=xl/tables/table2.xml><?xml version="1.0" encoding="utf-8"?>
<table xmlns="http://schemas.openxmlformats.org/spreadsheetml/2006/main" id="2" name="CheckpointTable" displayName="CheckpointTable" ref="A1:J2944" totalsRowShown="0">
  <tableColumns count="10">
    <tableColumn id="1" name="题目ID"/>
    <tableColumn id="2" name="检查点ID"/>
    <tableColumn id="3" name="原子检查点"/>
    <tableColumn id="4" name="核心能力ID"/>
    <tableColumn id="5" name="核心能力名称"/>
    <tableColumn id="6" name="三级标签ID"/>
    <tableColumn id="7" name="三级标签名称"/>
    <tableColumn id="8" name="最低成功线"/>
    <tableColumn id="9" name="证据时段（如有）"/>
    <tableColumn id="10" name="预处理说明"/>
  </tableColumns>
  <tableStyleInfo name="TableStyleMedium2" showFirstColumn="0" showLastColumn="0" showRowStripes="1" showColumnStripes="0"/>
</table>
</file>

<file path=xl/tables/table3.xml><?xml version="1.0" encoding="utf-8"?>
<table xmlns="http://schemas.openxmlformats.org/spreadsheetml/2006/main" id="3" name="SelfCheckTable" displayName="SelfCheckTable" ref="A1:H449" totalsRowShown="0">
  <tableColumns count="8">
    <tableColumn id="1" name="题目ID"/>
    <tableColumn id="2" name="检查点数"/>
    <tableColumn id="3" name="2–12点"/>
    <tableColumn id="4" name="V6唯一映射"/>
    <tableColumn id="5" name="题内标签不重复"/>
    <tableColumn id="6" name="声音要求已移除"/>
    <tableColumn id="7" name="最低成功线可执行"/>
    <tableColumn id="8" name="抽检建议"/>
  </tableColumns>
  <tableStyleInfo name="TableStyleMedium2" showFirstColumn="0" showLastColumn="0" showRowStripes="1" showColumnStripes="0"/>
</table>
</file>

<file path=xl/tables/table4.xml><?xml version="1.0" encoding="utf-8"?>
<table xmlns="http://schemas.openxmlformats.org/spreadsheetml/2006/main" id="4" name="V6MappingTable" displayName="V6MappingTable" ref="A1:E101" totalsRowShown="0">
  <tableColumns count="5">
    <tableColumn id="1" name="三级标签ID"/>
    <tableColumn id="2" name="三级标签名称"/>
    <tableColumn id="3" name="核心能力ID"/>
    <tableColumn id="4" name="核心能力名称"/>
    <tableColumn id="5" name="能力描述"/>
  </tableColumns>
  <tableStyleInfo name="TableStyleMedium2" showFirstColumn="0" showLastColumn="0" showRowStripes="1" showColumnStripes="0"/>
</table>
</file>

<file path=xl/tables/table5.xml><?xml version="1.0" encoding="utf-8"?>
<table xmlns="http://schemas.openxmlformats.org/spreadsheetml/2006/main" id="6" name="CoreCoverageTable" displayName="CoreCoverageTable" ref="A1:J31" totalsRowShown="0">
  <tableColumns count="10">
    <tableColumn id="1" name="核心能力ID"/>
    <tableColumn id="2" name="核心能力名称"/>
    <tableColumn id="3" name="题目覆盖数"/>
    <tableColumn id="4" name="题目覆盖率"/>
    <tableColumn id="5" name="检查点数"/>
    <tableColumn id="6" name="检查点占比"/>
    <tableColumn id="7" name="已覆盖三级标签"/>
    <tableColumn id="8" name="三级标签总数"/>
    <tableColumn id="9" name="标签覆盖率"/>
    <tableColumn id="10" name="每覆盖题检查点数"/>
  </tableColumns>
  <tableStyleInfo name="TableStyleMedium2" showFirstColumn="0" showLastColumn="0" showRowStripes="1" showColumnStripes="0"/>
</table>
</file>

<file path=xl/tables/table6.xml><?xml version="1.0" encoding="utf-8"?>
<table xmlns="http://schemas.openxmlformats.org/spreadsheetml/2006/main" id="7" name="TagCoverageTable" displayName="TagCoverageTable" ref="A1:H101" totalsRowShown="0">
  <tableColumns count="8">
    <tableColumn id="1" name="核心能力ID"/>
    <tableColumn id="2" name="核心能力名称"/>
    <tableColumn id="3" name="三级标签ID"/>
    <tableColumn id="4" name="三级标签名称"/>
    <tableColumn id="5" name="题目覆盖数"/>
    <tableColumn id="6" name="检查点数"/>
    <tableColumn id="7" name="检查点占比"/>
    <tableColumn id="8" name="覆盖状态"/>
  </tableColumns>
  <tableStyleInfo name="TableStyleMedium2" showFirstColumn="0" showLastColumn="0" showRowStripes="1" showColumnStripes="0"/>
</table>
</file>

<file path=xl/tables/table7.xml><?xml version="1.0" encoding="utf-8"?>
<table xmlns="http://schemas.openxmlformats.org/spreadsheetml/2006/main" id="5" name="CoverageHelperTable" displayName="CoverageHelperTable" ref="A1:E2944" totalsRowShown="0">
  <tableColumns count="5">
    <tableColumn id="1" name="题目ID"/>
    <tableColumn id="2" name="核心能力ID"/>
    <tableColumn id="3" name="能力-题目首次出现"/>
    <tableColumn id="4" name="三级标签ID"/>
    <tableColumn id="5" name="标签-题目首次出现"/>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cco-watermark" Target="../media/image1.png" Type="http://schemas.openxmlformats.org/officeDocument/2006/relationships/image"/></Relationships>
</file>

<file path=xl/worksheets/_rels/sheet2.xml.rels><?xml version="1.0" encoding="UTF-8" standalone="no"?><Relationships xmlns="http://schemas.openxmlformats.org/package/2006/relationships"><Relationship Id="cco-watermark" Target="../media/image1.png" Type="http://schemas.openxmlformats.org/officeDocument/2006/relationships/image"/><Relationship Id="rId1" Target="../tables/table1.xml" Type="http://schemas.openxmlformats.org/officeDocument/2006/relationships/table"/></Relationships>
</file>

<file path=xl/worksheets/_rels/sheet3.xml.rels><?xml version="1.0" encoding="UTF-8" standalone="no"?><Relationships xmlns="http://schemas.openxmlformats.org/package/2006/relationships"><Relationship Id="cco-watermark" Target="../media/image1.png" Type="http://schemas.openxmlformats.org/officeDocument/2006/relationships/image"/><Relationship Id="rId1" Target="../tables/table2.xml" Type="http://schemas.openxmlformats.org/officeDocument/2006/relationships/table"/></Relationships>
</file>

<file path=xl/worksheets/_rels/sheet4.xml.rels><?xml version="1.0" encoding="UTF-8" standalone="no"?><Relationships xmlns="http://schemas.openxmlformats.org/package/2006/relationships"><Relationship Id="cco-watermark" Target="../media/image1.png" Type="http://schemas.openxmlformats.org/officeDocument/2006/relationships/image"/><Relationship Id="rId1" Target="../tables/table3.xml" Type="http://schemas.openxmlformats.org/officeDocument/2006/relationships/table"/></Relationships>
</file>

<file path=xl/worksheets/_rels/sheet5.xml.rels><?xml version="1.0" encoding="UTF-8" standalone="no"?><Relationships xmlns="http://schemas.openxmlformats.org/package/2006/relationships"><Relationship Id="cco-watermark" Target="../media/image1.png" Type="http://schemas.openxmlformats.org/officeDocument/2006/relationships/image"/><Relationship Id="rId1" Target="../tables/table4.xml" Type="http://schemas.openxmlformats.org/officeDocument/2006/relationships/table"/></Relationships>
</file>

<file path=xl/worksheets/_rels/sheet6.xml.rels><?xml version="1.0" encoding="UTF-8" standalone="no"?><Relationships xmlns="http://schemas.openxmlformats.org/package/2006/relationships"><Relationship Id="cco-watermark" Target="../media/image1.png" Type="http://schemas.openxmlformats.org/officeDocument/2006/relationships/image"/><Relationship Id="rId1" Target="../drawings/drawing1.xml" Type="http://schemas.openxmlformats.org/officeDocument/2006/relationships/drawing"/></Relationships>
</file>

<file path=xl/worksheets/_rels/sheet7.xml.rels><?xml version="1.0" encoding="UTF-8" standalone="no"?><Relationships xmlns="http://schemas.openxmlformats.org/package/2006/relationships"><Relationship Id="cco-watermark" Target="../media/image1.png" Type="http://schemas.openxmlformats.org/officeDocument/2006/relationships/image"/><Relationship Id="rId1" Target="../tables/table5.xml" Type="http://schemas.openxmlformats.org/officeDocument/2006/relationships/table"/></Relationships>
</file>

<file path=xl/worksheets/_rels/sheet8.xml.rels><?xml version="1.0" encoding="UTF-8" standalone="no"?><Relationships xmlns="http://schemas.openxmlformats.org/package/2006/relationships"><Relationship Id="cco-watermark" Target="../media/image1.png" Type="http://schemas.openxmlformats.org/officeDocument/2006/relationships/image"/><Relationship Id="rId1" Target="../tables/table6.xml" Type="http://schemas.openxmlformats.org/officeDocument/2006/relationships/table"/></Relationships>
</file>

<file path=xl/worksheets/_rels/sheet9.xml.rels><?xml version="1.0" encoding="UTF-8" standalone="no"?><Relationships xmlns="http://schemas.openxmlformats.org/package/2006/relationships"><Relationship Id="cco-watermark" Target="../media/image1.png" Type="http://schemas.openxmlformats.org/officeDocument/2006/relationships/image"/><Relationship Id="rId1" Target="../tables/table7.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showGridLines="0" tabSelected="1" workbookViewId="0">
      <selection activeCell="A1" sqref="A1:J1"/>
    </sheetView>
  </sheetViews>
  <sheetFormatPr defaultColWidth="9" defaultRowHeight="14.25"/>
  <cols>
    <col min="1" max="1" customWidth="true" width="24.0" collapsed="false"/>
    <col min="2" max="2" customWidth="true" width="76.0" collapsed="false"/>
  </cols>
  <sheetData>
    <row r="1" ht="38" customHeight="1" spans="1:10">
      <c r="A1" s="49" t="s">
        <v>0</v>
      </c>
      <c r="B1" s="49"/>
      <c r="C1" s="49"/>
      <c r="D1" s="49"/>
      <c r="E1" s="49"/>
      <c r="F1" s="49"/>
      <c r="G1" s="49"/>
      <c r="H1" s="49"/>
      <c r="I1" s="49"/>
      <c r="J1" s="49"/>
    </row>
    <row r="3" ht="26" customHeight="1" spans="1:10">
      <c r="A3" s="50" t="s">
        <v>1</v>
      </c>
      <c r="B3" s="51" t="s">
        <v>2</v>
      </c>
    </row>
    <row r="4" ht="26" customHeight="1" spans="1:10">
      <c r="A4" s="50" t="s">
        <v>3</v>
      </c>
      <c r="B4" s="51" t="s">
        <v>4</v>
      </c>
    </row>
    <row r="5" ht="26" customHeight="1" spans="1:10">
      <c r="A5" s="50" t="s">
        <v>5</v>
      </c>
      <c r="B5" s="51" t="s">
        <v>6</v>
      </c>
    </row>
    <row r="6" ht="26" customHeight="1" spans="1:10">
      <c r="A6" s="50" t="s">
        <v>7</v>
      </c>
      <c r="B6" s="51">
        <v>448</v>
      </c>
    </row>
    <row r="7" ht="26" customHeight="1" spans="1:10">
      <c r="A7" s="50" t="s">
        <v>8</v>
      </c>
      <c r="B7" s="51">
        <v>2943</v>
      </c>
    </row>
    <row r="8" ht="26" customHeight="1" spans="1:10">
      <c r="A8" s="50" t="s">
        <v>9</v>
      </c>
      <c r="B8" s="51" t="s">
        <v>10</v>
      </c>
    </row>
    <row r="9" ht="26" customHeight="1" spans="1:10">
      <c r="A9" s="50" t="s">
        <v>11</v>
      </c>
      <c r="B9" s="52">
        <v>6.56919642857143</v>
      </c>
    </row>
    <row r="10" ht="26" customHeight="1" spans="1:10">
      <c r="A10" s="50" t="s">
        <v>12</v>
      </c>
      <c r="B10" s="51">
        <v>0</v>
      </c>
    </row>
    <row r="11" ht="26" customHeight="1" spans="1:10">
      <c r="A11" s="50" t="s">
        <v>13</v>
      </c>
      <c r="B11" s="51">
        <v>0</v>
      </c>
    </row>
    <row r="12" ht="26" customHeight="1" spans="1:10">
      <c r="A12" s="50" t="s">
        <v>14</v>
      </c>
      <c r="B12" s="51">
        <v>0</v>
      </c>
    </row>
    <row r="14" spans="1:10">
      <c r="A14" s="53" t="s">
        <v>15</v>
      </c>
      <c r="B14" s="53"/>
      <c r="C14" s="53"/>
      <c r="D14" s="53"/>
      <c r="E14" s="53"/>
      <c r="F14" s="53"/>
      <c r="G14" s="53"/>
      <c r="H14" s="53"/>
      <c r="I14" s="53"/>
      <c r="J14" s="53"/>
    </row>
    <row r="15" ht="40" customHeight="1" spans="1:10">
      <c r="A15" s="54" t="s">
        <v>16</v>
      </c>
      <c r="B15" s="54"/>
      <c r="C15" s="54"/>
      <c r="D15" s="54"/>
      <c r="E15" s="54"/>
      <c r="F15" s="54"/>
      <c r="G15" s="54"/>
      <c r="H15" s="54"/>
      <c r="I15" s="54"/>
      <c r="J15" s="54"/>
    </row>
    <row r="16" ht="40" customHeight="1" spans="1:10">
      <c r="A16" s="54" t="s">
        <v>17</v>
      </c>
      <c r="B16" s="54"/>
      <c r="C16" s="54"/>
      <c r="D16" s="54"/>
      <c r="E16" s="54"/>
      <c r="F16" s="54"/>
      <c r="G16" s="54"/>
      <c r="H16" s="54"/>
      <c r="I16" s="54"/>
      <c r="J16" s="54"/>
    </row>
  </sheetData>
  <sheetProtection formatCells="0" insertHyperlinks="0" autoFilter="0"/>
  <mergeCells count="4">
    <mergeCell ref="A1:J1"/>
    <mergeCell ref="A14:J14"/>
    <mergeCell ref="A15:J15"/>
    <mergeCell ref="A16:J16"/>
  </mergeCells>
  <pageMargins left="0.7" right="0.7" top="0.75" bottom="0.75" header="0.3" footer="0.3"/>
  <headerFooter/>
  <picture r:id="cco-watermark"/>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49"/>
  <sheetViews>
    <sheetView showGridLines="0" workbookViewId="0">
      <selection activeCell="A1" sqref="A1"/>
    </sheetView>
  </sheetViews>
  <sheetFormatPr defaultColWidth="9" defaultRowHeight="14.25" outlineLevelCol="4"/>
  <cols>
    <col min="1" max="1" customWidth="true" width="12.0" collapsed="false"/>
    <col min="2" max="2" customWidth="true" width="10.0" collapsed="false"/>
    <col min="3" max="3" customWidth="true" width="92.0" collapsed="false"/>
    <col min="4" max="4" customWidth="true" width="14.0" collapsed="false"/>
    <col min="5" max="5" customWidth="true" width="58.0" collapsed="false"/>
  </cols>
  <sheetData>
    <row r="1" ht="30" customHeight="1" spans="1:5">
      <c r="A1" s="46" t="s">
        <v>18</v>
      </c>
      <c r="B1" s="47" t="s">
        <v>19</v>
      </c>
      <c r="C1" s="47" t="s">
        <v>20</v>
      </c>
      <c r="D1" s="47" t="s">
        <v>21</v>
      </c>
      <c r="E1" s="47" t="s">
        <v>22</v>
      </c>
    </row>
    <row r="2" ht="60" customHeight="1" spans="1:5">
      <c r="A2" s="48" t="s">
        <v>23</v>
      </c>
      <c r="B2" s="48">
        <v>1</v>
      </c>
      <c r="C2" s="47" t="s">
        <v>24</v>
      </c>
      <c r="D2" s="47" t="s">
        <v>25</v>
      </c>
      <c r="E2" s="47" t="s">
        <v>26</v>
      </c>
    </row>
    <row r="3" ht="60" customHeight="1" spans="1:5">
      <c r="A3" s="48" t="s">
        <v>27</v>
      </c>
      <c r="B3" s="48">
        <v>2</v>
      </c>
      <c r="C3" s="47" t="s">
        <v>28</v>
      </c>
      <c r="D3" s="47" t="s">
        <v>25</v>
      </c>
      <c r="E3" s="47" t="s">
        <v>29</v>
      </c>
    </row>
    <row r="4" ht="60" customHeight="1" spans="1:5">
      <c r="A4" s="48" t="s">
        <v>30</v>
      </c>
      <c r="B4" s="48">
        <v>3</v>
      </c>
      <c r="C4" s="47" t="s">
        <v>31</v>
      </c>
      <c r="D4" s="47" t="s">
        <v>32</v>
      </c>
      <c r="E4" s="47" t="s">
        <v>26</v>
      </c>
    </row>
    <row r="5" ht="60" customHeight="1" spans="1:5">
      <c r="A5" s="48" t="s">
        <v>33</v>
      </c>
      <c r="B5" s="48">
        <v>4</v>
      </c>
      <c r="C5" s="47" t="s">
        <v>34</v>
      </c>
      <c r="D5" s="47" t="s">
        <v>25</v>
      </c>
      <c r="E5" s="47" t="s">
        <v>26</v>
      </c>
    </row>
    <row r="6" ht="60" customHeight="1" spans="1:5">
      <c r="A6" s="48" t="s">
        <v>35</v>
      </c>
      <c r="B6" s="48">
        <v>5</v>
      </c>
      <c r="C6" s="47" t="s">
        <v>36</v>
      </c>
      <c r="D6" s="47" t="s">
        <v>25</v>
      </c>
      <c r="E6" s="47" t="s">
        <v>26</v>
      </c>
    </row>
    <row r="7" ht="60" customHeight="1" spans="1:5">
      <c r="A7" s="48" t="s">
        <v>37</v>
      </c>
      <c r="B7" s="48">
        <v>6</v>
      </c>
      <c r="C7" s="47" t="s">
        <v>38</v>
      </c>
      <c r="D7" s="47" t="s">
        <v>25</v>
      </c>
      <c r="E7" s="47" t="s">
        <v>39</v>
      </c>
    </row>
    <row r="8" ht="60" customHeight="1" spans="1:5">
      <c r="A8" s="48" t="s">
        <v>40</v>
      </c>
      <c r="B8" s="48">
        <v>7</v>
      </c>
      <c r="C8" s="47" t="s">
        <v>41</v>
      </c>
      <c r="D8" s="47" t="s">
        <v>25</v>
      </c>
      <c r="E8" s="47" t="s">
        <v>26</v>
      </c>
    </row>
    <row r="9" ht="60" customHeight="1" spans="1:5">
      <c r="A9" s="48" t="s">
        <v>42</v>
      </c>
      <c r="B9" s="48">
        <v>8</v>
      </c>
      <c r="C9" s="47" t="s">
        <v>43</v>
      </c>
      <c r="D9" s="47" t="s">
        <v>25</v>
      </c>
      <c r="E9" s="47" t="s">
        <v>26</v>
      </c>
    </row>
    <row r="10" ht="60" customHeight="1" spans="1:5">
      <c r="A10" s="48" t="s">
        <v>44</v>
      </c>
      <c r="B10" s="48">
        <v>9</v>
      </c>
      <c r="C10" s="47" t="s">
        <v>45</v>
      </c>
      <c r="D10" s="47" t="s">
        <v>25</v>
      </c>
      <c r="E10" s="47" t="s">
        <v>26</v>
      </c>
    </row>
    <row r="11" ht="60" customHeight="1" spans="1:5">
      <c r="A11" s="48" t="s">
        <v>46</v>
      </c>
      <c r="B11" s="48">
        <v>10</v>
      </c>
      <c r="C11" s="47" t="s">
        <v>47</v>
      </c>
      <c r="D11" s="47" t="s">
        <v>25</v>
      </c>
      <c r="E11" s="47" t="s">
        <v>26</v>
      </c>
    </row>
    <row r="12" ht="60" customHeight="1" spans="1:5">
      <c r="A12" s="48" t="s">
        <v>48</v>
      </c>
      <c r="B12" s="48">
        <v>11</v>
      </c>
      <c r="C12" s="47" t="s">
        <v>49</v>
      </c>
      <c r="D12" s="47" t="s">
        <v>32</v>
      </c>
      <c r="E12" s="47" t="s">
        <v>26</v>
      </c>
    </row>
    <row r="13" ht="60" customHeight="1" spans="1:5">
      <c r="A13" s="48" t="s">
        <v>50</v>
      </c>
      <c r="B13" s="48">
        <v>12</v>
      </c>
      <c r="C13" s="47" t="s">
        <v>51</v>
      </c>
      <c r="D13" s="47" t="s">
        <v>32</v>
      </c>
      <c r="E13" s="47" t="s">
        <v>39</v>
      </c>
    </row>
    <row r="14" ht="60" customHeight="1" spans="1:5">
      <c r="A14" s="48" t="s">
        <v>52</v>
      </c>
      <c r="B14" s="48">
        <v>13</v>
      </c>
      <c r="C14" s="47" t="s">
        <v>53</v>
      </c>
      <c r="D14" s="47" t="s">
        <v>25</v>
      </c>
      <c r="E14" s="47" t="s">
        <v>26</v>
      </c>
    </row>
    <row r="15" ht="60" customHeight="1" spans="1:5">
      <c r="A15" s="48" t="s">
        <v>54</v>
      </c>
      <c r="B15" s="48">
        <v>14</v>
      </c>
      <c r="C15" s="47" t="s">
        <v>55</v>
      </c>
      <c r="D15" s="47" t="s">
        <v>25</v>
      </c>
      <c r="E15" s="47" t="s">
        <v>26</v>
      </c>
    </row>
    <row r="16" ht="60" customHeight="1" spans="1:5">
      <c r="A16" s="48" t="s">
        <v>56</v>
      </c>
      <c r="B16" s="48">
        <v>15</v>
      </c>
      <c r="C16" s="47" t="s">
        <v>57</v>
      </c>
      <c r="D16" s="47" t="s">
        <v>25</v>
      </c>
      <c r="E16" s="47" t="s">
        <v>29</v>
      </c>
    </row>
    <row r="17" ht="60" customHeight="1" spans="1:5">
      <c r="A17" s="48" t="s">
        <v>58</v>
      </c>
      <c r="B17" s="48">
        <v>16</v>
      </c>
      <c r="C17" s="47" t="s">
        <v>59</v>
      </c>
      <c r="D17" s="47" t="s">
        <v>25</v>
      </c>
      <c r="E17" s="47" t="s">
        <v>26</v>
      </c>
    </row>
    <row r="18" ht="60" customHeight="1" spans="1:5">
      <c r="A18" s="48" t="s">
        <v>60</v>
      </c>
      <c r="B18" s="48">
        <v>17</v>
      </c>
      <c r="C18" s="47" t="s">
        <v>61</v>
      </c>
      <c r="D18" s="47" t="s">
        <v>25</v>
      </c>
      <c r="E18" s="47" t="s">
        <v>26</v>
      </c>
    </row>
    <row r="19" ht="60" customHeight="1" spans="1:5">
      <c r="A19" s="48" t="s">
        <v>62</v>
      </c>
      <c r="B19" s="48">
        <v>18</v>
      </c>
      <c r="C19" s="47" t="s">
        <v>63</v>
      </c>
      <c r="D19" s="47" t="s">
        <v>32</v>
      </c>
      <c r="E19" s="47" t="s">
        <v>26</v>
      </c>
    </row>
    <row r="20" ht="60" customHeight="1" spans="1:5">
      <c r="A20" s="48" t="s">
        <v>64</v>
      </c>
      <c r="B20" s="48">
        <v>19</v>
      </c>
      <c r="C20" s="47" t="s">
        <v>65</v>
      </c>
      <c r="D20" s="47" t="s">
        <v>32</v>
      </c>
      <c r="E20" s="47" t="s">
        <v>66</v>
      </c>
    </row>
    <row r="21" ht="60" customHeight="1" spans="1:5">
      <c r="A21" s="48" t="s">
        <v>67</v>
      </c>
      <c r="B21" s="48">
        <v>20</v>
      </c>
      <c r="C21" s="47" t="s">
        <v>68</v>
      </c>
      <c r="D21" s="47" t="s">
        <v>25</v>
      </c>
      <c r="E21" s="47" t="s">
        <v>26</v>
      </c>
    </row>
    <row r="22" ht="60" customHeight="1" spans="1:5">
      <c r="A22" s="48" t="s">
        <v>69</v>
      </c>
      <c r="B22" s="48">
        <v>21</v>
      </c>
      <c r="C22" s="47" t="s">
        <v>70</v>
      </c>
      <c r="D22" s="47" t="s">
        <v>25</v>
      </c>
      <c r="E22" s="47" t="s">
        <v>29</v>
      </c>
    </row>
    <row r="23" ht="60" customHeight="1" spans="1:5">
      <c r="A23" s="48" t="s">
        <v>71</v>
      </c>
      <c r="B23" s="48">
        <v>22</v>
      </c>
      <c r="C23" s="47" t="s">
        <v>72</v>
      </c>
      <c r="D23" s="47" t="s">
        <v>25</v>
      </c>
      <c r="E23" s="47" t="s">
        <v>26</v>
      </c>
    </row>
    <row r="24" ht="60" customHeight="1" spans="1:5">
      <c r="A24" s="48" t="s">
        <v>73</v>
      </c>
      <c r="B24" s="48">
        <v>23</v>
      </c>
      <c r="C24" s="47" t="s">
        <v>74</v>
      </c>
      <c r="D24" s="47" t="s">
        <v>25</v>
      </c>
      <c r="E24" s="47" t="s">
        <v>26</v>
      </c>
    </row>
    <row r="25" ht="60" customHeight="1" spans="1:5">
      <c r="A25" s="48" t="s">
        <v>75</v>
      </c>
      <c r="B25" s="48">
        <v>24</v>
      </c>
      <c r="C25" s="47" t="s">
        <v>76</v>
      </c>
      <c r="D25" s="47" t="s">
        <v>25</v>
      </c>
      <c r="E25" s="47" t="s">
        <v>26</v>
      </c>
    </row>
    <row r="26" ht="60" customHeight="1" spans="1:5">
      <c r="A26" s="48" t="s">
        <v>77</v>
      </c>
      <c r="B26" s="48">
        <v>25</v>
      </c>
      <c r="C26" s="47" t="s">
        <v>78</v>
      </c>
      <c r="D26" s="47" t="s">
        <v>25</v>
      </c>
      <c r="E26" s="47" t="s">
        <v>26</v>
      </c>
    </row>
    <row r="27" ht="60" customHeight="1" spans="1:5">
      <c r="A27" s="48" t="s">
        <v>79</v>
      </c>
      <c r="B27" s="48">
        <v>26</v>
      </c>
      <c r="C27" s="47" t="s">
        <v>80</v>
      </c>
      <c r="D27" s="47" t="s">
        <v>32</v>
      </c>
      <c r="E27" s="47" t="s">
        <v>26</v>
      </c>
    </row>
    <row r="28" ht="60" customHeight="1" spans="1:5">
      <c r="A28" s="48" t="s">
        <v>81</v>
      </c>
      <c r="B28" s="48">
        <v>27</v>
      </c>
      <c r="C28" s="47" t="s">
        <v>82</v>
      </c>
      <c r="D28" s="47" t="s">
        <v>25</v>
      </c>
      <c r="E28" s="47" t="s">
        <v>26</v>
      </c>
    </row>
    <row r="29" ht="60" customHeight="1" spans="1:5">
      <c r="A29" s="48" t="s">
        <v>83</v>
      </c>
      <c r="B29" s="48">
        <v>28</v>
      </c>
      <c r="C29" s="47" t="s">
        <v>84</v>
      </c>
      <c r="D29" s="47" t="s">
        <v>32</v>
      </c>
      <c r="E29" s="47" t="s">
        <v>26</v>
      </c>
    </row>
    <row r="30" ht="60" customHeight="1" spans="1:5">
      <c r="A30" s="48" t="s">
        <v>85</v>
      </c>
      <c r="B30" s="48">
        <v>29</v>
      </c>
      <c r="C30" s="47" t="s">
        <v>86</v>
      </c>
      <c r="D30" s="47" t="s">
        <v>32</v>
      </c>
      <c r="E30" s="47" t="s">
        <v>29</v>
      </c>
    </row>
    <row r="31" ht="60" customHeight="1" spans="1:5">
      <c r="A31" s="48" t="s">
        <v>87</v>
      </c>
      <c r="B31" s="48">
        <v>30</v>
      </c>
      <c r="C31" s="47" t="s">
        <v>88</v>
      </c>
      <c r="D31" s="47" t="s">
        <v>32</v>
      </c>
      <c r="E31" s="47" t="s">
        <v>26</v>
      </c>
    </row>
    <row r="32" ht="60" customHeight="1" spans="1:5">
      <c r="A32" s="48" t="s">
        <v>89</v>
      </c>
      <c r="B32" s="48">
        <v>31</v>
      </c>
      <c r="C32" s="47" t="s">
        <v>90</v>
      </c>
      <c r="D32" s="47" t="s">
        <v>32</v>
      </c>
      <c r="E32" s="47" t="s">
        <v>26</v>
      </c>
    </row>
    <row r="33" ht="60" customHeight="1" spans="1:5">
      <c r="A33" s="48" t="s">
        <v>91</v>
      </c>
      <c r="B33" s="48">
        <v>32</v>
      </c>
      <c r="C33" s="47" t="s">
        <v>92</v>
      </c>
      <c r="D33" s="47" t="s">
        <v>32</v>
      </c>
      <c r="E33" s="47" t="s">
        <v>26</v>
      </c>
    </row>
    <row r="34" ht="60" customHeight="1" spans="1:5">
      <c r="A34" s="48" t="s">
        <v>93</v>
      </c>
      <c r="B34" s="48">
        <v>33</v>
      </c>
      <c r="C34" s="47" t="s">
        <v>94</v>
      </c>
      <c r="D34" s="47" t="s">
        <v>32</v>
      </c>
      <c r="E34" s="47" t="s">
        <v>26</v>
      </c>
    </row>
    <row r="35" ht="60" customHeight="1" spans="1:5">
      <c r="A35" s="48" t="s">
        <v>95</v>
      </c>
      <c r="B35" s="48">
        <v>34</v>
      </c>
      <c r="C35" s="47" t="s">
        <v>96</v>
      </c>
      <c r="D35" s="47" t="s">
        <v>32</v>
      </c>
      <c r="E35" s="47" t="s">
        <v>26</v>
      </c>
    </row>
    <row r="36" ht="60" customHeight="1" spans="1:5">
      <c r="A36" s="48" t="s">
        <v>97</v>
      </c>
      <c r="B36" s="48">
        <v>35</v>
      </c>
      <c r="C36" s="47" t="s">
        <v>98</v>
      </c>
      <c r="D36" s="47" t="s">
        <v>32</v>
      </c>
      <c r="E36" s="47" t="s">
        <v>29</v>
      </c>
    </row>
    <row r="37" ht="60" customHeight="1" spans="1:5">
      <c r="A37" s="48" t="s">
        <v>99</v>
      </c>
      <c r="B37" s="48">
        <v>36</v>
      </c>
      <c r="C37" s="47" t="s">
        <v>100</v>
      </c>
      <c r="D37" s="47" t="s">
        <v>32</v>
      </c>
      <c r="E37" s="47" t="s">
        <v>26</v>
      </c>
    </row>
    <row r="38" ht="60" customHeight="1" spans="1:5">
      <c r="A38" s="48" t="s">
        <v>101</v>
      </c>
      <c r="B38" s="48">
        <v>37</v>
      </c>
      <c r="C38" s="47" t="s">
        <v>102</v>
      </c>
      <c r="D38" s="47" t="s">
        <v>32</v>
      </c>
      <c r="E38" s="47" t="s">
        <v>26</v>
      </c>
    </row>
    <row r="39" ht="60" customHeight="1" spans="1:5">
      <c r="A39" s="48" t="s">
        <v>103</v>
      </c>
      <c r="B39" s="48">
        <v>38</v>
      </c>
      <c r="C39" s="47" t="s">
        <v>104</v>
      </c>
      <c r="D39" s="47" t="s">
        <v>25</v>
      </c>
      <c r="E39" s="47" t="s">
        <v>26</v>
      </c>
    </row>
    <row r="40" ht="60" customHeight="1" spans="1:5">
      <c r="A40" s="48" t="s">
        <v>105</v>
      </c>
      <c r="B40" s="48">
        <v>39</v>
      </c>
      <c r="C40" s="47" t="s">
        <v>106</v>
      </c>
      <c r="D40" s="47" t="s">
        <v>32</v>
      </c>
      <c r="E40" s="47" t="s">
        <v>29</v>
      </c>
    </row>
    <row r="41" ht="60" customHeight="1" spans="1:5">
      <c r="A41" s="48" t="s">
        <v>107</v>
      </c>
      <c r="B41" s="48">
        <v>40</v>
      </c>
      <c r="C41" s="47" t="s">
        <v>108</v>
      </c>
      <c r="D41" s="47" t="s">
        <v>32</v>
      </c>
      <c r="E41" s="47" t="s">
        <v>26</v>
      </c>
    </row>
    <row r="42" ht="60" customHeight="1" spans="1:5">
      <c r="A42" s="48" t="s">
        <v>109</v>
      </c>
      <c r="B42" s="48">
        <v>41</v>
      </c>
      <c r="C42" s="47" t="s">
        <v>110</v>
      </c>
      <c r="D42" s="47" t="s">
        <v>32</v>
      </c>
      <c r="E42" s="47" t="s">
        <v>29</v>
      </c>
    </row>
    <row r="43" ht="60" customHeight="1" spans="1:5">
      <c r="A43" s="48" t="s">
        <v>111</v>
      </c>
      <c r="B43" s="48">
        <v>42</v>
      </c>
      <c r="C43" s="47" t="s">
        <v>112</v>
      </c>
      <c r="D43" s="47" t="s">
        <v>25</v>
      </c>
      <c r="E43" s="47" t="s">
        <v>26</v>
      </c>
    </row>
    <row r="44" ht="60" customHeight="1" spans="1:5">
      <c r="A44" s="48" t="s">
        <v>113</v>
      </c>
      <c r="B44" s="48">
        <v>43</v>
      </c>
      <c r="C44" s="47" t="s">
        <v>114</v>
      </c>
      <c r="D44" s="47" t="s">
        <v>25</v>
      </c>
      <c r="E44" s="47" t="s">
        <v>26</v>
      </c>
    </row>
    <row r="45" ht="60" customHeight="1" spans="1:5">
      <c r="A45" s="48" t="s">
        <v>115</v>
      </c>
      <c r="B45" s="48">
        <v>44</v>
      </c>
      <c r="C45" s="47" t="s">
        <v>116</v>
      </c>
      <c r="D45" s="47" t="s">
        <v>25</v>
      </c>
      <c r="E45" s="47" t="s">
        <v>29</v>
      </c>
    </row>
    <row r="46" ht="60" customHeight="1" spans="1:5">
      <c r="A46" s="48" t="s">
        <v>117</v>
      </c>
      <c r="B46" s="48">
        <v>45</v>
      </c>
      <c r="C46" s="47" t="s">
        <v>118</v>
      </c>
      <c r="D46" s="47" t="s">
        <v>25</v>
      </c>
      <c r="E46" s="47" t="s">
        <v>26</v>
      </c>
    </row>
    <row r="47" ht="60" customHeight="1" spans="1:5">
      <c r="A47" s="48" t="s">
        <v>119</v>
      </c>
      <c r="B47" s="48">
        <v>46</v>
      </c>
      <c r="C47" s="47" t="s">
        <v>120</v>
      </c>
      <c r="D47" s="47" t="s">
        <v>25</v>
      </c>
      <c r="E47" s="47" t="s">
        <v>26</v>
      </c>
    </row>
    <row r="48" ht="60" customHeight="1" spans="1:5">
      <c r="A48" s="48" t="s">
        <v>121</v>
      </c>
      <c r="B48" s="48">
        <v>47</v>
      </c>
      <c r="C48" s="47" t="s">
        <v>122</v>
      </c>
      <c r="D48" s="47" t="s">
        <v>25</v>
      </c>
      <c r="E48" s="47" t="s">
        <v>26</v>
      </c>
    </row>
    <row r="49" ht="60" customHeight="1" spans="1:5">
      <c r="A49" s="48" t="s">
        <v>123</v>
      </c>
      <c r="B49" s="48">
        <v>48</v>
      </c>
      <c r="C49" s="47" t="s">
        <v>124</v>
      </c>
      <c r="D49" s="47" t="s">
        <v>25</v>
      </c>
      <c r="E49" s="47" t="s">
        <v>26</v>
      </c>
    </row>
    <row r="50" ht="60" customHeight="1" spans="1:5">
      <c r="A50" s="48" t="s">
        <v>125</v>
      </c>
      <c r="B50" s="48">
        <v>49</v>
      </c>
      <c r="C50" s="47" t="s">
        <v>126</v>
      </c>
      <c r="D50" s="47" t="s">
        <v>25</v>
      </c>
      <c r="E50" s="47" t="s">
        <v>26</v>
      </c>
    </row>
    <row r="51" ht="60" customHeight="1" spans="1:5">
      <c r="A51" s="48" t="s">
        <v>127</v>
      </c>
      <c r="B51" s="48">
        <v>50</v>
      </c>
      <c r="C51" s="47" t="s">
        <v>128</v>
      </c>
      <c r="D51" s="47" t="s">
        <v>25</v>
      </c>
      <c r="E51" s="47" t="s">
        <v>29</v>
      </c>
    </row>
    <row r="52" ht="60" customHeight="1" spans="1:5">
      <c r="A52" s="48" t="s">
        <v>129</v>
      </c>
      <c r="B52" s="48">
        <v>51</v>
      </c>
      <c r="C52" s="47" t="s">
        <v>130</v>
      </c>
      <c r="D52" s="47" t="s">
        <v>25</v>
      </c>
      <c r="E52" s="47" t="s">
        <v>26</v>
      </c>
    </row>
    <row r="53" ht="60" customHeight="1" spans="1:5">
      <c r="A53" s="48" t="s">
        <v>131</v>
      </c>
      <c r="B53" s="48">
        <v>52</v>
      </c>
      <c r="C53" s="47" t="s">
        <v>132</v>
      </c>
      <c r="D53" s="47" t="s">
        <v>25</v>
      </c>
      <c r="E53" s="47" t="s">
        <v>26</v>
      </c>
    </row>
    <row r="54" ht="60" customHeight="1" spans="1:5">
      <c r="A54" s="48" t="s">
        <v>133</v>
      </c>
      <c r="B54" s="48">
        <v>53</v>
      </c>
      <c r="C54" s="47" t="s">
        <v>134</v>
      </c>
      <c r="D54" s="47" t="s">
        <v>25</v>
      </c>
      <c r="E54" s="47" t="s">
        <v>26</v>
      </c>
    </row>
    <row r="55" ht="60" customHeight="1" spans="1:5">
      <c r="A55" s="48" t="s">
        <v>135</v>
      </c>
      <c r="B55" s="48">
        <v>54</v>
      </c>
      <c r="C55" s="47" t="s">
        <v>136</v>
      </c>
      <c r="D55" s="47" t="s">
        <v>25</v>
      </c>
      <c r="E55" s="47" t="s">
        <v>26</v>
      </c>
    </row>
    <row r="56" ht="60" customHeight="1" spans="1:5">
      <c r="A56" s="48" t="s">
        <v>137</v>
      </c>
      <c r="B56" s="48">
        <v>55</v>
      </c>
      <c r="C56" s="47" t="s">
        <v>138</v>
      </c>
      <c r="D56" s="47" t="s">
        <v>25</v>
      </c>
      <c r="E56" s="47" t="s">
        <v>26</v>
      </c>
    </row>
    <row r="57" ht="60" customHeight="1" spans="1:5">
      <c r="A57" s="48" t="s">
        <v>139</v>
      </c>
      <c r="B57" s="48">
        <v>56</v>
      </c>
      <c r="C57" s="47" t="s">
        <v>140</v>
      </c>
      <c r="D57" s="47" t="s">
        <v>25</v>
      </c>
      <c r="E57" s="47" t="s">
        <v>26</v>
      </c>
    </row>
    <row r="58" ht="60" customHeight="1" spans="1:5">
      <c r="A58" s="48" t="s">
        <v>141</v>
      </c>
      <c r="B58" s="48">
        <v>57</v>
      </c>
      <c r="C58" s="47" t="s">
        <v>142</v>
      </c>
      <c r="D58" s="47" t="s">
        <v>25</v>
      </c>
      <c r="E58" s="47" t="s">
        <v>26</v>
      </c>
    </row>
    <row r="59" ht="60" customHeight="1" spans="1:5">
      <c r="A59" s="48" t="s">
        <v>143</v>
      </c>
      <c r="B59" s="48">
        <v>58</v>
      </c>
      <c r="C59" s="47" t="s">
        <v>144</v>
      </c>
      <c r="D59" s="47" t="s">
        <v>32</v>
      </c>
      <c r="E59" s="47" t="s">
        <v>26</v>
      </c>
    </row>
    <row r="60" ht="60" customHeight="1" spans="1:5">
      <c r="A60" s="48" t="s">
        <v>145</v>
      </c>
      <c r="B60" s="48">
        <v>59</v>
      </c>
      <c r="C60" s="47" t="s">
        <v>146</v>
      </c>
      <c r="D60" s="47" t="s">
        <v>25</v>
      </c>
      <c r="E60" s="47" t="s">
        <v>26</v>
      </c>
    </row>
    <row r="61" ht="60" customHeight="1" spans="1:5">
      <c r="A61" s="48" t="s">
        <v>147</v>
      </c>
      <c r="B61" s="48">
        <v>60</v>
      </c>
      <c r="C61" s="47" t="s">
        <v>148</v>
      </c>
      <c r="D61" s="47" t="s">
        <v>25</v>
      </c>
      <c r="E61" s="47" t="s">
        <v>26</v>
      </c>
    </row>
    <row r="62" ht="60" customHeight="1" spans="1:5">
      <c r="A62" s="48" t="s">
        <v>149</v>
      </c>
      <c r="B62" s="48">
        <v>61</v>
      </c>
      <c r="C62" s="47" t="s">
        <v>150</v>
      </c>
      <c r="D62" s="47" t="s">
        <v>25</v>
      </c>
      <c r="E62" s="47" t="s">
        <v>66</v>
      </c>
    </row>
    <row r="63" ht="60" customHeight="1" spans="1:5">
      <c r="A63" s="48" t="s">
        <v>151</v>
      </c>
      <c r="B63" s="48">
        <v>62</v>
      </c>
      <c r="C63" s="47" t="s">
        <v>152</v>
      </c>
      <c r="D63" s="47" t="s">
        <v>25</v>
      </c>
      <c r="E63" s="47" t="s">
        <v>26</v>
      </c>
    </row>
    <row r="64" ht="60" customHeight="1" spans="1:5">
      <c r="A64" s="48" t="s">
        <v>153</v>
      </c>
      <c r="B64" s="48">
        <v>63</v>
      </c>
      <c r="C64" s="47" t="s">
        <v>154</v>
      </c>
      <c r="D64" s="47" t="s">
        <v>32</v>
      </c>
      <c r="E64" s="47" t="s">
        <v>29</v>
      </c>
    </row>
    <row r="65" ht="60" customHeight="1" spans="1:5">
      <c r="A65" s="48" t="s">
        <v>155</v>
      </c>
      <c r="B65" s="48">
        <v>64</v>
      </c>
      <c r="C65" s="47" t="s">
        <v>156</v>
      </c>
      <c r="D65" s="47" t="s">
        <v>25</v>
      </c>
      <c r="E65" s="47" t="s">
        <v>26</v>
      </c>
    </row>
    <row r="66" ht="60" customHeight="1" spans="1:5">
      <c r="A66" s="48" t="s">
        <v>157</v>
      </c>
      <c r="B66" s="48">
        <v>65</v>
      </c>
      <c r="C66" s="47" t="s">
        <v>158</v>
      </c>
      <c r="D66" s="47" t="s">
        <v>25</v>
      </c>
      <c r="E66" s="47" t="s">
        <v>26</v>
      </c>
    </row>
    <row r="67" ht="60" customHeight="1" spans="1:5">
      <c r="A67" s="48" t="s">
        <v>159</v>
      </c>
      <c r="B67" s="48">
        <v>66</v>
      </c>
      <c r="C67" s="47" t="s">
        <v>160</v>
      </c>
      <c r="D67" s="47" t="s">
        <v>25</v>
      </c>
      <c r="E67" s="47" t="s">
        <v>29</v>
      </c>
    </row>
    <row r="68" ht="60" customHeight="1" spans="1:5">
      <c r="A68" s="48" t="s">
        <v>161</v>
      </c>
      <c r="B68" s="48">
        <v>67</v>
      </c>
      <c r="C68" s="47" t="s">
        <v>162</v>
      </c>
      <c r="D68" s="47" t="s">
        <v>32</v>
      </c>
      <c r="E68" s="47" t="s">
        <v>29</v>
      </c>
    </row>
    <row r="69" ht="60" customHeight="1" spans="1:5">
      <c r="A69" s="48" t="s">
        <v>163</v>
      </c>
      <c r="B69" s="48">
        <v>68</v>
      </c>
      <c r="C69" s="47" t="s">
        <v>164</v>
      </c>
      <c r="D69" s="47" t="s">
        <v>25</v>
      </c>
      <c r="E69" s="47" t="s">
        <v>26</v>
      </c>
    </row>
    <row r="70" ht="60" customHeight="1" spans="1:5">
      <c r="A70" s="48" t="s">
        <v>165</v>
      </c>
      <c r="B70" s="48">
        <v>69</v>
      </c>
      <c r="C70" s="47" t="s">
        <v>166</v>
      </c>
      <c r="D70" s="47" t="s">
        <v>25</v>
      </c>
      <c r="E70" s="47" t="s">
        <v>26</v>
      </c>
    </row>
    <row r="71" ht="60" customHeight="1" spans="1:5">
      <c r="A71" s="48" t="s">
        <v>167</v>
      </c>
      <c r="B71" s="48">
        <v>70</v>
      </c>
      <c r="C71" s="47" t="s">
        <v>168</v>
      </c>
      <c r="D71" s="47" t="s">
        <v>25</v>
      </c>
      <c r="E71" s="47" t="s">
        <v>29</v>
      </c>
    </row>
    <row r="72" ht="60" customHeight="1" spans="1:5">
      <c r="A72" s="48" t="s">
        <v>169</v>
      </c>
      <c r="B72" s="48">
        <v>71</v>
      </c>
      <c r="C72" s="47" t="s">
        <v>170</v>
      </c>
      <c r="D72" s="47" t="s">
        <v>25</v>
      </c>
      <c r="E72" s="47" t="s">
        <v>26</v>
      </c>
    </row>
    <row r="73" ht="60" customHeight="1" spans="1:5">
      <c r="A73" s="48" t="s">
        <v>171</v>
      </c>
      <c r="B73" s="48">
        <v>72</v>
      </c>
      <c r="C73" s="47" t="s">
        <v>172</v>
      </c>
      <c r="D73" s="47" t="s">
        <v>32</v>
      </c>
      <c r="E73" s="47" t="s">
        <v>26</v>
      </c>
    </row>
    <row r="74" ht="60" customHeight="1" spans="1:5">
      <c r="A74" s="48" t="s">
        <v>173</v>
      </c>
      <c r="B74" s="48">
        <v>73</v>
      </c>
      <c r="C74" s="47" t="s">
        <v>174</v>
      </c>
      <c r="D74" s="47" t="s">
        <v>25</v>
      </c>
      <c r="E74" s="47" t="s">
        <v>26</v>
      </c>
    </row>
    <row r="75" ht="60" customHeight="1" spans="1:5">
      <c r="A75" s="48" t="s">
        <v>175</v>
      </c>
      <c r="B75" s="48">
        <v>74</v>
      </c>
      <c r="C75" s="47" t="s">
        <v>176</v>
      </c>
      <c r="D75" s="47" t="s">
        <v>25</v>
      </c>
      <c r="E75" s="47" t="s">
        <v>26</v>
      </c>
    </row>
    <row r="76" ht="60" customHeight="1" spans="1:5">
      <c r="A76" s="48" t="s">
        <v>177</v>
      </c>
      <c r="B76" s="48">
        <v>75</v>
      </c>
      <c r="C76" s="47" t="s">
        <v>178</v>
      </c>
      <c r="D76" s="47" t="s">
        <v>25</v>
      </c>
      <c r="E76" s="47" t="s">
        <v>29</v>
      </c>
    </row>
    <row r="77" ht="60" customHeight="1" spans="1:5">
      <c r="A77" s="48" t="s">
        <v>179</v>
      </c>
      <c r="B77" s="48">
        <v>76</v>
      </c>
      <c r="C77" s="47" t="s">
        <v>180</v>
      </c>
      <c r="D77" s="47" t="s">
        <v>25</v>
      </c>
      <c r="E77" s="47" t="s">
        <v>26</v>
      </c>
    </row>
    <row r="78" ht="60" customHeight="1" spans="1:5">
      <c r="A78" s="48" t="s">
        <v>181</v>
      </c>
      <c r="B78" s="48">
        <v>77</v>
      </c>
      <c r="C78" s="47" t="s">
        <v>182</v>
      </c>
      <c r="D78" s="47" t="s">
        <v>32</v>
      </c>
      <c r="E78" s="47" t="s">
        <v>39</v>
      </c>
    </row>
    <row r="79" ht="60" customHeight="1" spans="1:5">
      <c r="A79" s="48" t="s">
        <v>183</v>
      </c>
      <c r="B79" s="48">
        <v>78</v>
      </c>
      <c r="C79" s="47" t="s">
        <v>184</v>
      </c>
      <c r="D79" s="47" t="s">
        <v>25</v>
      </c>
      <c r="E79" s="47" t="s">
        <v>26</v>
      </c>
    </row>
    <row r="80" ht="60" customHeight="1" spans="1:5">
      <c r="A80" s="48" t="s">
        <v>185</v>
      </c>
      <c r="B80" s="48">
        <v>79</v>
      </c>
      <c r="C80" s="47" t="s">
        <v>186</v>
      </c>
      <c r="D80" s="47" t="s">
        <v>25</v>
      </c>
      <c r="E80" s="47" t="s">
        <v>26</v>
      </c>
    </row>
    <row r="81" ht="60" customHeight="1" spans="1:5">
      <c r="A81" s="48" t="s">
        <v>187</v>
      </c>
      <c r="B81" s="48">
        <v>80</v>
      </c>
      <c r="C81" s="47" t="s">
        <v>188</v>
      </c>
      <c r="D81" s="47" t="s">
        <v>25</v>
      </c>
      <c r="E81" s="47" t="s">
        <v>26</v>
      </c>
    </row>
    <row r="82" ht="60" customHeight="1" spans="1:5">
      <c r="A82" s="48" t="s">
        <v>189</v>
      </c>
      <c r="B82" s="48">
        <v>81</v>
      </c>
      <c r="C82" s="47" t="s">
        <v>190</v>
      </c>
      <c r="D82" s="47" t="s">
        <v>25</v>
      </c>
      <c r="E82" s="47" t="s">
        <v>26</v>
      </c>
    </row>
    <row r="83" ht="60" customHeight="1" spans="1:5">
      <c r="A83" s="48" t="s">
        <v>191</v>
      </c>
      <c r="B83" s="48">
        <v>82</v>
      </c>
      <c r="C83" s="47" t="s">
        <v>192</v>
      </c>
      <c r="D83" s="47" t="s">
        <v>25</v>
      </c>
      <c r="E83" s="47" t="s">
        <v>26</v>
      </c>
    </row>
    <row r="84" ht="60" customHeight="1" spans="1:5">
      <c r="A84" s="48" t="s">
        <v>193</v>
      </c>
      <c r="B84" s="48">
        <v>83</v>
      </c>
      <c r="C84" s="47" t="s">
        <v>194</v>
      </c>
      <c r="D84" s="47" t="s">
        <v>25</v>
      </c>
      <c r="E84" s="47" t="s">
        <v>26</v>
      </c>
    </row>
    <row r="85" ht="60" customHeight="1" spans="1:5">
      <c r="A85" s="48" t="s">
        <v>195</v>
      </c>
      <c r="B85" s="48">
        <v>84</v>
      </c>
      <c r="C85" s="47" t="s">
        <v>196</v>
      </c>
      <c r="D85" s="47" t="s">
        <v>32</v>
      </c>
      <c r="E85" s="47" t="s">
        <v>26</v>
      </c>
    </row>
    <row r="86" ht="60" customHeight="1" spans="1:5">
      <c r="A86" s="48" t="s">
        <v>197</v>
      </c>
      <c r="B86" s="48">
        <v>85</v>
      </c>
      <c r="C86" s="47" t="s">
        <v>198</v>
      </c>
      <c r="D86" s="47" t="s">
        <v>25</v>
      </c>
      <c r="E86" s="47" t="s">
        <v>26</v>
      </c>
    </row>
    <row r="87" ht="60" customHeight="1" spans="1:5">
      <c r="A87" s="48" t="s">
        <v>199</v>
      </c>
      <c r="B87" s="48">
        <v>86</v>
      </c>
      <c r="C87" s="47" t="s">
        <v>200</v>
      </c>
      <c r="D87" s="47" t="s">
        <v>25</v>
      </c>
      <c r="E87" s="47" t="s">
        <v>26</v>
      </c>
    </row>
    <row r="88" ht="60" customHeight="1" spans="1:5">
      <c r="A88" s="48" t="s">
        <v>201</v>
      </c>
      <c r="B88" s="48">
        <v>87</v>
      </c>
      <c r="C88" s="47" t="s">
        <v>202</v>
      </c>
      <c r="D88" s="47" t="s">
        <v>32</v>
      </c>
      <c r="E88" s="47" t="s">
        <v>26</v>
      </c>
    </row>
    <row r="89" ht="60" customHeight="1" spans="1:5">
      <c r="A89" s="48" t="s">
        <v>203</v>
      </c>
      <c r="B89" s="48">
        <v>88</v>
      </c>
      <c r="C89" s="47" t="s">
        <v>204</v>
      </c>
      <c r="D89" s="47" t="s">
        <v>25</v>
      </c>
      <c r="E89" s="47" t="s">
        <v>26</v>
      </c>
    </row>
    <row r="90" ht="60" customHeight="1" spans="1:5">
      <c r="A90" s="48" t="s">
        <v>205</v>
      </c>
      <c r="B90" s="48">
        <v>89</v>
      </c>
      <c r="C90" s="47" t="s">
        <v>206</v>
      </c>
      <c r="D90" s="47" t="s">
        <v>25</v>
      </c>
      <c r="E90" s="47" t="s">
        <v>26</v>
      </c>
    </row>
    <row r="91" ht="60" customHeight="1" spans="1:5">
      <c r="A91" s="48" t="s">
        <v>207</v>
      </c>
      <c r="B91" s="48">
        <v>90</v>
      </c>
      <c r="C91" s="47" t="s">
        <v>208</v>
      </c>
      <c r="D91" s="47" t="s">
        <v>32</v>
      </c>
      <c r="E91" s="47" t="s">
        <v>26</v>
      </c>
    </row>
    <row r="92" ht="60" customHeight="1" spans="1:5">
      <c r="A92" s="48" t="s">
        <v>209</v>
      </c>
      <c r="B92" s="48">
        <v>91</v>
      </c>
      <c r="C92" s="47" t="s">
        <v>210</v>
      </c>
      <c r="D92" s="47" t="s">
        <v>32</v>
      </c>
      <c r="E92" s="47" t="s">
        <v>26</v>
      </c>
    </row>
    <row r="93" ht="60" customHeight="1" spans="1:5">
      <c r="A93" s="48" t="s">
        <v>211</v>
      </c>
      <c r="B93" s="48">
        <v>92</v>
      </c>
      <c r="C93" s="47" t="s">
        <v>212</v>
      </c>
      <c r="D93" s="47" t="s">
        <v>32</v>
      </c>
      <c r="E93" s="47" t="s">
        <v>26</v>
      </c>
    </row>
    <row r="94" ht="60" customHeight="1" spans="1:5">
      <c r="A94" s="48" t="s">
        <v>213</v>
      </c>
      <c r="B94" s="48">
        <v>93</v>
      </c>
      <c r="C94" s="47" t="s">
        <v>214</v>
      </c>
      <c r="D94" s="47" t="s">
        <v>25</v>
      </c>
      <c r="E94" s="47" t="s">
        <v>26</v>
      </c>
    </row>
    <row r="95" ht="60" customHeight="1" spans="1:5">
      <c r="A95" s="48" t="s">
        <v>215</v>
      </c>
      <c r="B95" s="48">
        <v>94</v>
      </c>
      <c r="C95" s="47" t="s">
        <v>216</v>
      </c>
      <c r="D95" s="47" t="s">
        <v>25</v>
      </c>
      <c r="E95" s="47" t="s">
        <v>26</v>
      </c>
    </row>
    <row r="96" ht="60" customHeight="1" spans="1:5">
      <c r="A96" s="48" t="s">
        <v>217</v>
      </c>
      <c r="B96" s="48">
        <v>95</v>
      </c>
      <c r="C96" s="47" t="s">
        <v>218</v>
      </c>
      <c r="D96" s="47" t="s">
        <v>25</v>
      </c>
      <c r="E96" s="47" t="s">
        <v>26</v>
      </c>
    </row>
    <row r="97" ht="60" customHeight="1" spans="1:5">
      <c r="A97" s="48" t="s">
        <v>219</v>
      </c>
      <c r="B97" s="48">
        <v>96</v>
      </c>
      <c r="C97" s="47" t="s">
        <v>220</v>
      </c>
      <c r="D97" s="47" t="s">
        <v>32</v>
      </c>
      <c r="E97" s="47" t="s">
        <v>26</v>
      </c>
    </row>
    <row r="98" ht="60" customHeight="1" spans="1:5">
      <c r="A98" s="48" t="s">
        <v>221</v>
      </c>
      <c r="B98" s="48">
        <v>97</v>
      </c>
      <c r="C98" s="47" t="s">
        <v>222</v>
      </c>
      <c r="D98" s="47" t="s">
        <v>32</v>
      </c>
      <c r="E98" s="47" t="s">
        <v>26</v>
      </c>
    </row>
    <row r="99" ht="60" customHeight="1" spans="1:5">
      <c r="A99" s="48" t="s">
        <v>223</v>
      </c>
      <c r="B99" s="48">
        <v>98</v>
      </c>
      <c r="C99" s="47" t="s">
        <v>224</v>
      </c>
      <c r="D99" s="47" t="s">
        <v>32</v>
      </c>
      <c r="E99" s="47" t="s">
        <v>26</v>
      </c>
    </row>
    <row r="100" ht="60" customHeight="1" spans="1:5">
      <c r="A100" s="48" t="s">
        <v>225</v>
      </c>
      <c r="B100" s="48">
        <v>99</v>
      </c>
      <c r="C100" s="47" t="s">
        <v>226</v>
      </c>
      <c r="D100" s="47" t="s">
        <v>25</v>
      </c>
      <c r="E100" s="47" t="s">
        <v>26</v>
      </c>
    </row>
    <row r="101" ht="60" customHeight="1" spans="1:5">
      <c r="A101" s="48" t="s">
        <v>227</v>
      </c>
      <c r="B101" s="48">
        <v>100</v>
      </c>
      <c r="C101" s="47" t="s">
        <v>228</v>
      </c>
      <c r="D101" s="47" t="s">
        <v>32</v>
      </c>
      <c r="E101" s="47" t="s">
        <v>26</v>
      </c>
    </row>
    <row r="102" ht="60" customHeight="1" spans="1:5">
      <c r="A102" s="48" t="s">
        <v>229</v>
      </c>
      <c r="B102" s="48">
        <v>101</v>
      </c>
      <c r="C102" s="47" t="s">
        <v>230</v>
      </c>
      <c r="D102" s="47" t="s">
        <v>25</v>
      </c>
      <c r="E102" s="47" t="s">
        <v>26</v>
      </c>
    </row>
    <row r="103" ht="60" customHeight="1" spans="1:5">
      <c r="A103" s="48" t="s">
        <v>231</v>
      </c>
      <c r="B103" s="48">
        <v>102</v>
      </c>
      <c r="C103" s="47" t="s">
        <v>232</v>
      </c>
      <c r="D103" s="47" t="s">
        <v>32</v>
      </c>
      <c r="E103" s="47" t="s">
        <v>26</v>
      </c>
    </row>
    <row r="104" ht="60" customHeight="1" spans="1:5">
      <c r="A104" s="48" t="s">
        <v>233</v>
      </c>
      <c r="B104" s="48">
        <v>103</v>
      </c>
      <c r="C104" s="47" t="s">
        <v>234</v>
      </c>
      <c r="D104" s="47" t="s">
        <v>32</v>
      </c>
      <c r="E104" s="47" t="s">
        <v>29</v>
      </c>
    </row>
    <row r="105" ht="60" customHeight="1" spans="1:5">
      <c r="A105" s="48" t="s">
        <v>235</v>
      </c>
      <c r="B105" s="48">
        <v>104</v>
      </c>
      <c r="C105" s="47" t="s">
        <v>236</v>
      </c>
      <c r="D105" s="47" t="s">
        <v>32</v>
      </c>
      <c r="E105" s="47" t="s">
        <v>26</v>
      </c>
    </row>
    <row r="106" ht="60" customHeight="1" spans="1:5">
      <c r="A106" s="48" t="s">
        <v>237</v>
      </c>
      <c r="B106" s="48">
        <v>105</v>
      </c>
      <c r="C106" s="47" t="s">
        <v>238</v>
      </c>
      <c r="D106" s="47" t="s">
        <v>32</v>
      </c>
      <c r="E106" s="47" t="s">
        <v>26</v>
      </c>
    </row>
    <row r="107" ht="60" customHeight="1" spans="1:5">
      <c r="A107" s="48" t="s">
        <v>239</v>
      </c>
      <c r="B107" s="48">
        <v>106</v>
      </c>
      <c r="C107" s="47" t="s">
        <v>240</v>
      </c>
      <c r="D107" s="47" t="s">
        <v>32</v>
      </c>
      <c r="E107" s="47" t="s">
        <v>26</v>
      </c>
    </row>
    <row r="108" ht="60" customHeight="1" spans="1:5">
      <c r="A108" s="48" t="s">
        <v>241</v>
      </c>
      <c r="B108" s="48">
        <v>107</v>
      </c>
      <c r="C108" s="47" t="s">
        <v>242</v>
      </c>
      <c r="D108" s="47" t="s">
        <v>25</v>
      </c>
      <c r="E108" s="47" t="s">
        <v>26</v>
      </c>
    </row>
    <row r="109" ht="60" customHeight="1" spans="1:5">
      <c r="A109" s="48" t="s">
        <v>243</v>
      </c>
      <c r="B109" s="48">
        <v>108</v>
      </c>
      <c r="C109" s="47" t="s">
        <v>244</v>
      </c>
      <c r="D109" s="47" t="s">
        <v>25</v>
      </c>
      <c r="E109" s="47" t="s">
        <v>26</v>
      </c>
    </row>
    <row r="110" ht="60" customHeight="1" spans="1:5">
      <c r="A110" s="48" t="s">
        <v>245</v>
      </c>
      <c r="B110" s="48">
        <v>109</v>
      </c>
      <c r="C110" s="47" t="s">
        <v>246</v>
      </c>
      <c r="D110" s="47" t="s">
        <v>25</v>
      </c>
      <c r="E110" s="47" t="s">
        <v>26</v>
      </c>
    </row>
    <row r="111" ht="60" customHeight="1" spans="1:5">
      <c r="A111" s="48" t="s">
        <v>247</v>
      </c>
      <c r="B111" s="48">
        <v>110</v>
      </c>
      <c r="C111" s="47" t="s">
        <v>248</v>
      </c>
      <c r="D111" s="47" t="s">
        <v>25</v>
      </c>
      <c r="E111" s="47" t="s">
        <v>26</v>
      </c>
    </row>
    <row r="112" ht="60" customHeight="1" spans="1:5">
      <c r="A112" s="48" t="s">
        <v>249</v>
      </c>
      <c r="B112" s="48">
        <v>111</v>
      </c>
      <c r="C112" s="47" t="s">
        <v>250</v>
      </c>
      <c r="D112" s="47" t="s">
        <v>25</v>
      </c>
      <c r="E112" s="47" t="s">
        <v>26</v>
      </c>
    </row>
    <row r="113" ht="60" customHeight="1" spans="1:5">
      <c r="A113" s="48" t="s">
        <v>251</v>
      </c>
      <c r="B113" s="48">
        <v>112</v>
      </c>
      <c r="C113" s="47" t="s">
        <v>252</v>
      </c>
      <c r="D113" s="47" t="s">
        <v>25</v>
      </c>
      <c r="E113" s="47" t="s">
        <v>26</v>
      </c>
    </row>
    <row r="114" ht="60" customHeight="1" spans="1:5">
      <c r="A114" s="48" t="s">
        <v>253</v>
      </c>
      <c r="B114" s="48">
        <v>113</v>
      </c>
      <c r="C114" s="47" t="s">
        <v>254</v>
      </c>
      <c r="D114" s="47" t="s">
        <v>25</v>
      </c>
      <c r="E114" s="47" t="s">
        <v>26</v>
      </c>
    </row>
    <row r="115" ht="60" customHeight="1" spans="1:5">
      <c r="A115" s="48" t="s">
        <v>255</v>
      </c>
      <c r="B115" s="48">
        <v>114</v>
      </c>
      <c r="C115" s="47" t="s">
        <v>256</v>
      </c>
      <c r="D115" s="47" t="s">
        <v>25</v>
      </c>
      <c r="E115" s="47" t="s">
        <v>26</v>
      </c>
    </row>
    <row r="116" ht="60" customHeight="1" spans="1:5">
      <c r="A116" s="48" t="s">
        <v>257</v>
      </c>
      <c r="B116" s="48">
        <v>115</v>
      </c>
      <c r="C116" s="47" t="s">
        <v>258</v>
      </c>
      <c r="D116" s="47" t="s">
        <v>25</v>
      </c>
      <c r="E116" s="47" t="s">
        <v>26</v>
      </c>
    </row>
    <row r="117" ht="60" customHeight="1" spans="1:5">
      <c r="A117" s="48" t="s">
        <v>259</v>
      </c>
      <c r="B117" s="48">
        <v>116</v>
      </c>
      <c r="C117" s="47" t="s">
        <v>260</v>
      </c>
      <c r="D117" s="47" t="s">
        <v>32</v>
      </c>
      <c r="E117" s="47" t="s">
        <v>26</v>
      </c>
    </row>
    <row r="118" ht="60" customHeight="1" spans="1:5">
      <c r="A118" s="48" t="s">
        <v>261</v>
      </c>
      <c r="B118" s="48">
        <v>117</v>
      </c>
      <c r="C118" s="47" t="s">
        <v>262</v>
      </c>
      <c r="D118" s="47" t="s">
        <v>25</v>
      </c>
      <c r="E118" s="47" t="s">
        <v>26</v>
      </c>
    </row>
    <row r="119" ht="60" customHeight="1" spans="1:5">
      <c r="A119" s="48" t="s">
        <v>263</v>
      </c>
      <c r="B119" s="48">
        <v>118</v>
      </c>
      <c r="C119" s="47" t="s">
        <v>264</v>
      </c>
      <c r="D119" s="47" t="s">
        <v>25</v>
      </c>
      <c r="E119" s="47" t="s">
        <v>26</v>
      </c>
    </row>
    <row r="120" ht="60" customHeight="1" spans="1:5">
      <c r="A120" s="48" t="s">
        <v>265</v>
      </c>
      <c r="B120" s="48">
        <v>119</v>
      </c>
      <c r="C120" s="47" t="s">
        <v>266</v>
      </c>
      <c r="D120" s="47" t="s">
        <v>25</v>
      </c>
      <c r="E120" s="47" t="s">
        <v>26</v>
      </c>
    </row>
    <row r="121" ht="60" customHeight="1" spans="1:5">
      <c r="A121" s="48" t="s">
        <v>267</v>
      </c>
      <c r="B121" s="48">
        <v>120</v>
      </c>
      <c r="C121" s="47" t="s">
        <v>268</v>
      </c>
      <c r="D121" s="47" t="s">
        <v>32</v>
      </c>
      <c r="E121" s="47" t="s">
        <v>26</v>
      </c>
    </row>
    <row r="122" ht="60" customHeight="1" spans="1:5">
      <c r="A122" s="48" t="s">
        <v>269</v>
      </c>
      <c r="B122" s="48">
        <v>121</v>
      </c>
      <c r="C122" s="47" t="s">
        <v>270</v>
      </c>
      <c r="D122" s="47" t="s">
        <v>25</v>
      </c>
      <c r="E122" s="47" t="s">
        <v>29</v>
      </c>
    </row>
    <row r="123" ht="60" customHeight="1" spans="1:5">
      <c r="A123" s="48" t="s">
        <v>271</v>
      </c>
      <c r="B123" s="48">
        <v>122</v>
      </c>
      <c r="C123" s="47" t="s">
        <v>272</v>
      </c>
      <c r="D123" s="47" t="s">
        <v>32</v>
      </c>
      <c r="E123" s="47" t="s">
        <v>26</v>
      </c>
    </row>
    <row r="124" ht="60" customHeight="1" spans="1:5">
      <c r="A124" s="48" t="s">
        <v>273</v>
      </c>
      <c r="B124" s="48">
        <v>123</v>
      </c>
      <c r="C124" s="47" t="s">
        <v>274</v>
      </c>
      <c r="D124" s="47" t="s">
        <v>32</v>
      </c>
      <c r="E124" s="47" t="s">
        <v>26</v>
      </c>
    </row>
    <row r="125" ht="60" customHeight="1" spans="1:5">
      <c r="A125" s="48" t="s">
        <v>275</v>
      </c>
      <c r="B125" s="48">
        <v>124</v>
      </c>
      <c r="C125" s="47" t="s">
        <v>276</v>
      </c>
      <c r="D125" s="47" t="s">
        <v>32</v>
      </c>
      <c r="E125" s="47" t="s">
        <v>26</v>
      </c>
    </row>
    <row r="126" ht="60" customHeight="1" spans="1:5">
      <c r="A126" s="48" t="s">
        <v>277</v>
      </c>
      <c r="B126" s="48">
        <v>125</v>
      </c>
      <c r="C126" s="47" t="s">
        <v>278</v>
      </c>
      <c r="D126" s="47" t="s">
        <v>32</v>
      </c>
      <c r="E126" s="47" t="s">
        <v>26</v>
      </c>
    </row>
    <row r="127" ht="60" customHeight="1" spans="1:5">
      <c r="A127" s="48" t="s">
        <v>279</v>
      </c>
      <c r="B127" s="48">
        <v>126</v>
      </c>
      <c r="C127" s="47" t="s">
        <v>280</v>
      </c>
      <c r="D127" s="47" t="s">
        <v>32</v>
      </c>
      <c r="E127" s="47" t="s">
        <v>26</v>
      </c>
    </row>
    <row r="128" ht="60" customHeight="1" spans="1:5">
      <c r="A128" s="48" t="s">
        <v>281</v>
      </c>
      <c r="B128" s="48">
        <v>127</v>
      </c>
      <c r="C128" s="47" t="s">
        <v>282</v>
      </c>
      <c r="D128" s="47" t="s">
        <v>25</v>
      </c>
      <c r="E128" s="47" t="s">
        <v>26</v>
      </c>
    </row>
    <row r="129" ht="60" customHeight="1" spans="1:5">
      <c r="A129" s="48" t="s">
        <v>283</v>
      </c>
      <c r="B129" s="48">
        <v>128</v>
      </c>
      <c r="C129" s="47" t="s">
        <v>284</v>
      </c>
      <c r="D129" s="47" t="s">
        <v>32</v>
      </c>
      <c r="E129" s="47" t="s">
        <v>26</v>
      </c>
    </row>
    <row r="130" ht="60" customHeight="1" spans="1:5">
      <c r="A130" s="48" t="s">
        <v>285</v>
      </c>
      <c r="B130" s="48">
        <v>129</v>
      </c>
      <c r="C130" s="47" t="s">
        <v>286</v>
      </c>
      <c r="D130" s="47" t="s">
        <v>25</v>
      </c>
      <c r="E130" s="47" t="s">
        <v>26</v>
      </c>
    </row>
    <row r="131" ht="60" customHeight="1" spans="1:5">
      <c r="A131" s="48" t="s">
        <v>287</v>
      </c>
      <c r="B131" s="48">
        <v>130</v>
      </c>
      <c r="C131" s="47" t="s">
        <v>288</v>
      </c>
      <c r="D131" s="47" t="s">
        <v>32</v>
      </c>
      <c r="E131" s="47" t="s">
        <v>26</v>
      </c>
    </row>
    <row r="132" ht="60" customHeight="1" spans="1:5">
      <c r="A132" s="48" t="s">
        <v>289</v>
      </c>
      <c r="B132" s="48">
        <v>131</v>
      </c>
      <c r="C132" s="47" t="s">
        <v>290</v>
      </c>
      <c r="D132" s="47" t="s">
        <v>32</v>
      </c>
      <c r="E132" s="47" t="s">
        <v>26</v>
      </c>
    </row>
    <row r="133" ht="60" customHeight="1" spans="1:5">
      <c r="A133" s="48" t="s">
        <v>291</v>
      </c>
      <c r="B133" s="48">
        <v>132</v>
      </c>
      <c r="C133" s="47" t="s">
        <v>292</v>
      </c>
      <c r="D133" s="47" t="s">
        <v>32</v>
      </c>
      <c r="E133" s="47" t="s">
        <v>26</v>
      </c>
    </row>
    <row r="134" ht="60" customHeight="1" spans="1:5">
      <c r="A134" s="48" t="s">
        <v>293</v>
      </c>
      <c r="B134" s="48">
        <v>133</v>
      </c>
      <c r="C134" s="47" t="s">
        <v>294</v>
      </c>
      <c r="D134" s="47" t="s">
        <v>32</v>
      </c>
      <c r="E134" s="47" t="s">
        <v>26</v>
      </c>
    </row>
    <row r="135" ht="60" customHeight="1" spans="1:5">
      <c r="A135" s="48" t="s">
        <v>295</v>
      </c>
      <c r="B135" s="48">
        <v>134</v>
      </c>
      <c r="C135" s="47" t="s">
        <v>296</v>
      </c>
      <c r="D135" s="47" t="s">
        <v>32</v>
      </c>
      <c r="E135" s="47" t="s">
        <v>26</v>
      </c>
    </row>
    <row r="136" ht="60" customHeight="1" spans="1:5">
      <c r="A136" s="48" t="s">
        <v>297</v>
      </c>
      <c r="B136" s="48">
        <v>135</v>
      </c>
      <c r="C136" s="47" t="s">
        <v>298</v>
      </c>
      <c r="D136" s="47" t="s">
        <v>25</v>
      </c>
      <c r="E136" s="47" t="s">
        <v>26</v>
      </c>
    </row>
    <row r="137" ht="60" customHeight="1" spans="1:5">
      <c r="A137" s="48" t="s">
        <v>299</v>
      </c>
      <c r="B137" s="48">
        <v>136</v>
      </c>
      <c r="C137" s="47" t="s">
        <v>300</v>
      </c>
      <c r="D137" s="47" t="s">
        <v>32</v>
      </c>
      <c r="E137" s="47" t="s">
        <v>26</v>
      </c>
    </row>
    <row r="138" ht="60" customHeight="1" spans="1:5">
      <c r="A138" s="48" t="s">
        <v>301</v>
      </c>
      <c r="B138" s="48">
        <v>137</v>
      </c>
      <c r="C138" s="47" t="s">
        <v>302</v>
      </c>
      <c r="D138" s="47" t="s">
        <v>25</v>
      </c>
      <c r="E138" s="47" t="s">
        <v>26</v>
      </c>
    </row>
    <row r="139" ht="60" customHeight="1" spans="1:5">
      <c r="A139" s="48" t="s">
        <v>303</v>
      </c>
      <c r="B139" s="48">
        <v>138</v>
      </c>
      <c r="C139" s="47" t="s">
        <v>304</v>
      </c>
      <c r="D139" s="47" t="s">
        <v>32</v>
      </c>
      <c r="E139" s="47" t="s">
        <v>26</v>
      </c>
    </row>
    <row r="140" ht="60" customHeight="1" spans="1:5">
      <c r="A140" s="48" t="s">
        <v>305</v>
      </c>
      <c r="B140" s="48">
        <v>139</v>
      </c>
      <c r="C140" s="47" t="s">
        <v>306</v>
      </c>
      <c r="D140" s="47" t="s">
        <v>32</v>
      </c>
      <c r="E140" s="47" t="s">
        <v>26</v>
      </c>
    </row>
    <row r="141" ht="60" customHeight="1" spans="1:5">
      <c r="A141" s="48" t="s">
        <v>307</v>
      </c>
      <c r="B141" s="48">
        <v>140</v>
      </c>
      <c r="C141" s="47" t="s">
        <v>308</v>
      </c>
      <c r="D141" s="47" t="s">
        <v>32</v>
      </c>
      <c r="E141" s="47" t="s">
        <v>26</v>
      </c>
    </row>
    <row r="142" ht="60" customHeight="1" spans="1:5">
      <c r="A142" s="48" t="s">
        <v>309</v>
      </c>
      <c r="B142" s="48">
        <v>141</v>
      </c>
      <c r="C142" s="47" t="s">
        <v>310</v>
      </c>
      <c r="D142" s="47" t="s">
        <v>32</v>
      </c>
      <c r="E142" s="47" t="s">
        <v>26</v>
      </c>
    </row>
    <row r="143" ht="60" customHeight="1" spans="1:5">
      <c r="A143" s="48" t="s">
        <v>311</v>
      </c>
      <c r="B143" s="48">
        <v>142</v>
      </c>
      <c r="C143" s="47" t="s">
        <v>312</v>
      </c>
      <c r="D143" s="47" t="s">
        <v>32</v>
      </c>
      <c r="E143" s="47" t="s">
        <v>26</v>
      </c>
    </row>
    <row r="144" ht="60" customHeight="1" spans="1:5">
      <c r="A144" s="48" t="s">
        <v>313</v>
      </c>
      <c r="B144" s="48">
        <v>143</v>
      </c>
      <c r="C144" s="47" t="s">
        <v>314</v>
      </c>
      <c r="D144" s="47" t="s">
        <v>32</v>
      </c>
      <c r="E144" s="47" t="s">
        <v>26</v>
      </c>
    </row>
    <row r="145" ht="60" customHeight="1" spans="1:5">
      <c r="A145" s="48" t="s">
        <v>315</v>
      </c>
      <c r="B145" s="48">
        <v>144</v>
      </c>
      <c r="C145" s="47" t="s">
        <v>316</v>
      </c>
      <c r="D145" s="47" t="s">
        <v>32</v>
      </c>
      <c r="E145" s="47" t="s">
        <v>26</v>
      </c>
    </row>
    <row r="146" ht="60" customHeight="1" spans="1:5">
      <c r="A146" s="48" t="s">
        <v>317</v>
      </c>
      <c r="B146" s="48">
        <v>145</v>
      </c>
      <c r="C146" s="47" t="s">
        <v>318</v>
      </c>
      <c r="D146" s="47" t="s">
        <v>25</v>
      </c>
      <c r="E146" s="47" t="s">
        <v>26</v>
      </c>
    </row>
    <row r="147" ht="60" customHeight="1" spans="1:5">
      <c r="A147" s="48" t="s">
        <v>319</v>
      </c>
      <c r="B147" s="48">
        <v>146</v>
      </c>
      <c r="C147" s="47" t="s">
        <v>320</v>
      </c>
      <c r="D147" s="47" t="s">
        <v>25</v>
      </c>
      <c r="E147" s="47" t="s">
        <v>26</v>
      </c>
    </row>
    <row r="148" ht="60" customHeight="1" spans="1:5">
      <c r="A148" s="48" t="s">
        <v>321</v>
      </c>
      <c r="B148" s="48">
        <v>147</v>
      </c>
      <c r="C148" s="47" t="s">
        <v>322</v>
      </c>
      <c r="D148" s="47" t="s">
        <v>32</v>
      </c>
      <c r="E148" s="47" t="s">
        <v>26</v>
      </c>
    </row>
    <row r="149" ht="60" customHeight="1" spans="1:5">
      <c r="A149" s="48" t="s">
        <v>323</v>
      </c>
      <c r="B149" s="48">
        <v>148</v>
      </c>
      <c r="C149" s="47" t="s">
        <v>324</v>
      </c>
      <c r="D149" s="47" t="s">
        <v>32</v>
      </c>
      <c r="E149" s="47" t="s">
        <v>26</v>
      </c>
    </row>
    <row r="150" ht="60" customHeight="1" spans="1:5">
      <c r="A150" s="48" t="s">
        <v>325</v>
      </c>
      <c r="B150" s="48">
        <v>149</v>
      </c>
      <c r="C150" s="47" t="s">
        <v>326</v>
      </c>
      <c r="D150" s="47" t="s">
        <v>32</v>
      </c>
      <c r="E150" s="47" t="s">
        <v>26</v>
      </c>
    </row>
    <row r="151" ht="60" customHeight="1" spans="1:5">
      <c r="A151" s="48" t="s">
        <v>327</v>
      </c>
      <c r="B151" s="48">
        <v>150</v>
      </c>
      <c r="C151" s="47" t="s">
        <v>328</v>
      </c>
      <c r="D151" s="47" t="s">
        <v>32</v>
      </c>
      <c r="E151" s="47" t="s">
        <v>26</v>
      </c>
    </row>
    <row r="152" ht="60" customHeight="1" spans="1:5">
      <c r="A152" s="48" t="s">
        <v>329</v>
      </c>
      <c r="B152" s="48">
        <v>151</v>
      </c>
      <c r="C152" s="47" t="s">
        <v>330</v>
      </c>
      <c r="D152" s="47" t="s">
        <v>32</v>
      </c>
      <c r="E152" s="47" t="s">
        <v>26</v>
      </c>
    </row>
    <row r="153" ht="60" customHeight="1" spans="1:5">
      <c r="A153" s="48" t="s">
        <v>331</v>
      </c>
      <c r="B153" s="48">
        <v>152</v>
      </c>
      <c r="C153" s="47" t="s">
        <v>332</v>
      </c>
      <c r="D153" s="47" t="s">
        <v>25</v>
      </c>
      <c r="E153" s="47" t="s">
        <v>26</v>
      </c>
    </row>
    <row r="154" ht="60" customHeight="1" spans="1:5">
      <c r="A154" s="48" t="s">
        <v>333</v>
      </c>
      <c r="B154" s="48">
        <v>153</v>
      </c>
      <c r="C154" s="47" t="s">
        <v>334</v>
      </c>
      <c r="D154" s="47" t="s">
        <v>32</v>
      </c>
      <c r="E154" s="47" t="s">
        <v>26</v>
      </c>
    </row>
    <row r="155" ht="60" customHeight="1" spans="1:5">
      <c r="A155" s="48" t="s">
        <v>335</v>
      </c>
      <c r="B155" s="48">
        <v>154</v>
      </c>
      <c r="C155" s="47" t="s">
        <v>336</v>
      </c>
      <c r="D155" s="47" t="s">
        <v>32</v>
      </c>
      <c r="E155" s="47" t="s">
        <v>26</v>
      </c>
    </row>
    <row r="156" ht="60" customHeight="1" spans="1:5">
      <c r="A156" s="48" t="s">
        <v>337</v>
      </c>
      <c r="B156" s="48">
        <v>155</v>
      </c>
      <c r="C156" s="47" t="s">
        <v>338</v>
      </c>
      <c r="D156" s="47" t="s">
        <v>32</v>
      </c>
      <c r="E156" s="47" t="s">
        <v>26</v>
      </c>
    </row>
    <row r="157" ht="60" customHeight="1" spans="1:5">
      <c r="A157" s="48" t="s">
        <v>339</v>
      </c>
      <c r="B157" s="48">
        <v>156</v>
      </c>
      <c r="C157" s="47" t="s">
        <v>340</v>
      </c>
      <c r="D157" s="47" t="s">
        <v>32</v>
      </c>
      <c r="E157" s="47" t="s">
        <v>26</v>
      </c>
    </row>
    <row r="158" ht="60" customHeight="1" spans="1:5">
      <c r="A158" s="48" t="s">
        <v>341</v>
      </c>
      <c r="B158" s="48">
        <v>157</v>
      </c>
      <c r="C158" s="47" t="s">
        <v>342</v>
      </c>
      <c r="D158" s="47" t="s">
        <v>32</v>
      </c>
      <c r="E158" s="47" t="s">
        <v>26</v>
      </c>
    </row>
    <row r="159" ht="60" customHeight="1" spans="1:5">
      <c r="A159" s="48" t="s">
        <v>343</v>
      </c>
      <c r="B159" s="48">
        <v>158</v>
      </c>
      <c r="C159" s="47" t="s">
        <v>344</v>
      </c>
      <c r="D159" s="47" t="s">
        <v>32</v>
      </c>
      <c r="E159" s="47" t="s">
        <v>26</v>
      </c>
    </row>
    <row r="160" ht="60" customHeight="1" spans="1:5">
      <c r="A160" s="48" t="s">
        <v>345</v>
      </c>
      <c r="B160" s="48">
        <v>159</v>
      </c>
      <c r="C160" s="47" t="s">
        <v>346</v>
      </c>
      <c r="D160" s="47" t="s">
        <v>32</v>
      </c>
      <c r="E160" s="47" t="s">
        <v>26</v>
      </c>
    </row>
    <row r="161" ht="60" customHeight="1" spans="1:5">
      <c r="A161" s="48" t="s">
        <v>347</v>
      </c>
      <c r="B161" s="48">
        <v>160</v>
      </c>
      <c r="C161" s="47" t="s">
        <v>348</v>
      </c>
      <c r="D161" s="47" t="s">
        <v>32</v>
      </c>
      <c r="E161" s="47" t="s">
        <v>26</v>
      </c>
    </row>
    <row r="162" ht="60" customHeight="1" spans="1:5">
      <c r="A162" s="48" t="s">
        <v>349</v>
      </c>
      <c r="B162" s="48">
        <v>161</v>
      </c>
      <c r="C162" s="47" t="s">
        <v>350</v>
      </c>
      <c r="D162" s="47" t="s">
        <v>32</v>
      </c>
      <c r="E162" s="47" t="s">
        <v>26</v>
      </c>
    </row>
    <row r="163" ht="60" customHeight="1" spans="1:5">
      <c r="A163" s="48" t="s">
        <v>351</v>
      </c>
      <c r="B163" s="48">
        <v>162</v>
      </c>
      <c r="C163" s="47" t="s">
        <v>352</v>
      </c>
      <c r="D163" s="47" t="s">
        <v>32</v>
      </c>
      <c r="E163" s="47" t="s">
        <v>26</v>
      </c>
    </row>
    <row r="164" ht="60" customHeight="1" spans="1:5">
      <c r="A164" s="48" t="s">
        <v>353</v>
      </c>
      <c r="B164" s="48">
        <v>163</v>
      </c>
      <c r="C164" s="47" t="s">
        <v>354</v>
      </c>
      <c r="D164" s="47" t="s">
        <v>25</v>
      </c>
      <c r="E164" s="47" t="s">
        <v>26</v>
      </c>
    </row>
    <row r="165" ht="60" customHeight="1" spans="1:5">
      <c r="A165" s="48" t="s">
        <v>355</v>
      </c>
      <c r="B165" s="48">
        <v>164</v>
      </c>
      <c r="C165" s="47" t="s">
        <v>356</v>
      </c>
      <c r="D165" s="47" t="s">
        <v>32</v>
      </c>
      <c r="E165" s="47" t="s">
        <v>26</v>
      </c>
    </row>
    <row r="166" ht="60" customHeight="1" spans="1:5">
      <c r="A166" s="48" t="s">
        <v>357</v>
      </c>
      <c r="B166" s="48">
        <v>165</v>
      </c>
      <c r="C166" s="47" t="s">
        <v>358</v>
      </c>
      <c r="D166" s="47" t="s">
        <v>32</v>
      </c>
      <c r="E166" s="47" t="s">
        <v>26</v>
      </c>
    </row>
    <row r="167" ht="60" customHeight="1" spans="1:5">
      <c r="A167" s="48" t="s">
        <v>359</v>
      </c>
      <c r="B167" s="48">
        <v>166</v>
      </c>
      <c r="C167" s="47" t="s">
        <v>360</v>
      </c>
      <c r="D167" s="47" t="s">
        <v>32</v>
      </c>
      <c r="E167" s="47" t="s">
        <v>26</v>
      </c>
    </row>
    <row r="168" ht="60" customHeight="1" spans="1:5">
      <c r="A168" s="48" t="s">
        <v>361</v>
      </c>
      <c r="B168" s="48">
        <v>167</v>
      </c>
      <c r="C168" s="47" t="s">
        <v>362</v>
      </c>
      <c r="D168" s="47" t="s">
        <v>32</v>
      </c>
      <c r="E168" s="47" t="s">
        <v>26</v>
      </c>
    </row>
    <row r="169" ht="60" customHeight="1" spans="1:5">
      <c r="A169" s="48" t="s">
        <v>363</v>
      </c>
      <c r="B169" s="48">
        <v>168</v>
      </c>
      <c r="C169" s="47" t="s">
        <v>364</v>
      </c>
      <c r="D169" s="47" t="s">
        <v>32</v>
      </c>
      <c r="E169" s="47" t="s">
        <v>26</v>
      </c>
    </row>
    <row r="170" ht="60" customHeight="1" spans="1:5">
      <c r="A170" s="48" t="s">
        <v>365</v>
      </c>
      <c r="B170" s="48">
        <v>169</v>
      </c>
      <c r="C170" s="47" t="s">
        <v>366</v>
      </c>
      <c r="D170" s="47" t="s">
        <v>32</v>
      </c>
      <c r="E170" s="47" t="s">
        <v>26</v>
      </c>
    </row>
    <row r="171" ht="60" customHeight="1" spans="1:5">
      <c r="A171" s="48" t="s">
        <v>367</v>
      </c>
      <c r="B171" s="48">
        <v>170</v>
      </c>
      <c r="C171" s="47" t="s">
        <v>368</v>
      </c>
      <c r="D171" s="47" t="s">
        <v>32</v>
      </c>
      <c r="E171" s="47" t="s">
        <v>26</v>
      </c>
    </row>
    <row r="172" ht="60" customHeight="1" spans="1:5">
      <c r="A172" s="48" t="s">
        <v>369</v>
      </c>
      <c r="B172" s="48">
        <v>171</v>
      </c>
      <c r="C172" s="47" t="s">
        <v>370</v>
      </c>
      <c r="D172" s="47" t="s">
        <v>25</v>
      </c>
      <c r="E172" s="47" t="s">
        <v>26</v>
      </c>
    </row>
    <row r="173" ht="60" customHeight="1" spans="1:5">
      <c r="A173" s="48" t="s">
        <v>371</v>
      </c>
      <c r="B173" s="48">
        <v>172</v>
      </c>
      <c r="C173" s="47" t="s">
        <v>372</v>
      </c>
      <c r="D173" s="47" t="s">
        <v>32</v>
      </c>
      <c r="E173" s="47" t="s">
        <v>26</v>
      </c>
    </row>
    <row r="174" ht="60" customHeight="1" spans="1:5">
      <c r="A174" s="48" t="s">
        <v>373</v>
      </c>
      <c r="B174" s="48">
        <v>173</v>
      </c>
      <c r="C174" s="47" t="s">
        <v>374</v>
      </c>
      <c r="D174" s="47" t="s">
        <v>32</v>
      </c>
      <c r="E174" s="47" t="s">
        <v>26</v>
      </c>
    </row>
    <row r="175" ht="60" customHeight="1" spans="1:5">
      <c r="A175" s="48" t="s">
        <v>375</v>
      </c>
      <c r="B175" s="48">
        <v>174</v>
      </c>
      <c r="C175" s="47" t="s">
        <v>376</v>
      </c>
      <c r="D175" s="47" t="s">
        <v>32</v>
      </c>
      <c r="E175" s="47" t="s">
        <v>26</v>
      </c>
    </row>
    <row r="176" ht="60" customHeight="1" spans="1:5">
      <c r="A176" s="48" t="s">
        <v>377</v>
      </c>
      <c r="B176" s="48">
        <v>175</v>
      </c>
      <c r="C176" s="47" t="s">
        <v>378</v>
      </c>
      <c r="D176" s="47" t="s">
        <v>32</v>
      </c>
      <c r="E176" s="47" t="s">
        <v>26</v>
      </c>
    </row>
    <row r="177" ht="60" customHeight="1" spans="1:5">
      <c r="A177" s="48" t="s">
        <v>379</v>
      </c>
      <c r="B177" s="48">
        <v>176</v>
      </c>
      <c r="C177" s="47" t="s">
        <v>380</v>
      </c>
      <c r="D177" s="47" t="s">
        <v>32</v>
      </c>
      <c r="E177" s="47" t="s">
        <v>26</v>
      </c>
    </row>
    <row r="178" ht="60" customHeight="1" spans="1:5">
      <c r="A178" s="48" t="s">
        <v>381</v>
      </c>
      <c r="B178" s="48">
        <v>177</v>
      </c>
      <c r="C178" s="47" t="s">
        <v>382</v>
      </c>
      <c r="D178" s="47" t="s">
        <v>32</v>
      </c>
      <c r="E178" s="47" t="s">
        <v>26</v>
      </c>
    </row>
    <row r="179" ht="60" customHeight="1" spans="1:5">
      <c r="A179" s="48" t="s">
        <v>383</v>
      </c>
      <c r="B179" s="48">
        <v>178</v>
      </c>
      <c r="C179" s="47" t="s">
        <v>384</v>
      </c>
      <c r="D179" s="47" t="s">
        <v>32</v>
      </c>
      <c r="E179" s="47" t="s">
        <v>26</v>
      </c>
    </row>
    <row r="180" ht="60" customHeight="1" spans="1:5">
      <c r="A180" s="48" t="s">
        <v>385</v>
      </c>
      <c r="B180" s="48">
        <v>179</v>
      </c>
      <c r="C180" s="47" t="s">
        <v>386</v>
      </c>
      <c r="D180" s="47" t="s">
        <v>32</v>
      </c>
      <c r="E180" s="47" t="s">
        <v>26</v>
      </c>
    </row>
    <row r="181" ht="60" customHeight="1" spans="1:5">
      <c r="A181" s="48" t="s">
        <v>387</v>
      </c>
      <c r="B181" s="48">
        <v>180</v>
      </c>
      <c r="C181" s="47" t="s">
        <v>388</v>
      </c>
      <c r="D181" s="47" t="s">
        <v>32</v>
      </c>
      <c r="E181" s="47" t="s">
        <v>26</v>
      </c>
    </row>
    <row r="182" ht="60" customHeight="1" spans="1:5">
      <c r="A182" s="48" t="s">
        <v>389</v>
      </c>
      <c r="B182" s="48">
        <v>181</v>
      </c>
      <c r="C182" s="47" t="s">
        <v>390</v>
      </c>
      <c r="D182" s="47" t="s">
        <v>32</v>
      </c>
      <c r="E182" s="47" t="s">
        <v>26</v>
      </c>
    </row>
    <row r="183" ht="60" customHeight="1" spans="1:5">
      <c r="A183" s="48" t="s">
        <v>391</v>
      </c>
      <c r="B183" s="48">
        <v>182</v>
      </c>
      <c r="C183" s="47" t="s">
        <v>392</v>
      </c>
      <c r="D183" s="47" t="s">
        <v>32</v>
      </c>
      <c r="E183" s="47" t="s">
        <v>26</v>
      </c>
    </row>
    <row r="184" ht="60" customHeight="1" spans="1:5">
      <c r="A184" s="48" t="s">
        <v>393</v>
      </c>
      <c r="B184" s="48">
        <v>183</v>
      </c>
      <c r="C184" s="47" t="s">
        <v>394</v>
      </c>
      <c r="D184" s="47" t="s">
        <v>32</v>
      </c>
      <c r="E184" s="47" t="s">
        <v>26</v>
      </c>
    </row>
    <row r="185" ht="60" customHeight="1" spans="1:5">
      <c r="A185" s="48" t="s">
        <v>395</v>
      </c>
      <c r="B185" s="48">
        <v>184</v>
      </c>
      <c r="C185" s="47" t="s">
        <v>396</v>
      </c>
      <c r="D185" s="47" t="s">
        <v>32</v>
      </c>
      <c r="E185" s="47" t="s">
        <v>26</v>
      </c>
    </row>
    <row r="186" ht="60" customHeight="1" spans="1:5">
      <c r="A186" s="48" t="s">
        <v>397</v>
      </c>
      <c r="B186" s="48">
        <v>185</v>
      </c>
      <c r="C186" s="47" t="s">
        <v>398</v>
      </c>
      <c r="D186" s="47" t="s">
        <v>32</v>
      </c>
      <c r="E186" s="47" t="s">
        <v>26</v>
      </c>
    </row>
    <row r="187" ht="60" customHeight="1" spans="1:5">
      <c r="A187" s="48" t="s">
        <v>399</v>
      </c>
      <c r="B187" s="48">
        <v>186</v>
      </c>
      <c r="C187" s="47" t="s">
        <v>400</v>
      </c>
      <c r="D187" s="47" t="s">
        <v>32</v>
      </c>
      <c r="E187" s="47" t="s">
        <v>26</v>
      </c>
    </row>
    <row r="188" ht="60" customHeight="1" spans="1:5">
      <c r="A188" s="48" t="s">
        <v>401</v>
      </c>
      <c r="B188" s="48">
        <v>187</v>
      </c>
      <c r="C188" s="47" t="s">
        <v>402</v>
      </c>
      <c r="D188" s="47" t="s">
        <v>32</v>
      </c>
      <c r="E188" s="47" t="s">
        <v>26</v>
      </c>
    </row>
    <row r="189" ht="60" customHeight="1" spans="1:5">
      <c r="A189" s="48" t="s">
        <v>403</v>
      </c>
      <c r="B189" s="48">
        <v>188</v>
      </c>
      <c r="C189" s="47" t="s">
        <v>404</v>
      </c>
      <c r="D189" s="47" t="s">
        <v>32</v>
      </c>
      <c r="E189" s="47" t="s">
        <v>26</v>
      </c>
    </row>
    <row r="190" ht="60" customHeight="1" spans="1:5">
      <c r="A190" s="48" t="s">
        <v>405</v>
      </c>
      <c r="B190" s="48">
        <v>189</v>
      </c>
      <c r="C190" s="47" t="s">
        <v>406</v>
      </c>
      <c r="D190" s="47" t="s">
        <v>32</v>
      </c>
      <c r="E190" s="47" t="s">
        <v>26</v>
      </c>
    </row>
    <row r="191" ht="60" customHeight="1" spans="1:5">
      <c r="A191" s="48" t="s">
        <v>407</v>
      </c>
      <c r="B191" s="48">
        <v>190</v>
      </c>
      <c r="C191" s="47" t="s">
        <v>408</v>
      </c>
      <c r="D191" s="47" t="s">
        <v>25</v>
      </c>
      <c r="E191" s="47" t="s">
        <v>26</v>
      </c>
    </row>
    <row r="192" ht="60" customHeight="1" spans="1:5">
      <c r="A192" s="48" t="s">
        <v>409</v>
      </c>
      <c r="B192" s="48">
        <v>191</v>
      </c>
      <c r="C192" s="47" t="s">
        <v>410</v>
      </c>
      <c r="D192" s="47" t="s">
        <v>25</v>
      </c>
      <c r="E192" s="47" t="s">
        <v>26</v>
      </c>
    </row>
    <row r="193" ht="60" customHeight="1" spans="1:5">
      <c r="A193" s="48" t="s">
        <v>411</v>
      </c>
      <c r="B193" s="48">
        <v>192</v>
      </c>
      <c r="C193" s="47" t="s">
        <v>412</v>
      </c>
      <c r="D193" s="47" t="s">
        <v>25</v>
      </c>
      <c r="E193" s="47" t="s">
        <v>26</v>
      </c>
    </row>
    <row r="194" ht="60" customHeight="1" spans="1:5">
      <c r="A194" s="48" t="s">
        <v>413</v>
      </c>
      <c r="B194" s="48">
        <v>193</v>
      </c>
      <c r="C194" s="47" t="s">
        <v>414</v>
      </c>
      <c r="D194" s="47" t="s">
        <v>25</v>
      </c>
      <c r="E194" s="47" t="s">
        <v>26</v>
      </c>
    </row>
    <row r="195" ht="60" customHeight="1" spans="1:5">
      <c r="A195" s="48" t="s">
        <v>415</v>
      </c>
      <c r="B195" s="48">
        <v>194</v>
      </c>
      <c r="C195" s="47" t="s">
        <v>416</v>
      </c>
      <c r="D195" s="47" t="s">
        <v>32</v>
      </c>
      <c r="E195" s="47" t="s">
        <v>26</v>
      </c>
    </row>
    <row r="196" ht="60" customHeight="1" spans="1:5">
      <c r="A196" s="48" t="s">
        <v>417</v>
      </c>
      <c r="B196" s="48">
        <v>195</v>
      </c>
      <c r="C196" s="47" t="s">
        <v>418</v>
      </c>
      <c r="D196" s="47" t="s">
        <v>25</v>
      </c>
      <c r="E196" s="47" t="s">
        <v>39</v>
      </c>
    </row>
    <row r="197" ht="60" customHeight="1" spans="1:5">
      <c r="A197" s="48" t="s">
        <v>419</v>
      </c>
      <c r="B197" s="48">
        <v>196</v>
      </c>
      <c r="C197" s="47" t="s">
        <v>420</v>
      </c>
      <c r="D197" s="47" t="s">
        <v>25</v>
      </c>
      <c r="E197" s="47" t="s">
        <v>26</v>
      </c>
    </row>
    <row r="198" ht="60" customHeight="1" spans="1:5">
      <c r="A198" s="48" t="s">
        <v>421</v>
      </c>
      <c r="B198" s="48">
        <v>197</v>
      </c>
      <c r="C198" s="47" t="s">
        <v>422</v>
      </c>
      <c r="D198" s="47" t="s">
        <v>32</v>
      </c>
      <c r="E198" s="47" t="s">
        <v>29</v>
      </c>
    </row>
    <row r="199" ht="60" customHeight="1" spans="1:5">
      <c r="A199" s="48" t="s">
        <v>423</v>
      </c>
      <c r="B199" s="48">
        <v>198</v>
      </c>
      <c r="C199" s="47" t="s">
        <v>424</v>
      </c>
      <c r="D199" s="47" t="s">
        <v>25</v>
      </c>
      <c r="E199" s="47" t="s">
        <v>26</v>
      </c>
    </row>
    <row r="200" ht="60" customHeight="1" spans="1:5">
      <c r="A200" s="48" t="s">
        <v>425</v>
      </c>
      <c r="B200" s="48">
        <v>199</v>
      </c>
      <c r="C200" s="47" t="s">
        <v>426</v>
      </c>
      <c r="D200" s="47" t="s">
        <v>25</v>
      </c>
      <c r="E200" s="47" t="s">
        <v>26</v>
      </c>
    </row>
    <row r="201" ht="60" customHeight="1" spans="1:5">
      <c r="A201" s="48" t="s">
        <v>427</v>
      </c>
      <c r="B201" s="48">
        <v>200</v>
      </c>
      <c r="C201" s="47" t="s">
        <v>428</v>
      </c>
      <c r="D201" s="47" t="s">
        <v>25</v>
      </c>
      <c r="E201" s="47" t="s">
        <v>29</v>
      </c>
    </row>
    <row r="202" ht="60" customHeight="1" spans="1:5">
      <c r="A202" s="48" t="s">
        <v>429</v>
      </c>
      <c r="B202" s="48">
        <v>201</v>
      </c>
      <c r="C202" s="47" t="s">
        <v>430</v>
      </c>
      <c r="D202" s="47" t="s">
        <v>32</v>
      </c>
      <c r="E202" s="47" t="s">
        <v>26</v>
      </c>
    </row>
    <row r="203" ht="60" customHeight="1" spans="1:5">
      <c r="A203" s="48" t="s">
        <v>431</v>
      </c>
      <c r="B203" s="48">
        <v>202</v>
      </c>
      <c r="C203" s="47" t="s">
        <v>432</v>
      </c>
      <c r="D203" s="47" t="s">
        <v>25</v>
      </c>
      <c r="E203" s="47" t="s">
        <v>26</v>
      </c>
    </row>
    <row r="204" ht="60" customHeight="1" spans="1:5">
      <c r="A204" s="48" t="s">
        <v>433</v>
      </c>
      <c r="B204" s="48">
        <v>203</v>
      </c>
      <c r="C204" s="47" t="s">
        <v>434</v>
      </c>
      <c r="D204" s="47" t="s">
        <v>32</v>
      </c>
      <c r="E204" s="47" t="s">
        <v>26</v>
      </c>
    </row>
    <row r="205" ht="60" customHeight="1" spans="1:5">
      <c r="A205" s="48" t="s">
        <v>435</v>
      </c>
      <c r="B205" s="48">
        <v>204</v>
      </c>
      <c r="C205" s="47" t="s">
        <v>436</v>
      </c>
      <c r="D205" s="47" t="s">
        <v>32</v>
      </c>
      <c r="E205" s="47" t="s">
        <v>26</v>
      </c>
    </row>
    <row r="206" ht="60" customHeight="1" spans="1:5">
      <c r="A206" s="48" t="s">
        <v>437</v>
      </c>
      <c r="B206" s="48">
        <v>205</v>
      </c>
      <c r="C206" s="47" t="s">
        <v>438</v>
      </c>
      <c r="D206" s="47" t="s">
        <v>32</v>
      </c>
      <c r="E206" s="47" t="s">
        <v>26</v>
      </c>
    </row>
    <row r="207" ht="60" customHeight="1" spans="1:5">
      <c r="A207" s="48" t="s">
        <v>439</v>
      </c>
      <c r="B207" s="48">
        <v>206</v>
      </c>
      <c r="C207" s="47" t="s">
        <v>440</v>
      </c>
      <c r="D207" s="47" t="s">
        <v>32</v>
      </c>
      <c r="E207" s="47" t="s">
        <v>26</v>
      </c>
    </row>
    <row r="208" ht="60" customHeight="1" spans="1:5">
      <c r="A208" s="48" t="s">
        <v>441</v>
      </c>
      <c r="B208" s="48">
        <v>207</v>
      </c>
      <c r="C208" s="47" t="s">
        <v>442</v>
      </c>
      <c r="D208" s="47" t="s">
        <v>32</v>
      </c>
      <c r="E208" s="47" t="s">
        <v>26</v>
      </c>
    </row>
    <row r="209" ht="60" customHeight="1" spans="1:5">
      <c r="A209" s="48" t="s">
        <v>443</v>
      </c>
      <c r="B209" s="48">
        <v>208</v>
      </c>
      <c r="C209" s="47" t="s">
        <v>444</v>
      </c>
      <c r="D209" s="47" t="s">
        <v>32</v>
      </c>
      <c r="E209" s="47" t="s">
        <v>39</v>
      </c>
    </row>
    <row r="210" ht="60" customHeight="1" spans="1:5">
      <c r="A210" s="48" t="s">
        <v>445</v>
      </c>
      <c r="B210" s="48">
        <v>209</v>
      </c>
      <c r="C210" s="47" t="s">
        <v>446</v>
      </c>
      <c r="D210" s="47" t="s">
        <v>25</v>
      </c>
      <c r="E210" s="47" t="s">
        <v>26</v>
      </c>
    </row>
    <row r="211" ht="60" customHeight="1" spans="1:5">
      <c r="A211" s="48" t="s">
        <v>447</v>
      </c>
      <c r="B211" s="48">
        <v>210</v>
      </c>
      <c r="C211" s="47" t="s">
        <v>448</v>
      </c>
      <c r="D211" s="47" t="s">
        <v>32</v>
      </c>
      <c r="E211" s="47" t="s">
        <v>26</v>
      </c>
    </row>
    <row r="212" ht="60" customHeight="1" spans="1:5">
      <c r="A212" s="48" t="s">
        <v>449</v>
      </c>
      <c r="B212" s="48">
        <v>211</v>
      </c>
      <c r="C212" s="47" t="s">
        <v>450</v>
      </c>
      <c r="D212" s="47" t="s">
        <v>25</v>
      </c>
      <c r="E212" s="47" t="s">
        <v>26</v>
      </c>
    </row>
    <row r="213" ht="60" customHeight="1" spans="1:5">
      <c r="A213" s="48" t="s">
        <v>451</v>
      </c>
      <c r="B213" s="48">
        <v>212</v>
      </c>
      <c r="C213" s="47" t="s">
        <v>452</v>
      </c>
      <c r="D213" s="47" t="s">
        <v>32</v>
      </c>
      <c r="E213" s="47" t="s">
        <v>26</v>
      </c>
    </row>
    <row r="214" ht="60" customHeight="1" spans="1:5">
      <c r="A214" s="48" t="s">
        <v>453</v>
      </c>
      <c r="B214" s="48">
        <v>213</v>
      </c>
      <c r="C214" s="47" t="s">
        <v>454</v>
      </c>
      <c r="D214" s="47" t="s">
        <v>25</v>
      </c>
      <c r="E214" s="47" t="s">
        <v>26</v>
      </c>
    </row>
    <row r="215" ht="60" customHeight="1" spans="1:5">
      <c r="A215" s="48" t="s">
        <v>455</v>
      </c>
      <c r="B215" s="48">
        <v>214</v>
      </c>
      <c r="C215" s="47" t="s">
        <v>456</v>
      </c>
      <c r="D215" s="47" t="s">
        <v>25</v>
      </c>
      <c r="E215" s="47" t="s">
        <v>26</v>
      </c>
    </row>
    <row r="216" ht="60" customHeight="1" spans="1:5">
      <c r="A216" s="48" t="s">
        <v>457</v>
      </c>
      <c r="B216" s="48">
        <v>215</v>
      </c>
      <c r="C216" s="47" t="s">
        <v>458</v>
      </c>
      <c r="D216" s="47" t="s">
        <v>32</v>
      </c>
      <c r="E216" s="47" t="s">
        <v>26</v>
      </c>
    </row>
    <row r="217" ht="60" customHeight="1" spans="1:5">
      <c r="A217" s="48" t="s">
        <v>459</v>
      </c>
      <c r="B217" s="48">
        <v>216</v>
      </c>
      <c r="C217" s="47" t="s">
        <v>460</v>
      </c>
      <c r="D217" s="47" t="s">
        <v>25</v>
      </c>
      <c r="E217" s="47" t="s">
        <v>26</v>
      </c>
    </row>
    <row r="218" ht="60" customHeight="1" spans="1:5">
      <c r="A218" s="48" t="s">
        <v>461</v>
      </c>
      <c r="B218" s="48">
        <v>217</v>
      </c>
      <c r="C218" s="47" t="s">
        <v>462</v>
      </c>
      <c r="D218" s="47" t="s">
        <v>32</v>
      </c>
      <c r="E218" s="47" t="s">
        <v>29</v>
      </c>
    </row>
    <row r="219" ht="60" customHeight="1" spans="1:5">
      <c r="A219" s="48" t="s">
        <v>463</v>
      </c>
      <c r="B219" s="48">
        <v>218</v>
      </c>
      <c r="C219" s="47" t="s">
        <v>464</v>
      </c>
      <c r="D219" s="47" t="s">
        <v>25</v>
      </c>
      <c r="E219" s="47" t="s">
        <v>26</v>
      </c>
    </row>
    <row r="220" ht="60" customHeight="1" spans="1:5">
      <c r="A220" s="48" t="s">
        <v>465</v>
      </c>
      <c r="B220" s="48">
        <v>219</v>
      </c>
      <c r="C220" s="47" t="s">
        <v>466</v>
      </c>
      <c r="D220" s="47" t="s">
        <v>32</v>
      </c>
      <c r="E220" s="47" t="s">
        <v>26</v>
      </c>
    </row>
    <row r="221" ht="60" customHeight="1" spans="1:5">
      <c r="A221" s="48" t="s">
        <v>467</v>
      </c>
      <c r="B221" s="48">
        <v>220</v>
      </c>
      <c r="C221" s="47" t="s">
        <v>468</v>
      </c>
      <c r="D221" s="47" t="s">
        <v>25</v>
      </c>
      <c r="E221" s="47" t="s">
        <v>26</v>
      </c>
    </row>
    <row r="222" ht="60" customHeight="1" spans="1:5">
      <c r="A222" s="48" t="s">
        <v>469</v>
      </c>
      <c r="B222" s="48">
        <v>221</v>
      </c>
      <c r="C222" s="47" t="s">
        <v>470</v>
      </c>
      <c r="D222" s="47" t="s">
        <v>25</v>
      </c>
      <c r="E222" s="47" t="s">
        <v>26</v>
      </c>
    </row>
    <row r="223" ht="60" customHeight="1" spans="1:5">
      <c r="A223" s="48" t="s">
        <v>471</v>
      </c>
      <c r="B223" s="48">
        <v>222</v>
      </c>
      <c r="C223" s="47" t="s">
        <v>472</v>
      </c>
      <c r="D223" s="47" t="s">
        <v>32</v>
      </c>
      <c r="E223" s="47" t="s">
        <v>26</v>
      </c>
    </row>
    <row r="224" ht="60" customHeight="1" spans="1:5">
      <c r="A224" s="48" t="s">
        <v>473</v>
      </c>
      <c r="B224" s="48">
        <v>223</v>
      </c>
      <c r="C224" s="47" t="s">
        <v>474</v>
      </c>
      <c r="D224" s="47" t="s">
        <v>25</v>
      </c>
      <c r="E224" s="47" t="s">
        <v>26</v>
      </c>
    </row>
    <row r="225" ht="60" customHeight="1" spans="1:5">
      <c r="A225" s="48" t="s">
        <v>475</v>
      </c>
      <c r="B225" s="48">
        <v>224</v>
      </c>
      <c r="C225" s="47" t="s">
        <v>476</v>
      </c>
      <c r="D225" s="47" t="s">
        <v>32</v>
      </c>
      <c r="E225" s="47" t="s">
        <v>26</v>
      </c>
    </row>
    <row r="226" ht="60" customHeight="1" spans="1:5">
      <c r="A226" s="48" t="s">
        <v>477</v>
      </c>
      <c r="B226" s="48">
        <v>225</v>
      </c>
      <c r="C226" s="47" t="s">
        <v>478</v>
      </c>
      <c r="D226" s="47" t="s">
        <v>32</v>
      </c>
      <c r="E226" s="47" t="s">
        <v>26</v>
      </c>
    </row>
    <row r="227" ht="60" customHeight="1" spans="1:5">
      <c r="A227" s="48" t="s">
        <v>479</v>
      </c>
      <c r="B227" s="48">
        <v>226</v>
      </c>
      <c r="C227" s="47" t="s">
        <v>480</v>
      </c>
      <c r="D227" s="47" t="s">
        <v>25</v>
      </c>
      <c r="E227" s="47" t="s">
        <v>26</v>
      </c>
    </row>
    <row r="228" ht="60" customHeight="1" spans="1:5">
      <c r="A228" s="48" t="s">
        <v>481</v>
      </c>
      <c r="B228" s="48">
        <v>227</v>
      </c>
      <c r="C228" s="47" t="s">
        <v>482</v>
      </c>
      <c r="D228" s="47" t="s">
        <v>25</v>
      </c>
      <c r="E228" s="47" t="s">
        <v>26</v>
      </c>
    </row>
    <row r="229" ht="60" customHeight="1" spans="1:5">
      <c r="A229" s="48" t="s">
        <v>483</v>
      </c>
      <c r="B229" s="48">
        <v>228</v>
      </c>
      <c r="C229" s="47" t="s">
        <v>484</v>
      </c>
      <c r="D229" s="47" t="s">
        <v>32</v>
      </c>
      <c r="E229" s="47" t="s">
        <v>26</v>
      </c>
    </row>
    <row r="230" ht="60" customHeight="1" spans="1:5">
      <c r="A230" s="48" t="s">
        <v>485</v>
      </c>
      <c r="B230" s="48">
        <v>229</v>
      </c>
      <c r="C230" s="47" t="s">
        <v>486</v>
      </c>
      <c r="D230" s="47" t="s">
        <v>25</v>
      </c>
      <c r="E230" s="47" t="s">
        <v>26</v>
      </c>
    </row>
    <row r="231" ht="60" customHeight="1" spans="1:5">
      <c r="A231" s="48" t="s">
        <v>487</v>
      </c>
      <c r="B231" s="48">
        <v>230</v>
      </c>
      <c r="C231" s="47" t="s">
        <v>488</v>
      </c>
      <c r="D231" s="47" t="s">
        <v>32</v>
      </c>
      <c r="E231" s="47" t="s">
        <v>26</v>
      </c>
    </row>
    <row r="232" ht="60" customHeight="1" spans="1:5">
      <c r="A232" s="48" t="s">
        <v>489</v>
      </c>
      <c r="B232" s="48">
        <v>231</v>
      </c>
      <c r="C232" s="47" t="s">
        <v>490</v>
      </c>
      <c r="D232" s="47" t="s">
        <v>32</v>
      </c>
      <c r="E232" s="47" t="s">
        <v>29</v>
      </c>
    </row>
    <row r="233" ht="60" customHeight="1" spans="1:5">
      <c r="A233" s="48" t="s">
        <v>491</v>
      </c>
      <c r="B233" s="48">
        <v>232</v>
      </c>
      <c r="C233" s="47" t="s">
        <v>492</v>
      </c>
      <c r="D233" s="47" t="s">
        <v>32</v>
      </c>
      <c r="E233" s="47" t="s">
        <v>26</v>
      </c>
    </row>
    <row r="234" ht="60" customHeight="1" spans="1:5">
      <c r="A234" s="48" t="s">
        <v>493</v>
      </c>
      <c r="B234" s="48">
        <v>233</v>
      </c>
      <c r="C234" s="47" t="s">
        <v>494</v>
      </c>
      <c r="D234" s="47" t="s">
        <v>32</v>
      </c>
      <c r="E234" s="47" t="s">
        <v>26</v>
      </c>
    </row>
    <row r="235" ht="60" customHeight="1" spans="1:5">
      <c r="A235" s="48" t="s">
        <v>495</v>
      </c>
      <c r="B235" s="48">
        <v>234</v>
      </c>
      <c r="C235" s="47" t="s">
        <v>496</v>
      </c>
      <c r="D235" s="47" t="s">
        <v>32</v>
      </c>
      <c r="E235" s="47" t="s">
        <v>26</v>
      </c>
    </row>
    <row r="236" ht="60" customHeight="1" spans="1:5">
      <c r="A236" s="48" t="s">
        <v>497</v>
      </c>
      <c r="B236" s="48">
        <v>235</v>
      </c>
      <c r="C236" s="47" t="s">
        <v>498</v>
      </c>
      <c r="D236" s="47" t="s">
        <v>32</v>
      </c>
      <c r="E236" s="47" t="s">
        <v>26</v>
      </c>
    </row>
    <row r="237" ht="60" customHeight="1" spans="1:5">
      <c r="A237" s="48" t="s">
        <v>499</v>
      </c>
      <c r="B237" s="48">
        <v>236</v>
      </c>
      <c r="C237" s="47" t="s">
        <v>500</v>
      </c>
      <c r="D237" s="47" t="s">
        <v>25</v>
      </c>
      <c r="E237" s="47" t="s">
        <v>26</v>
      </c>
    </row>
    <row r="238" ht="60" customHeight="1" spans="1:5">
      <c r="A238" s="48" t="s">
        <v>501</v>
      </c>
      <c r="B238" s="48">
        <v>237</v>
      </c>
      <c r="C238" s="47" t="s">
        <v>502</v>
      </c>
      <c r="D238" s="47" t="s">
        <v>32</v>
      </c>
      <c r="E238" s="47" t="s">
        <v>26</v>
      </c>
    </row>
    <row r="239" ht="60" customHeight="1" spans="1:5">
      <c r="A239" s="48" t="s">
        <v>503</v>
      </c>
      <c r="B239" s="48">
        <v>238</v>
      </c>
      <c r="C239" s="47" t="s">
        <v>504</v>
      </c>
      <c r="D239" s="47" t="s">
        <v>25</v>
      </c>
      <c r="E239" s="47" t="s">
        <v>26</v>
      </c>
    </row>
    <row r="240" ht="60" customHeight="1" spans="1:5">
      <c r="A240" s="48" t="s">
        <v>505</v>
      </c>
      <c r="B240" s="48">
        <v>239</v>
      </c>
      <c r="C240" s="47" t="s">
        <v>506</v>
      </c>
      <c r="D240" s="47" t="s">
        <v>25</v>
      </c>
      <c r="E240" s="47" t="s">
        <v>26</v>
      </c>
    </row>
    <row r="241" ht="60" customHeight="1" spans="1:5">
      <c r="A241" s="48" t="s">
        <v>507</v>
      </c>
      <c r="B241" s="48">
        <v>240</v>
      </c>
      <c r="C241" s="47" t="s">
        <v>508</v>
      </c>
      <c r="D241" s="47" t="s">
        <v>32</v>
      </c>
      <c r="E241" s="47" t="s">
        <v>26</v>
      </c>
    </row>
    <row r="242" ht="60" customHeight="1" spans="1:5">
      <c r="A242" s="48" t="s">
        <v>509</v>
      </c>
      <c r="B242" s="48">
        <v>241</v>
      </c>
      <c r="C242" s="47" t="s">
        <v>510</v>
      </c>
      <c r="D242" s="47" t="s">
        <v>32</v>
      </c>
      <c r="E242" s="47" t="s">
        <v>26</v>
      </c>
    </row>
    <row r="243" ht="60" customHeight="1" spans="1:5">
      <c r="A243" s="48" t="s">
        <v>511</v>
      </c>
      <c r="B243" s="48">
        <v>242</v>
      </c>
      <c r="C243" s="47" t="s">
        <v>512</v>
      </c>
      <c r="D243" s="47" t="s">
        <v>32</v>
      </c>
      <c r="E243" s="47" t="s">
        <v>26</v>
      </c>
    </row>
    <row r="244" ht="60" customHeight="1" spans="1:5">
      <c r="A244" s="48" t="s">
        <v>513</v>
      </c>
      <c r="B244" s="48">
        <v>243</v>
      </c>
      <c r="C244" s="47" t="s">
        <v>514</v>
      </c>
      <c r="D244" s="47" t="s">
        <v>32</v>
      </c>
      <c r="E244" s="47" t="s">
        <v>26</v>
      </c>
    </row>
    <row r="245" ht="60" customHeight="1" spans="1:5">
      <c r="A245" s="48" t="s">
        <v>515</v>
      </c>
      <c r="B245" s="48">
        <v>244</v>
      </c>
      <c r="C245" s="47" t="s">
        <v>516</v>
      </c>
      <c r="D245" s="47" t="s">
        <v>32</v>
      </c>
      <c r="E245" s="47" t="s">
        <v>26</v>
      </c>
    </row>
    <row r="246" ht="60" customHeight="1" spans="1:5">
      <c r="A246" s="48" t="s">
        <v>517</v>
      </c>
      <c r="B246" s="48">
        <v>245</v>
      </c>
      <c r="C246" s="47" t="s">
        <v>518</v>
      </c>
      <c r="D246" s="47" t="s">
        <v>32</v>
      </c>
      <c r="E246" s="47" t="s">
        <v>26</v>
      </c>
    </row>
    <row r="247" ht="60" customHeight="1" spans="1:5">
      <c r="A247" s="48" t="s">
        <v>519</v>
      </c>
      <c r="B247" s="48">
        <v>246</v>
      </c>
      <c r="C247" s="47" t="s">
        <v>520</v>
      </c>
      <c r="D247" s="47" t="s">
        <v>32</v>
      </c>
      <c r="E247" s="47" t="s">
        <v>26</v>
      </c>
    </row>
    <row r="248" ht="60" customHeight="1" spans="1:5">
      <c r="A248" s="48" t="s">
        <v>521</v>
      </c>
      <c r="B248" s="48">
        <v>247</v>
      </c>
      <c r="C248" s="47" t="s">
        <v>522</v>
      </c>
      <c r="D248" s="47" t="s">
        <v>32</v>
      </c>
      <c r="E248" s="47" t="s">
        <v>26</v>
      </c>
    </row>
    <row r="249" ht="60" customHeight="1" spans="1:5">
      <c r="A249" s="48" t="s">
        <v>523</v>
      </c>
      <c r="B249" s="48">
        <v>248</v>
      </c>
      <c r="C249" s="47" t="s">
        <v>524</v>
      </c>
      <c r="D249" s="47" t="s">
        <v>25</v>
      </c>
      <c r="E249" s="47" t="s">
        <v>26</v>
      </c>
    </row>
    <row r="250" ht="60" customHeight="1" spans="1:5">
      <c r="A250" s="48" t="s">
        <v>525</v>
      </c>
      <c r="B250" s="48">
        <v>249</v>
      </c>
      <c r="C250" s="47" t="s">
        <v>526</v>
      </c>
      <c r="D250" s="47" t="s">
        <v>25</v>
      </c>
      <c r="E250" s="47" t="s">
        <v>26</v>
      </c>
    </row>
    <row r="251" ht="60" customHeight="1" spans="1:5">
      <c r="A251" s="48" t="s">
        <v>527</v>
      </c>
      <c r="B251" s="48">
        <v>250</v>
      </c>
      <c r="C251" s="47" t="s">
        <v>528</v>
      </c>
      <c r="D251" s="47" t="s">
        <v>25</v>
      </c>
      <c r="E251" s="47" t="s">
        <v>26</v>
      </c>
    </row>
    <row r="252" ht="60" customHeight="1" spans="1:5">
      <c r="A252" s="48" t="s">
        <v>529</v>
      </c>
      <c r="B252" s="48">
        <v>251</v>
      </c>
      <c r="C252" s="47" t="s">
        <v>530</v>
      </c>
      <c r="D252" s="47" t="s">
        <v>25</v>
      </c>
      <c r="E252" s="47" t="s">
        <v>26</v>
      </c>
    </row>
    <row r="253" ht="60" customHeight="1" spans="1:5">
      <c r="A253" s="48" t="s">
        <v>531</v>
      </c>
      <c r="B253" s="48">
        <v>252</v>
      </c>
      <c r="C253" s="47" t="s">
        <v>532</v>
      </c>
      <c r="D253" s="47" t="s">
        <v>25</v>
      </c>
      <c r="E253" s="47" t="s">
        <v>26</v>
      </c>
    </row>
    <row r="254" ht="60" customHeight="1" spans="1:5">
      <c r="A254" s="48" t="s">
        <v>533</v>
      </c>
      <c r="B254" s="48">
        <v>253</v>
      </c>
      <c r="C254" s="47" t="s">
        <v>534</v>
      </c>
      <c r="D254" s="47" t="s">
        <v>25</v>
      </c>
      <c r="E254" s="47" t="s">
        <v>26</v>
      </c>
    </row>
    <row r="255" ht="60" customHeight="1" spans="1:5">
      <c r="A255" s="48" t="s">
        <v>535</v>
      </c>
      <c r="B255" s="48">
        <v>254</v>
      </c>
      <c r="C255" s="47" t="s">
        <v>536</v>
      </c>
      <c r="D255" s="47" t="s">
        <v>25</v>
      </c>
      <c r="E255" s="47" t="s">
        <v>26</v>
      </c>
    </row>
    <row r="256" ht="60" customHeight="1" spans="1:5">
      <c r="A256" s="48" t="s">
        <v>537</v>
      </c>
      <c r="B256" s="48">
        <v>255</v>
      </c>
      <c r="C256" s="47" t="s">
        <v>538</v>
      </c>
      <c r="D256" s="47" t="s">
        <v>25</v>
      </c>
      <c r="E256" s="47" t="s">
        <v>26</v>
      </c>
    </row>
    <row r="257" ht="60" customHeight="1" spans="1:5">
      <c r="A257" s="48" t="s">
        <v>539</v>
      </c>
      <c r="B257" s="48">
        <v>256</v>
      </c>
      <c r="C257" s="47" t="s">
        <v>540</v>
      </c>
      <c r="D257" s="47" t="s">
        <v>25</v>
      </c>
      <c r="E257" s="47" t="s">
        <v>26</v>
      </c>
    </row>
    <row r="258" ht="60" customHeight="1" spans="1:5">
      <c r="A258" s="48" t="s">
        <v>541</v>
      </c>
      <c r="B258" s="48">
        <v>257</v>
      </c>
      <c r="C258" s="47" t="s">
        <v>542</v>
      </c>
      <c r="D258" s="47" t="s">
        <v>25</v>
      </c>
      <c r="E258" s="47" t="s">
        <v>26</v>
      </c>
    </row>
    <row r="259" ht="60" customHeight="1" spans="1:5">
      <c r="A259" s="48" t="s">
        <v>543</v>
      </c>
      <c r="B259" s="48">
        <v>258</v>
      </c>
      <c r="C259" s="47" t="s">
        <v>544</v>
      </c>
      <c r="D259" s="47" t="s">
        <v>32</v>
      </c>
      <c r="E259" s="47" t="s">
        <v>26</v>
      </c>
    </row>
    <row r="260" ht="60" customHeight="1" spans="1:5">
      <c r="A260" s="48" t="s">
        <v>545</v>
      </c>
      <c r="B260" s="48">
        <v>259</v>
      </c>
      <c r="C260" s="47" t="s">
        <v>546</v>
      </c>
      <c r="D260" s="47" t="s">
        <v>25</v>
      </c>
      <c r="E260" s="47" t="s">
        <v>26</v>
      </c>
    </row>
    <row r="261" ht="60" customHeight="1" spans="1:5">
      <c r="A261" s="48" t="s">
        <v>547</v>
      </c>
      <c r="B261" s="48">
        <v>260</v>
      </c>
      <c r="C261" s="47" t="s">
        <v>548</v>
      </c>
      <c r="D261" s="47" t="s">
        <v>25</v>
      </c>
      <c r="E261" s="47" t="s">
        <v>26</v>
      </c>
    </row>
    <row r="262" ht="60" customHeight="1" spans="1:5">
      <c r="A262" s="48" t="s">
        <v>549</v>
      </c>
      <c r="B262" s="48">
        <v>261</v>
      </c>
      <c r="C262" s="47" t="s">
        <v>550</v>
      </c>
      <c r="D262" s="47" t="s">
        <v>25</v>
      </c>
      <c r="E262" s="47" t="s">
        <v>26</v>
      </c>
    </row>
    <row r="263" ht="60" customHeight="1" spans="1:5">
      <c r="A263" s="48" t="s">
        <v>551</v>
      </c>
      <c r="B263" s="48">
        <v>262</v>
      </c>
      <c r="C263" s="47" t="s">
        <v>552</v>
      </c>
      <c r="D263" s="47" t="s">
        <v>25</v>
      </c>
      <c r="E263" s="47" t="s">
        <v>26</v>
      </c>
    </row>
    <row r="264" ht="60" customHeight="1" spans="1:5">
      <c r="A264" s="48" t="s">
        <v>553</v>
      </c>
      <c r="B264" s="48">
        <v>263</v>
      </c>
      <c r="C264" s="47" t="s">
        <v>554</v>
      </c>
      <c r="D264" s="47" t="s">
        <v>32</v>
      </c>
      <c r="E264" s="47" t="s">
        <v>26</v>
      </c>
    </row>
    <row r="265" ht="60" customHeight="1" spans="1:5">
      <c r="A265" s="48" t="s">
        <v>555</v>
      </c>
      <c r="B265" s="48">
        <v>264</v>
      </c>
      <c r="C265" s="47" t="s">
        <v>556</v>
      </c>
      <c r="D265" s="47" t="s">
        <v>25</v>
      </c>
      <c r="E265" s="47" t="s">
        <v>26</v>
      </c>
    </row>
    <row r="266" ht="60" customHeight="1" spans="1:5">
      <c r="A266" s="48" t="s">
        <v>557</v>
      </c>
      <c r="B266" s="48">
        <v>265</v>
      </c>
      <c r="C266" s="47" t="s">
        <v>558</v>
      </c>
      <c r="D266" s="47" t="s">
        <v>25</v>
      </c>
      <c r="E266" s="47" t="s">
        <v>26</v>
      </c>
    </row>
    <row r="267" ht="60" customHeight="1" spans="1:5">
      <c r="A267" s="48" t="s">
        <v>559</v>
      </c>
      <c r="B267" s="48">
        <v>266</v>
      </c>
      <c r="C267" s="47" t="s">
        <v>560</v>
      </c>
      <c r="D267" s="47" t="s">
        <v>25</v>
      </c>
      <c r="E267" s="47" t="s">
        <v>26</v>
      </c>
    </row>
    <row r="268" ht="60" customHeight="1" spans="1:5">
      <c r="A268" s="48" t="s">
        <v>561</v>
      </c>
      <c r="B268" s="48">
        <v>267</v>
      </c>
      <c r="C268" s="47" t="s">
        <v>562</v>
      </c>
      <c r="D268" s="47" t="s">
        <v>32</v>
      </c>
      <c r="E268" s="47" t="s">
        <v>26</v>
      </c>
    </row>
    <row r="269" ht="60" customHeight="1" spans="1:5">
      <c r="A269" s="48" t="s">
        <v>563</v>
      </c>
      <c r="B269" s="48">
        <v>268</v>
      </c>
      <c r="C269" s="47" t="s">
        <v>564</v>
      </c>
      <c r="D269" s="47" t="s">
        <v>32</v>
      </c>
      <c r="E269" s="47" t="s">
        <v>26</v>
      </c>
    </row>
    <row r="270" ht="60" customHeight="1" spans="1:5">
      <c r="A270" s="48" t="s">
        <v>565</v>
      </c>
      <c r="B270" s="48">
        <v>269</v>
      </c>
      <c r="C270" s="47" t="s">
        <v>566</v>
      </c>
      <c r="D270" s="47" t="s">
        <v>32</v>
      </c>
      <c r="E270" s="47" t="s">
        <v>26</v>
      </c>
    </row>
    <row r="271" ht="60" customHeight="1" spans="1:5">
      <c r="A271" s="48" t="s">
        <v>567</v>
      </c>
      <c r="B271" s="48">
        <v>270</v>
      </c>
      <c r="C271" s="47" t="s">
        <v>568</v>
      </c>
      <c r="D271" s="47" t="s">
        <v>32</v>
      </c>
      <c r="E271" s="47" t="s">
        <v>26</v>
      </c>
    </row>
    <row r="272" ht="60" customHeight="1" spans="1:5">
      <c r="A272" s="48" t="s">
        <v>569</v>
      </c>
      <c r="B272" s="48">
        <v>271</v>
      </c>
      <c r="C272" s="47" t="s">
        <v>570</v>
      </c>
      <c r="D272" s="47" t="s">
        <v>32</v>
      </c>
      <c r="E272" s="47" t="s">
        <v>26</v>
      </c>
    </row>
    <row r="273" ht="60" customHeight="1" spans="1:5">
      <c r="A273" s="48" t="s">
        <v>571</v>
      </c>
      <c r="B273" s="48">
        <v>272</v>
      </c>
      <c r="C273" s="47" t="s">
        <v>572</v>
      </c>
      <c r="D273" s="47" t="s">
        <v>32</v>
      </c>
      <c r="E273" s="47" t="s">
        <v>26</v>
      </c>
    </row>
    <row r="274" ht="60" customHeight="1" spans="1:5">
      <c r="A274" s="48" t="s">
        <v>573</v>
      </c>
      <c r="B274" s="48">
        <v>273</v>
      </c>
      <c r="C274" s="47" t="s">
        <v>574</v>
      </c>
      <c r="D274" s="47" t="s">
        <v>25</v>
      </c>
      <c r="E274" s="47" t="s">
        <v>26</v>
      </c>
    </row>
    <row r="275" ht="60" customHeight="1" spans="1:5">
      <c r="A275" s="48" t="s">
        <v>575</v>
      </c>
      <c r="B275" s="48">
        <v>274</v>
      </c>
      <c r="C275" s="47" t="s">
        <v>576</v>
      </c>
      <c r="D275" s="47" t="s">
        <v>25</v>
      </c>
      <c r="E275" s="47" t="s">
        <v>26</v>
      </c>
    </row>
    <row r="276" ht="60" customHeight="1" spans="1:5">
      <c r="A276" s="48" t="s">
        <v>577</v>
      </c>
      <c r="B276" s="48">
        <v>275</v>
      </c>
      <c r="C276" s="47" t="s">
        <v>578</v>
      </c>
      <c r="D276" s="47" t="s">
        <v>32</v>
      </c>
      <c r="E276" s="47" t="s">
        <v>26</v>
      </c>
    </row>
    <row r="277" ht="60" customHeight="1" spans="1:5">
      <c r="A277" s="48" t="s">
        <v>579</v>
      </c>
      <c r="B277" s="48">
        <v>276</v>
      </c>
      <c r="C277" s="47" t="s">
        <v>580</v>
      </c>
      <c r="D277" s="47" t="s">
        <v>32</v>
      </c>
      <c r="E277" s="47" t="s">
        <v>26</v>
      </c>
    </row>
    <row r="278" ht="60" customHeight="1" spans="1:5">
      <c r="A278" s="48" t="s">
        <v>581</v>
      </c>
      <c r="B278" s="48">
        <v>277</v>
      </c>
      <c r="C278" s="47" t="s">
        <v>582</v>
      </c>
      <c r="D278" s="47" t="s">
        <v>32</v>
      </c>
      <c r="E278" s="47" t="s">
        <v>26</v>
      </c>
    </row>
    <row r="279" ht="60" customHeight="1" spans="1:5">
      <c r="A279" s="48" t="s">
        <v>583</v>
      </c>
      <c r="B279" s="48">
        <v>278</v>
      </c>
      <c r="C279" s="47" t="s">
        <v>584</v>
      </c>
      <c r="D279" s="47" t="s">
        <v>32</v>
      </c>
      <c r="E279" s="47" t="s">
        <v>26</v>
      </c>
    </row>
    <row r="280" ht="60" customHeight="1" spans="1:5">
      <c r="A280" s="48" t="s">
        <v>585</v>
      </c>
      <c r="B280" s="48">
        <v>279</v>
      </c>
      <c r="C280" s="47" t="s">
        <v>586</v>
      </c>
      <c r="D280" s="47" t="s">
        <v>32</v>
      </c>
      <c r="E280" s="47" t="s">
        <v>26</v>
      </c>
    </row>
    <row r="281" ht="60" customHeight="1" spans="1:5">
      <c r="A281" s="48" t="s">
        <v>587</v>
      </c>
      <c r="B281" s="48">
        <v>280</v>
      </c>
      <c r="C281" s="47" t="s">
        <v>588</v>
      </c>
      <c r="D281" s="47" t="s">
        <v>32</v>
      </c>
      <c r="E281" s="47" t="s">
        <v>26</v>
      </c>
    </row>
    <row r="282" ht="60" customHeight="1" spans="1:5">
      <c r="A282" s="48" t="s">
        <v>589</v>
      </c>
      <c r="B282" s="48">
        <v>281</v>
      </c>
      <c r="C282" s="47" t="s">
        <v>590</v>
      </c>
      <c r="D282" s="47" t="s">
        <v>32</v>
      </c>
      <c r="E282" s="47" t="s">
        <v>26</v>
      </c>
    </row>
    <row r="283" ht="60" customHeight="1" spans="1:5">
      <c r="A283" s="48" t="s">
        <v>591</v>
      </c>
      <c r="B283" s="48">
        <v>282</v>
      </c>
      <c r="C283" s="47" t="s">
        <v>592</v>
      </c>
      <c r="D283" s="47" t="s">
        <v>32</v>
      </c>
      <c r="E283" s="47" t="s">
        <v>26</v>
      </c>
    </row>
    <row r="284" ht="60" customHeight="1" spans="1:5">
      <c r="A284" s="48" t="s">
        <v>593</v>
      </c>
      <c r="B284" s="48">
        <v>283</v>
      </c>
      <c r="C284" s="47" t="s">
        <v>594</v>
      </c>
      <c r="D284" s="47" t="s">
        <v>32</v>
      </c>
      <c r="E284" s="47" t="s">
        <v>26</v>
      </c>
    </row>
    <row r="285" ht="60" customHeight="1" spans="1:5">
      <c r="A285" s="48" t="s">
        <v>595</v>
      </c>
      <c r="B285" s="48">
        <v>284</v>
      </c>
      <c r="C285" s="47" t="s">
        <v>596</v>
      </c>
      <c r="D285" s="47" t="s">
        <v>25</v>
      </c>
      <c r="E285" s="47" t="s">
        <v>26</v>
      </c>
    </row>
    <row r="286" ht="60" customHeight="1" spans="1:5">
      <c r="A286" s="48" t="s">
        <v>597</v>
      </c>
      <c r="B286" s="48">
        <v>285</v>
      </c>
      <c r="C286" s="47" t="s">
        <v>598</v>
      </c>
      <c r="D286" s="47" t="s">
        <v>25</v>
      </c>
      <c r="E286" s="47" t="s">
        <v>26</v>
      </c>
    </row>
    <row r="287" ht="60" customHeight="1" spans="1:5">
      <c r="A287" s="48" t="s">
        <v>599</v>
      </c>
      <c r="B287" s="48">
        <v>286</v>
      </c>
      <c r="C287" s="47" t="s">
        <v>600</v>
      </c>
      <c r="D287" s="47" t="s">
        <v>32</v>
      </c>
      <c r="E287" s="47" t="s">
        <v>26</v>
      </c>
    </row>
    <row r="288" ht="60" customHeight="1" spans="1:5">
      <c r="A288" s="48" t="s">
        <v>601</v>
      </c>
      <c r="B288" s="48">
        <v>287</v>
      </c>
      <c r="C288" s="47" t="s">
        <v>602</v>
      </c>
      <c r="D288" s="47" t="s">
        <v>32</v>
      </c>
      <c r="E288" s="47" t="s">
        <v>26</v>
      </c>
    </row>
    <row r="289" ht="60" customHeight="1" spans="1:5">
      <c r="A289" s="48" t="s">
        <v>603</v>
      </c>
      <c r="B289" s="48">
        <v>288</v>
      </c>
      <c r="C289" s="47" t="s">
        <v>604</v>
      </c>
      <c r="D289" s="47" t="s">
        <v>32</v>
      </c>
      <c r="E289" s="47" t="s">
        <v>26</v>
      </c>
    </row>
    <row r="290" ht="60" customHeight="1" spans="1:5">
      <c r="A290" s="48" t="s">
        <v>605</v>
      </c>
      <c r="B290" s="48">
        <v>289</v>
      </c>
      <c r="C290" s="47" t="s">
        <v>606</v>
      </c>
      <c r="D290" s="47" t="s">
        <v>32</v>
      </c>
      <c r="E290" s="47" t="s">
        <v>26</v>
      </c>
    </row>
    <row r="291" ht="60" customHeight="1" spans="1:5">
      <c r="A291" s="48" t="s">
        <v>607</v>
      </c>
      <c r="B291" s="48">
        <v>290</v>
      </c>
      <c r="C291" s="47" t="s">
        <v>608</v>
      </c>
      <c r="D291" s="47" t="s">
        <v>32</v>
      </c>
      <c r="E291" s="47" t="s">
        <v>26</v>
      </c>
    </row>
    <row r="292" ht="60" customHeight="1" spans="1:5">
      <c r="A292" s="48" t="s">
        <v>609</v>
      </c>
      <c r="B292" s="48">
        <v>291</v>
      </c>
      <c r="C292" s="47" t="s">
        <v>610</v>
      </c>
      <c r="D292" s="47" t="s">
        <v>32</v>
      </c>
      <c r="E292" s="47" t="s">
        <v>26</v>
      </c>
    </row>
    <row r="293" ht="60" customHeight="1" spans="1:5">
      <c r="A293" s="48" t="s">
        <v>611</v>
      </c>
      <c r="B293" s="48">
        <v>292</v>
      </c>
      <c r="C293" s="47" t="s">
        <v>612</v>
      </c>
      <c r="D293" s="47" t="s">
        <v>32</v>
      </c>
      <c r="E293" s="47" t="s">
        <v>26</v>
      </c>
    </row>
    <row r="294" ht="60" customHeight="1" spans="1:5">
      <c r="A294" s="48" t="s">
        <v>613</v>
      </c>
      <c r="B294" s="48">
        <v>293</v>
      </c>
      <c r="C294" s="47" t="s">
        <v>614</v>
      </c>
      <c r="D294" s="47" t="s">
        <v>32</v>
      </c>
      <c r="E294" s="47" t="s">
        <v>26</v>
      </c>
    </row>
    <row r="295" ht="60" customHeight="1" spans="1:5">
      <c r="A295" s="48" t="s">
        <v>615</v>
      </c>
      <c r="B295" s="48">
        <v>294</v>
      </c>
      <c r="C295" s="47" t="s">
        <v>616</v>
      </c>
      <c r="D295" s="47" t="s">
        <v>32</v>
      </c>
      <c r="E295" s="47" t="s">
        <v>26</v>
      </c>
    </row>
    <row r="296" ht="60" customHeight="1" spans="1:5">
      <c r="A296" s="48" t="s">
        <v>617</v>
      </c>
      <c r="B296" s="48">
        <v>295</v>
      </c>
      <c r="C296" s="47" t="s">
        <v>618</v>
      </c>
      <c r="D296" s="47" t="s">
        <v>32</v>
      </c>
      <c r="E296" s="47" t="s">
        <v>26</v>
      </c>
    </row>
    <row r="297" ht="60" customHeight="1" spans="1:5">
      <c r="A297" s="48" t="s">
        <v>619</v>
      </c>
      <c r="B297" s="48">
        <v>296</v>
      </c>
      <c r="C297" s="47" t="s">
        <v>620</v>
      </c>
      <c r="D297" s="47" t="s">
        <v>32</v>
      </c>
      <c r="E297" s="47" t="s">
        <v>26</v>
      </c>
    </row>
    <row r="298" ht="60" customHeight="1" spans="1:5">
      <c r="A298" s="48" t="s">
        <v>621</v>
      </c>
      <c r="B298" s="48">
        <v>297</v>
      </c>
      <c r="C298" s="47" t="s">
        <v>622</v>
      </c>
      <c r="D298" s="47" t="s">
        <v>32</v>
      </c>
      <c r="E298" s="47" t="s">
        <v>26</v>
      </c>
    </row>
    <row r="299" ht="60" customHeight="1" spans="1:5">
      <c r="A299" s="48" t="s">
        <v>623</v>
      </c>
      <c r="B299" s="48">
        <v>298</v>
      </c>
      <c r="C299" s="47" t="s">
        <v>624</v>
      </c>
      <c r="D299" s="47" t="s">
        <v>32</v>
      </c>
      <c r="E299" s="47" t="s">
        <v>26</v>
      </c>
    </row>
    <row r="300" ht="60" customHeight="1" spans="1:5">
      <c r="A300" s="48" t="s">
        <v>625</v>
      </c>
      <c r="B300" s="48">
        <v>299</v>
      </c>
      <c r="C300" s="47" t="s">
        <v>626</v>
      </c>
      <c r="D300" s="47" t="s">
        <v>32</v>
      </c>
      <c r="E300" s="47" t="s">
        <v>26</v>
      </c>
    </row>
    <row r="301" ht="60" customHeight="1" spans="1:5">
      <c r="A301" s="48" t="s">
        <v>627</v>
      </c>
      <c r="B301" s="48">
        <v>300</v>
      </c>
      <c r="C301" s="47" t="s">
        <v>628</v>
      </c>
      <c r="D301" s="47" t="s">
        <v>32</v>
      </c>
      <c r="E301" s="47" t="s">
        <v>29</v>
      </c>
    </row>
    <row r="302" ht="60" customHeight="1" spans="1:5">
      <c r="A302" s="48" t="s">
        <v>629</v>
      </c>
      <c r="B302" s="48">
        <v>301</v>
      </c>
      <c r="C302" s="47" t="s">
        <v>630</v>
      </c>
      <c r="D302" s="47" t="s">
        <v>32</v>
      </c>
      <c r="E302" s="47" t="s">
        <v>26</v>
      </c>
    </row>
    <row r="303" ht="60" customHeight="1" spans="1:5">
      <c r="A303" s="48" t="s">
        <v>631</v>
      </c>
      <c r="B303" s="48">
        <v>302</v>
      </c>
      <c r="C303" s="47" t="s">
        <v>632</v>
      </c>
      <c r="D303" s="47" t="s">
        <v>32</v>
      </c>
      <c r="E303" s="47" t="s">
        <v>26</v>
      </c>
    </row>
    <row r="304" ht="60" customHeight="1" spans="1:5">
      <c r="A304" s="48" t="s">
        <v>633</v>
      </c>
      <c r="B304" s="48">
        <v>303</v>
      </c>
      <c r="C304" s="47" t="s">
        <v>634</v>
      </c>
      <c r="D304" s="47" t="s">
        <v>32</v>
      </c>
      <c r="E304" s="47" t="s">
        <v>29</v>
      </c>
    </row>
    <row r="305" ht="60" customHeight="1" spans="1:5">
      <c r="A305" s="48" t="s">
        <v>635</v>
      </c>
      <c r="B305" s="48">
        <v>304</v>
      </c>
      <c r="C305" s="47" t="s">
        <v>636</v>
      </c>
      <c r="D305" s="47" t="s">
        <v>25</v>
      </c>
      <c r="E305" s="47" t="s">
        <v>26</v>
      </c>
    </row>
    <row r="306" ht="60" customHeight="1" spans="1:5">
      <c r="A306" s="48" t="s">
        <v>637</v>
      </c>
      <c r="B306" s="48">
        <v>305</v>
      </c>
      <c r="C306" s="47" t="s">
        <v>638</v>
      </c>
      <c r="D306" s="47" t="s">
        <v>32</v>
      </c>
      <c r="E306" s="47" t="s">
        <v>26</v>
      </c>
    </row>
    <row r="307" ht="60" customHeight="1" spans="1:5">
      <c r="A307" s="48" t="s">
        <v>639</v>
      </c>
      <c r="B307" s="48">
        <v>306</v>
      </c>
      <c r="C307" s="47" t="s">
        <v>640</v>
      </c>
      <c r="D307" s="47" t="s">
        <v>25</v>
      </c>
      <c r="E307" s="47" t="s">
        <v>26</v>
      </c>
    </row>
    <row r="308" ht="60" customHeight="1" spans="1:5">
      <c r="A308" s="48" t="s">
        <v>641</v>
      </c>
      <c r="B308" s="48">
        <v>307</v>
      </c>
      <c r="C308" s="47" t="s">
        <v>642</v>
      </c>
      <c r="D308" s="47" t="s">
        <v>25</v>
      </c>
      <c r="E308" s="47" t="s">
        <v>26</v>
      </c>
    </row>
    <row r="309" ht="60" customHeight="1" spans="1:5">
      <c r="A309" s="48" t="s">
        <v>643</v>
      </c>
      <c r="B309" s="48">
        <v>308</v>
      </c>
      <c r="C309" s="47" t="s">
        <v>644</v>
      </c>
      <c r="D309" s="47" t="s">
        <v>32</v>
      </c>
      <c r="E309" s="47" t="s">
        <v>26</v>
      </c>
    </row>
    <row r="310" ht="60" customHeight="1" spans="1:5">
      <c r="A310" s="48" t="s">
        <v>645</v>
      </c>
      <c r="B310" s="48">
        <v>309</v>
      </c>
      <c r="C310" s="47" t="s">
        <v>646</v>
      </c>
      <c r="D310" s="47" t="s">
        <v>32</v>
      </c>
      <c r="E310" s="47" t="s">
        <v>29</v>
      </c>
    </row>
    <row r="311" ht="60" customHeight="1" spans="1:5">
      <c r="A311" s="48" t="s">
        <v>647</v>
      </c>
      <c r="B311" s="48">
        <v>310</v>
      </c>
      <c r="C311" s="47" t="s">
        <v>648</v>
      </c>
      <c r="D311" s="47" t="s">
        <v>32</v>
      </c>
      <c r="E311" s="47" t="s">
        <v>26</v>
      </c>
    </row>
    <row r="312" ht="60" customHeight="1" spans="1:5">
      <c r="A312" s="48" t="s">
        <v>649</v>
      </c>
      <c r="B312" s="48">
        <v>311</v>
      </c>
      <c r="C312" s="47" t="s">
        <v>650</v>
      </c>
      <c r="D312" s="47" t="s">
        <v>32</v>
      </c>
      <c r="E312" s="47" t="s">
        <v>26</v>
      </c>
    </row>
    <row r="313" ht="60" customHeight="1" spans="1:5">
      <c r="A313" s="48" t="s">
        <v>651</v>
      </c>
      <c r="B313" s="48">
        <v>312</v>
      </c>
      <c r="C313" s="47" t="s">
        <v>652</v>
      </c>
      <c r="D313" s="47" t="s">
        <v>32</v>
      </c>
      <c r="E313" s="47" t="s">
        <v>26</v>
      </c>
    </row>
    <row r="314" ht="60" customHeight="1" spans="1:5">
      <c r="A314" s="48" t="s">
        <v>653</v>
      </c>
      <c r="B314" s="48">
        <v>313</v>
      </c>
      <c r="C314" s="47" t="s">
        <v>654</v>
      </c>
      <c r="D314" s="47" t="s">
        <v>25</v>
      </c>
      <c r="E314" s="47" t="s">
        <v>26</v>
      </c>
    </row>
    <row r="315" ht="60" customHeight="1" spans="1:5">
      <c r="A315" s="48" t="s">
        <v>655</v>
      </c>
      <c r="B315" s="48">
        <v>314</v>
      </c>
      <c r="C315" s="47" t="s">
        <v>656</v>
      </c>
      <c r="D315" s="47" t="s">
        <v>25</v>
      </c>
      <c r="E315" s="47" t="s">
        <v>26</v>
      </c>
    </row>
    <row r="316" ht="60" customHeight="1" spans="1:5">
      <c r="A316" s="48" t="s">
        <v>657</v>
      </c>
      <c r="B316" s="48">
        <v>315</v>
      </c>
      <c r="C316" s="47" t="s">
        <v>658</v>
      </c>
      <c r="D316" s="47" t="s">
        <v>25</v>
      </c>
      <c r="E316" s="47" t="s">
        <v>26</v>
      </c>
    </row>
    <row r="317" ht="60" customHeight="1" spans="1:5">
      <c r="A317" s="48" t="s">
        <v>659</v>
      </c>
      <c r="B317" s="48">
        <v>316</v>
      </c>
      <c r="C317" s="47" t="s">
        <v>660</v>
      </c>
      <c r="D317" s="47" t="s">
        <v>25</v>
      </c>
      <c r="E317" s="47" t="s">
        <v>26</v>
      </c>
    </row>
    <row r="318" ht="60" customHeight="1" spans="1:5">
      <c r="A318" s="48" t="s">
        <v>661</v>
      </c>
      <c r="B318" s="48">
        <v>317</v>
      </c>
      <c r="C318" s="47" t="s">
        <v>662</v>
      </c>
      <c r="D318" s="47" t="s">
        <v>25</v>
      </c>
      <c r="E318" s="47" t="s">
        <v>26</v>
      </c>
    </row>
    <row r="319" ht="60" customHeight="1" spans="1:5">
      <c r="A319" s="48" t="s">
        <v>663</v>
      </c>
      <c r="B319" s="48">
        <v>318</v>
      </c>
      <c r="C319" s="47" t="s">
        <v>664</v>
      </c>
      <c r="D319" s="47" t="s">
        <v>25</v>
      </c>
      <c r="E319" s="47" t="s">
        <v>26</v>
      </c>
    </row>
    <row r="320" ht="60" customHeight="1" spans="1:5">
      <c r="A320" s="48" t="s">
        <v>665</v>
      </c>
      <c r="B320" s="48">
        <v>319</v>
      </c>
      <c r="C320" s="47" t="s">
        <v>666</v>
      </c>
      <c r="D320" s="47" t="s">
        <v>32</v>
      </c>
      <c r="E320" s="47" t="s">
        <v>26</v>
      </c>
    </row>
    <row r="321" ht="60" customHeight="1" spans="1:5">
      <c r="A321" s="48" t="s">
        <v>667</v>
      </c>
      <c r="B321" s="48">
        <v>320</v>
      </c>
      <c r="C321" s="47" t="s">
        <v>668</v>
      </c>
      <c r="D321" s="47" t="s">
        <v>25</v>
      </c>
      <c r="E321" s="47" t="s">
        <v>26</v>
      </c>
    </row>
    <row r="322" ht="60" customHeight="1" spans="1:5">
      <c r="A322" s="48" t="s">
        <v>669</v>
      </c>
      <c r="B322" s="48">
        <v>321</v>
      </c>
      <c r="C322" s="47" t="s">
        <v>670</v>
      </c>
      <c r="D322" s="47" t="s">
        <v>32</v>
      </c>
      <c r="E322" s="47" t="s">
        <v>26</v>
      </c>
    </row>
    <row r="323" ht="60" customHeight="1" spans="1:5">
      <c r="A323" s="48" t="s">
        <v>671</v>
      </c>
      <c r="B323" s="48">
        <v>322</v>
      </c>
      <c r="C323" s="47" t="s">
        <v>672</v>
      </c>
      <c r="D323" s="47" t="s">
        <v>32</v>
      </c>
      <c r="E323" s="47" t="s">
        <v>26</v>
      </c>
    </row>
    <row r="324" ht="60" customHeight="1" spans="1:5">
      <c r="A324" s="48" t="s">
        <v>673</v>
      </c>
      <c r="B324" s="48">
        <v>323</v>
      </c>
      <c r="C324" s="47" t="s">
        <v>674</v>
      </c>
      <c r="D324" s="47" t="s">
        <v>25</v>
      </c>
      <c r="E324" s="47" t="s">
        <v>26</v>
      </c>
    </row>
    <row r="325" ht="60" customHeight="1" spans="1:5">
      <c r="A325" s="48" t="s">
        <v>675</v>
      </c>
      <c r="B325" s="48">
        <v>324</v>
      </c>
      <c r="C325" s="47" t="s">
        <v>676</v>
      </c>
      <c r="D325" s="47" t="s">
        <v>25</v>
      </c>
      <c r="E325" s="47" t="s">
        <v>26</v>
      </c>
    </row>
    <row r="326" ht="60" customHeight="1" spans="1:5">
      <c r="A326" s="48" t="s">
        <v>677</v>
      </c>
      <c r="B326" s="48">
        <v>325</v>
      </c>
      <c r="C326" s="47" t="s">
        <v>678</v>
      </c>
      <c r="D326" s="47" t="s">
        <v>25</v>
      </c>
      <c r="E326" s="47" t="s">
        <v>26</v>
      </c>
    </row>
    <row r="327" ht="60" customHeight="1" spans="1:5">
      <c r="A327" s="48" t="s">
        <v>679</v>
      </c>
      <c r="B327" s="48">
        <v>326</v>
      </c>
      <c r="C327" s="47" t="s">
        <v>680</v>
      </c>
      <c r="D327" s="47" t="s">
        <v>25</v>
      </c>
      <c r="E327" s="47" t="s">
        <v>26</v>
      </c>
    </row>
    <row r="328" ht="60" customHeight="1" spans="1:5">
      <c r="A328" s="48" t="s">
        <v>681</v>
      </c>
      <c r="B328" s="48">
        <v>327</v>
      </c>
      <c r="C328" s="47" t="s">
        <v>682</v>
      </c>
      <c r="D328" s="47" t="s">
        <v>25</v>
      </c>
      <c r="E328" s="47" t="s">
        <v>26</v>
      </c>
    </row>
    <row r="329" ht="60" customHeight="1" spans="1:5">
      <c r="A329" s="48" t="s">
        <v>683</v>
      </c>
      <c r="B329" s="48">
        <v>328</v>
      </c>
      <c r="C329" s="47" t="s">
        <v>684</v>
      </c>
      <c r="D329" s="47" t="s">
        <v>25</v>
      </c>
      <c r="E329" s="47" t="s">
        <v>26</v>
      </c>
    </row>
    <row r="330" ht="60" customHeight="1" spans="1:5">
      <c r="A330" s="48" t="s">
        <v>685</v>
      </c>
      <c r="B330" s="48">
        <v>329</v>
      </c>
      <c r="C330" s="47" t="s">
        <v>686</v>
      </c>
      <c r="D330" s="47" t="s">
        <v>25</v>
      </c>
      <c r="E330" s="47" t="s">
        <v>26</v>
      </c>
    </row>
    <row r="331" ht="60" customHeight="1" spans="1:5">
      <c r="A331" s="48" t="s">
        <v>687</v>
      </c>
      <c r="B331" s="48">
        <v>330</v>
      </c>
      <c r="C331" s="47" t="s">
        <v>688</v>
      </c>
      <c r="D331" s="47" t="s">
        <v>32</v>
      </c>
      <c r="E331" s="47" t="s">
        <v>29</v>
      </c>
    </row>
    <row r="332" ht="60" customHeight="1" spans="1:5">
      <c r="A332" s="48" t="s">
        <v>689</v>
      </c>
      <c r="B332" s="48">
        <v>331</v>
      </c>
      <c r="C332" s="47" t="s">
        <v>690</v>
      </c>
      <c r="D332" s="47" t="s">
        <v>25</v>
      </c>
      <c r="E332" s="47" t="s">
        <v>26</v>
      </c>
    </row>
    <row r="333" ht="60" customHeight="1" spans="1:5">
      <c r="A333" s="48" t="s">
        <v>691</v>
      </c>
      <c r="B333" s="48">
        <v>332</v>
      </c>
      <c r="C333" s="47" t="s">
        <v>692</v>
      </c>
      <c r="D333" s="47" t="s">
        <v>25</v>
      </c>
      <c r="E333" s="47" t="s">
        <v>26</v>
      </c>
    </row>
    <row r="334" ht="60" customHeight="1" spans="1:5">
      <c r="A334" s="48" t="s">
        <v>693</v>
      </c>
      <c r="B334" s="48">
        <v>333</v>
      </c>
      <c r="C334" s="47" t="s">
        <v>694</v>
      </c>
      <c r="D334" s="47" t="s">
        <v>32</v>
      </c>
      <c r="E334" s="47" t="s">
        <v>26</v>
      </c>
    </row>
    <row r="335" ht="60" customHeight="1" spans="1:5">
      <c r="A335" s="48" t="s">
        <v>695</v>
      </c>
      <c r="B335" s="48">
        <v>334</v>
      </c>
      <c r="C335" s="47" t="s">
        <v>696</v>
      </c>
      <c r="D335" s="47" t="s">
        <v>32</v>
      </c>
      <c r="E335" s="47" t="s">
        <v>26</v>
      </c>
    </row>
    <row r="336" ht="60" customHeight="1" spans="1:5">
      <c r="A336" s="48" t="s">
        <v>697</v>
      </c>
      <c r="B336" s="48">
        <v>335</v>
      </c>
      <c r="C336" s="47" t="s">
        <v>698</v>
      </c>
      <c r="D336" s="47" t="s">
        <v>32</v>
      </c>
      <c r="E336" s="47" t="s">
        <v>26</v>
      </c>
    </row>
    <row r="337" ht="60" customHeight="1" spans="1:5">
      <c r="A337" s="48" t="s">
        <v>699</v>
      </c>
      <c r="B337" s="48">
        <v>336</v>
      </c>
      <c r="C337" s="47" t="s">
        <v>700</v>
      </c>
      <c r="D337" s="47" t="s">
        <v>32</v>
      </c>
      <c r="E337" s="47" t="s">
        <v>26</v>
      </c>
    </row>
    <row r="338" ht="60" customHeight="1" spans="1:5">
      <c r="A338" s="48" t="s">
        <v>701</v>
      </c>
      <c r="B338" s="48">
        <v>337</v>
      </c>
      <c r="C338" s="47" t="s">
        <v>702</v>
      </c>
      <c r="D338" s="47" t="s">
        <v>32</v>
      </c>
      <c r="E338" s="47" t="s">
        <v>26</v>
      </c>
    </row>
    <row r="339" ht="60" customHeight="1" spans="1:5">
      <c r="A339" s="48" t="s">
        <v>703</v>
      </c>
      <c r="B339" s="48">
        <v>338</v>
      </c>
      <c r="C339" s="47" t="s">
        <v>704</v>
      </c>
      <c r="D339" s="47" t="s">
        <v>32</v>
      </c>
      <c r="E339" s="47" t="s">
        <v>26</v>
      </c>
    </row>
    <row r="340" ht="60" customHeight="1" spans="1:5">
      <c r="A340" s="48" t="s">
        <v>705</v>
      </c>
      <c r="B340" s="48">
        <v>339</v>
      </c>
      <c r="C340" s="47" t="s">
        <v>706</v>
      </c>
      <c r="D340" s="47" t="s">
        <v>32</v>
      </c>
      <c r="E340" s="47" t="s">
        <v>26</v>
      </c>
    </row>
    <row r="341" ht="60" customHeight="1" spans="1:5">
      <c r="A341" s="48" t="s">
        <v>707</v>
      </c>
      <c r="B341" s="48">
        <v>340</v>
      </c>
      <c r="C341" s="47" t="s">
        <v>708</v>
      </c>
      <c r="D341" s="47" t="s">
        <v>32</v>
      </c>
      <c r="E341" s="47" t="s">
        <v>26</v>
      </c>
    </row>
    <row r="342" ht="60" customHeight="1" spans="1:5">
      <c r="A342" s="48" t="s">
        <v>709</v>
      </c>
      <c r="B342" s="48">
        <v>341</v>
      </c>
      <c r="C342" s="47" t="s">
        <v>710</v>
      </c>
      <c r="D342" s="47" t="s">
        <v>32</v>
      </c>
      <c r="E342" s="47" t="s">
        <v>26</v>
      </c>
    </row>
    <row r="343" ht="60" customHeight="1" spans="1:5">
      <c r="A343" s="48" t="s">
        <v>711</v>
      </c>
      <c r="B343" s="48">
        <v>342</v>
      </c>
      <c r="C343" s="47" t="s">
        <v>712</v>
      </c>
      <c r="D343" s="47" t="s">
        <v>32</v>
      </c>
      <c r="E343" s="47" t="s">
        <v>26</v>
      </c>
    </row>
    <row r="344" ht="60" customHeight="1" spans="1:5">
      <c r="A344" s="48" t="s">
        <v>713</v>
      </c>
      <c r="B344" s="48">
        <v>343</v>
      </c>
      <c r="C344" s="47" t="s">
        <v>714</v>
      </c>
      <c r="D344" s="47" t="s">
        <v>25</v>
      </c>
      <c r="E344" s="47" t="s">
        <v>26</v>
      </c>
    </row>
    <row r="345" ht="60" customHeight="1" spans="1:5">
      <c r="A345" s="48" t="s">
        <v>715</v>
      </c>
      <c r="B345" s="48">
        <v>344</v>
      </c>
      <c r="C345" s="47" t="s">
        <v>716</v>
      </c>
      <c r="D345" s="47" t="s">
        <v>32</v>
      </c>
      <c r="E345" s="47" t="s">
        <v>26</v>
      </c>
    </row>
    <row r="346" ht="60" customHeight="1" spans="1:5">
      <c r="A346" s="48" t="s">
        <v>717</v>
      </c>
      <c r="B346" s="48">
        <v>345</v>
      </c>
      <c r="C346" s="47" t="s">
        <v>718</v>
      </c>
      <c r="D346" s="47" t="s">
        <v>25</v>
      </c>
      <c r="E346" s="47" t="s">
        <v>26</v>
      </c>
    </row>
    <row r="347" ht="60" customHeight="1" spans="1:5">
      <c r="A347" s="48" t="s">
        <v>719</v>
      </c>
      <c r="B347" s="48">
        <v>346</v>
      </c>
      <c r="C347" s="47" t="s">
        <v>720</v>
      </c>
      <c r="D347" s="47" t="s">
        <v>32</v>
      </c>
      <c r="E347" s="47" t="s">
        <v>26</v>
      </c>
    </row>
    <row r="348" ht="60" customHeight="1" spans="1:5">
      <c r="A348" s="48" t="s">
        <v>721</v>
      </c>
      <c r="B348" s="48">
        <v>347</v>
      </c>
      <c r="C348" s="47" t="s">
        <v>722</v>
      </c>
      <c r="D348" s="47" t="s">
        <v>32</v>
      </c>
      <c r="E348" s="47" t="s">
        <v>26</v>
      </c>
    </row>
    <row r="349" ht="60" customHeight="1" spans="1:5">
      <c r="A349" s="48" t="s">
        <v>723</v>
      </c>
      <c r="B349" s="48">
        <v>348</v>
      </c>
      <c r="C349" s="47" t="s">
        <v>724</v>
      </c>
      <c r="D349" s="47" t="s">
        <v>25</v>
      </c>
      <c r="E349" s="47" t="s">
        <v>29</v>
      </c>
    </row>
    <row r="350" ht="60" customHeight="1" spans="1:5">
      <c r="A350" s="48" t="s">
        <v>725</v>
      </c>
      <c r="B350" s="48">
        <v>349</v>
      </c>
      <c r="C350" s="47" t="s">
        <v>726</v>
      </c>
      <c r="D350" s="47" t="s">
        <v>25</v>
      </c>
      <c r="E350" s="47" t="s">
        <v>26</v>
      </c>
    </row>
    <row r="351" ht="60" customHeight="1" spans="1:5">
      <c r="A351" s="48" t="s">
        <v>727</v>
      </c>
      <c r="B351" s="48">
        <v>350</v>
      </c>
      <c r="C351" s="47" t="s">
        <v>728</v>
      </c>
      <c r="D351" s="47" t="s">
        <v>25</v>
      </c>
      <c r="E351" s="47" t="s">
        <v>26</v>
      </c>
    </row>
    <row r="352" ht="60" customHeight="1" spans="1:5">
      <c r="A352" s="48" t="s">
        <v>729</v>
      </c>
      <c r="B352" s="48">
        <v>351</v>
      </c>
      <c r="C352" s="47" t="s">
        <v>730</v>
      </c>
      <c r="D352" s="47" t="s">
        <v>32</v>
      </c>
      <c r="E352" s="47" t="s">
        <v>26</v>
      </c>
    </row>
    <row r="353" ht="60" customHeight="1" spans="1:5">
      <c r="A353" s="48" t="s">
        <v>731</v>
      </c>
      <c r="B353" s="48">
        <v>352</v>
      </c>
      <c r="C353" s="47" t="s">
        <v>732</v>
      </c>
      <c r="D353" s="47" t="s">
        <v>25</v>
      </c>
      <c r="E353" s="47" t="s">
        <v>26</v>
      </c>
    </row>
    <row r="354" ht="60" customHeight="1" spans="1:5">
      <c r="A354" s="48" t="s">
        <v>733</v>
      </c>
      <c r="B354" s="48">
        <v>353</v>
      </c>
      <c r="C354" s="47" t="s">
        <v>734</v>
      </c>
      <c r="D354" s="47" t="s">
        <v>32</v>
      </c>
      <c r="E354" s="47" t="s">
        <v>26</v>
      </c>
    </row>
    <row r="355" ht="60" customHeight="1" spans="1:5">
      <c r="A355" s="48" t="s">
        <v>735</v>
      </c>
      <c r="B355" s="48">
        <v>354</v>
      </c>
      <c r="C355" s="47" t="s">
        <v>736</v>
      </c>
      <c r="D355" s="47" t="s">
        <v>32</v>
      </c>
      <c r="E355" s="47" t="s">
        <v>26</v>
      </c>
    </row>
    <row r="356" ht="60" customHeight="1" spans="1:5">
      <c r="A356" s="48" t="s">
        <v>737</v>
      </c>
      <c r="B356" s="48">
        <v>355</v>
      </c>
      <c r="C356" s="47" t="s">
        <v>738</v>
      </c>
      <c r="D356" s="47" t="s">
        <v>32</v>
      </c>
      <c r="E356" s="47" t="s">
        <v>26</v>
      </c>
    </row>
    <row r="357" ht="60" customHeight="1" spans="1:5">
      <c r="A357" s="48" t="s">
        <v>739</v>
      </c>
      <c r="B357" s="48">
        <v>356</v>
      </c>
      <c r="C357" s="47" t="s">
        <v>740</v>
      </c>
      <c r="D357" s="47" t="s">
        <v>25</v>
      </c>
      <c r="E357" s="47" t="s">
        <v>26</v>
      </c>
    </row>
    <row r="358" ht="60" customHeight="1" spans="1:5">
      <c r="A358" s="48" t="s">
        <v>741</v>
      </c>
      <c r="B358" s="48">
        <v>357</v>
      </c>
      <c r="C358" s="47" t="s">
        <v>742</v>
      </c>
      <c r="D358" s="47" t="s">
        <v>25</v>
      </c>
      <c r="E358" s="47" t="s">
        <v>26</v>
      </c>
    </row>
    <row r="359" ht="60" customHeight="1" spans="1:5">
      <c r="A359" s="48" t="s">
        <v>743</v>
      </c>
      <c r="B359" s="48">
        <v>358</v>
      </c>
      <c r="C359" s="47" t="s">
        <v>744</v>
      </c>
      <c r="D359" s="47" t="s">
        <v>32</v>
      </c>
      <c r="E359" s="47" t="s">
        <v>26</v>
      </c>
    </row>
    <row r="360" ht="60" customHeight="1" spans="1:5">
      <c r="A360" s="48" t="s">
        <v>745</v>
      </c>
      <c r="B360" s="48">
        <v>359</v>
      </c>
      <c r="C360" s="47" t="s">
        <v>746</v>
      </c>
      <c r="D360" s="47" t="s">
        <v>25</v>
      </c>
      <c r="E360" s="47" t="s">
        <v>26</v>
      </c>
    </row>
    <row r="361" ht="60" customHeight="1" spans="1:5">
      <c r="A361" s="48" t="s">
        <v>747</v>
      </c>
      <c r="B361" s="48">
        <v>360</v>
      </c>
      <c r="C361" s="47" t="s">
        <v>748</v>
      </c>
      <c r="D361" s="47" t="s">
        <v>25</v>
      </c>
      <c r="E361" s="47" t="s">
        <v>26</v>
      </c>
    </row>
    <row r="362" ht="60" customHeight="1" spans="1:5">
      <c r="A362" s="48" t="s">
        <v>749</v>
      </c>
      <c r="B362" s="48">
        <v>361</v>
      </c>
      <c r="C362" s="47" t="s">
        <v>750</v>
      </c>
      <c r="D362" s="47" t="s">
        <v>32</v>
      </c>
      <c r="E362" s="47" t="s">
        <v>26</v>
      </c>
    </row>
    <row r="363" ht="60" customHeight="1" spans="1:5">
      <c r="A363" s="48" t="s">
        <v>751</v>
      </c>
      <c r="B363" s="48">
        <v>362</v>
      </c>
      <c r="C363" s="47" t="s">
        <v>752</v>
      </c>
      <c r="D363" s="47" t="s">
        <v>25</v>
      </c>
      <c r="E363" s="47" t="s">
        <v>26</v>
      </c>
    </row>
    <row r="364" ht="60" customHeight="1" spans="1:5">
      <c r="A364" s="48" t="s">
        <v>753</v>
      </c>
      <c r="B364" s="48">
        <v>363</v>
      </c>
      <c r="C364" s="47" t="s">
        <v>754</v>
      </c>
      <c r="D364" s="47" t="s">
        <v>25</v>
      </c>
      <c r="E364" s="47" t="s">
        <v>26</v>
      </c>
    </row>
    <row r="365" ht="60" customHeight="1" spans="1:5">
      <c r="A365" s="48" t="s">
        <v>755</v>
      </c>
      <c r="B365" s="48">
        <v>364</v>
      </c>
      <c r="C365" s="47" t="s">
        <v>756</v>
      </c>
      <c r="D365" s="47" t="s">
        <v>32</v>
      </c>
      <c r="E365" s="47" t="s">
        <v>26</v>
      </c>
    </row>
    <row r="366" ht="60" customHeight="1" spans="1:5">
      <c r="A366" s="48" t="s">
        <v>757</v>
      </c>
      <c r="B366" s="48">
        <v>365</v>
      </c>
      <c r="C366" s="47" t="s">
        <v>758</v>
      </c>
      <c r="D366" s="47" t="s">
        <v>32</v>
      </c>
      <c r="E366" s="47" t="s">
        <v>26</v>
      </c>
    </row>
    <row r="367" ht="60" customHeight="1" spans="1:5">
      <c r="A367" s="48" t="s">
        <v>759</v>
      </c>
      <c r="B367" s="48">
        <v>366</v>
      </c>
      <c r="C367" s="47" t="s">
        <v>760</v>
      </c>
      <c r="D367" s="47" t="s">
        <v>32</v>
      </c>
      <c r="E367" s="47" t="s">
        <v>26</v>
      </c>
    </row>
    <row r="368" ht="60" customHeight="1" spans="1:5">
      <c r="A368" s="48" t="s">
        <v>761</v>
      </c>
      <c r="B368" s="48">
        <v>367</v>
      </c>
      <c r="C368" s="47" t="s">
        <v>762</v>
      </c>
      <c r="D368" s="47" t="s">
        <v>32</v>
      </c>
      <c r="E368" s="47" t="s">
        <v>26</v>
      </c>
    </row>
    <row r="369" ht="60" customHeight="1" spans="1:5">
      <c r="A369" s="48" t="s">
        <v>763</v>
      </c>
      <c r="B369" s="48">
        <v>368</v>
      </c>
      <c r="C369" s="47" t="s">
        <v>764</v>
      </c>
      <c r="D369" s="47" t="s">
        <v>32</v>
      </c>
      <c r="E369" s="47" t="s">
        <v>26</v>
      </c>
    </row>
    <row r="370" ht="60" customHeight="1" spans="1:5">
      <c r="A370" s="48" t="s">
        <v>765</v>
      </c>
      <c r="B370" s="48">
        <v>369</v>
      </c>
      <c r="C370" s="47" t="s">
        <v>766</v>
      </c>
      <c r="D370" s="47" t="s">
        <v>32</v>
      </c>
      <c r="E370" s="47" t="s">
        <v>26</v>
      </c>
    </row>
    <row r="371" ht="60" customHeight="1" spans="1:5">
      <c r="A371" s="48" t="s">
        <v>767</v>
      </c>
      <c r="B371" s="48">
        <v>370</v>
      </c>
      <c r="C371" s="47" t="s">
        <v>768</v>
      </c>
      <c r="D371" s="47" t="s">
        <v>32</v>
      </c>
      <c r="E371" s="47" t="s">
        <v>26</v>
      </c>
    </row>
    <row r="372" ht="60" customHeight="1" spans="1:5">
      <c r="A372" s="48" t="s">
        <v>769</v>
      </c>
      <c r="B372" s="48">
        <v>371</v>
      </c>
      <c r="C372" s="47" t="s">
        <v>770</v>
      </c>
      <c r="D372" s="47" t="s">
        <v>32</v>
      </c>
      <c r="E372" s="47" t="s">
        <v>26</v>
      </c>
    </row>
    <row r="373" ht="60" customHeight="1" spans="1:5">
      <c r="A373" s="48" t="s">
        <v>771</v>
      </c>
      <c r="B373" s="48">
        <v>372</v>
      </c>
      <c r="C373" s="47" t="s">
        <v>772</v>
      </c>
      <c r="D373" s="47" t="s">
        <v>32</v>
      </c>
      <c r="E373" s="47" t="s">
        <v>26</v>
      </c>
    </row>
    <row r="374" ht="60" customHeight="1" spans="1:5">
      <c r="A374" s="48" t="s">
        <v>773</v>
      </c>
      <c r="B374" s="48">
        <v>373</v>
      </c>
      <c r="C374" s="47" t="s">
        <v>774</v>
      </c>
      <c r="D374" s="47" t="s">
        <v>32</v>
      </c>
      <c r="E374" s="47" t="s">
        <v>26</v>
      </c>
    </row>
    <row r="375" ht="60" customHeight="1" spans="1:5">
      <c r="A375" s="48" t="s">
        <v>775</v>
      </c>
      <c r="B375" s="48">
        <v>374</v>
      </c>
      <c r="C375" s="47" t="s">
        <v>776</v>
      </c>
      <c r="D375" s="47" t="s">
        <v>32</v>
      </c>
      <c r="E375" s="47" t="s">
        <v>26</v>
      </c>
    </row>
    <row r="376" ht="60" customHeight="1" spans="1:5">
      <c r="A376" s="48" t="s">
        <v>777</v>
      </c>
      <c r="B376" s="48">
        <v>375</v>
      </c>
      <c r="C376" s="47" t="s">
        <v>778</v>
      </c>
      <c r="D376" s="47" t="s">
        <v>32</v>
      </c>
      <c r="E376" s="47" t="s">
        <v>26</v>
      </c>
    </row>
    <row r="377" ht="60" customHeight="1" spans="1:5">
      <c r="A377" s="48" t="s">
        <v>779</v>
      </c>
      <c r="B377" s="48">
        <v>376</v>
      </c>
      <c r="C377" s="47" t="s">
        <v>780</v>
      </c>
      <c r="D377" s="47" t="s">
        <v>25</v>
      </c>
      <c r="E377" s="47" t="s">
        <v>26</v>
      </c>
    </row>
    <row r="378" ht="60" customHeight="1" spans="1:5">
      <c r="A378" s="48" t="s">
        <v>781</v>
      </c>
      <c r="B378" s="48">
        <v>377</v>
      </c>
      <c r="C378" s="47" t="s">
        <v>782</v>
      </c>
      <c r="D378" s="47" t="s">
        <v>25</v>
      </c>
      <c r="E378" s="47" t="s">
        <v>26</v>
      </c>
    </row>
    <row r="379" ht="60" customHeight="1" spans="1:5">
      <c r="A379" s="48" t="s">
        <v>783</v>
      </c>
      <c r="B379" s="48">
        <v>378</v>
      </c>
      <c r="C379" s="47" t="s">
        <v>784</v>
      </c>
      <c r="D379" s="47" t="s">
        <v>32</v>
      </c>
      <c r="E379" s="47" t="s">
        <v>26</v>
      </c>
    </row>
    <row r="380" ht="60" customHeight="1" spans="1:5">
      <c r="A380" s="48" t="s">
        <v>785</v>
      </c>
      <c r="B380" s="48">
        <v>379</v>
      </c>
      <c r="C380" s="47" t="s">
        <v>786</v>
      </c>
      <c r="D380" s="47" t="s">
        <v>32</v>
      </c>
      <c r="E380" s="47" t="s">
        <v>26</v>
      </c>
    </row>
    <row r="381" ht="60" customHeight="1" spans="1:5">
      <c r="A381" s="48" t="s">
        <v>787</v>
      </c>
      <c r="B381" s="48">
        <v>380</v>
      </c>
      <c r="C381" s="47" t="s">
        <v>788</v>
      </c>
      <c r="D381" s="47" t="s">
        <v>25</v>
      </c>
      <c r="E381" s="47" t="s">
        <v>26</v>
      </c>
    </row>
    <row r="382" ht="60" customHeight="1" spans="1:5">
      <c r="A382" s="48" t="s">
        <v>789</v>
      </c>
      <c r="B382" s="48">
        <v>381</v>
      </c>
      <c r="C382" s="47" t="s">
        <v>790</v>
      </c>
      <c r="D382" s="47" t="s">
        <v>32</v>
      </c>
      <c r="E382" s="47" t="s">
        <v>26</v>
      </c>
    </row>
    <row r="383" ht="60" customHeight="1" spans="1:5">
      <c r="A383" s="48" t="s">
        <v>791</v>
      </c>
      <c r="B383" s="48">
        <v>382</v>
      </c>
      <c r="C383" s="47" t="s">
        <v>792</v>
      </c>
      <c r="D383" s="47" t="s">
        <v>25</v>
      </c>
      <c r="E383" s="47" t="s">
        <v>26</v>
      </c>
    </row>
    <row r="384" ht="60" customHeight="1" spans="1:5">
      <c r="A384" s="48" t="s">
        <v>793</v>
      </c>
      <c r="B384" s="48">
        <v>383</v>
      </c>
      <c r="C384" s="47" t="s">
        <v>794</v>
      </c>
      <c r="D384" s="47" t="s">
        <v>32</v>
      </c>
      <c r="E384" s="47" t="s">
        <v>26</v>
      </c>
    </row>
    <row r="385" ht="60" customHeight="1" spans="1:5">
      <c r="A385" s="48" t="s">
        <v>795</v>
      </c>
      <c r="B385" s="48">
        <v>384</v>
      </c>
      <c r="C385" s="47" t="s">
        <v>796</v>
      </c>
      <c r="D385" s="47" t="s">
        <v>32</v>
      </c>
      <c r="E385" s="47" t="s">
        <v>26</v>
      </c>
    </row>
    <row r="386" ht="60" customHeight="1" spans="1:5">
      <c r="A386" s="48" t="s">
        <v>797</v>
      </c>
      <c r="B386" s="48">
        <v>385</v>
      </c>
      <c r="C386" s="47" t="s">
        <v>798</v>
      </c>
      <c r="D386" s="47" t="s">
        <v>32</v>
      </c>
      <c r="E386" s="47" t="s">
        <v>26</v>
      </c>
    </row>
    <row r="387" ht="60" customHeight="1" spans="1:5">
      <c r="A387" s="48" t="s">
        <v>799</v>
      </c>
      <c r="B387" s="48">
        <v>386</v>
      </c>
      <c r="C387" s="47" t="s">
        <v>800</v>
      </c>
      <c r="D387" s="47" t="s">
        <v>25</v>
      </c>
      <c r="E387" s="47" t="s">
        <v>26</v>
      </c>
    </row>
    <row r="388" ht="60" customHeight="1" spans="1:5">
      <c r="A388" s="48" t="s">
        <v>801</v>
      </c>
      <c r="B388" s="48">
        <v>387</v>
      </c>
      <c r="C388" s="47" t="s">
        <v>802</v>
      </c>
      <c r="D388" s="47" t="s">
        <v>32</v>
      </c>
      <c r="E388" s="47" t="s">
        <v>26</v>
      </c>
    </row>
    <row r="389" ht="60" customHeight="1" spans="1:5">
      <c r="A389" s="48" t="s">
        <v>803</v>
      </c>
      <c r="B389" s="48">
        <v>388</v>
      </c>
      <c r="C389" s="47" t="s">
        <v>804</v>
      </c>
      <c r="D389" s="47" t="s">
        <v>32</v>
      </c>
      <c r="E389" s="47" t="s">
        <v>26</v>
      </c>
    </row>
    <row r="390" ht="60" customHeight="1" spans="1:5">
      <c r="A390" s="48" t="s">
        <v>805</v>
      </c>
      <c r="B390" s="48">
        <v>389</v>
      </c>
      <c r="C390" s="47" t="s">
        <v>806</v>
      </c>
      <c r="D390" s="47" t="s">
        <v>32</v>
      </c>
      <c r="E390" s="47" t="s">
        <v>26</v>
      </c>
    </row>
    <row r="391" ht="60" customHeight="1" spans="1:5">
      <c r="A391" s="48" t="s">
        <v>807</v>
      </c>
      <c r="B391" s="48">
        <v>390</v>
      </c>
      <c r="C391" s="47" t="s">
        <v>808</v>
      </c>
      <c r="D391" s="47" t="s">
        <v>32</v>
      </c>
      <c r="E391" s="47" t="s">
        <v>26</v>
      </c>
    </row>
    <row r="392" ht="60" customHeight="1" spans="1:5">
      <c r="A392" s="48" t="s">
        <v>809</v>
      </c>
      <c r="B392" s="48">
        <v>391</v>
      </c>
      <c r="C392" s="47" t="s">
        <v>810</v>
      </c>
      <c r="D392" s="47" t="s">
        <v>32</v>
      </c>
      <c r="E392" s="47" t="s">
        <v>26</v>
      </c>
    </row>
    <row r="393" ht="60" customHeight="1" spans="1:5">
      <c r="A393" s="48" t="s">
        <v>811</v>
      </c>
      <c r="B393" s="48">
        <v>392</v>
      </c>
      <c r="C393" s="47" t="s">
        <v>812</v>
      </c>
      <c r="D393" s="47" t="s">
        <v>32</v>
      </c>
      <c r="E393" s="47" t="s">
        <v>26</v>
      </c>
    </row>
    <row r="394" ht="60" customHeight="1" spans="1:5">
      <c r="A394" s="48" t="s">
        <v>813</v>
      </c>
      <c r="B394" s="48">
        <v>393</v>
      </c>
      <c r="C394" s="47" t="s">
        <v>814</v>
      </c>
      <c r="D394" s="47" t="s">
        <v>32</v>
      </c>
      <c r="E394" s="47" t="s">
        <v>26</v>
      </c>
    </row>
    <row r="395" ht="60" customHeight="1" spans="1:5">
      <c r="A395" s="48" t="s">
        <v>815</v>
      </c>
      <c r="B395" s="48">
        <v>394</v>
      </c>
      <c r="C395" s="47" t="s">
        <v>816</v>
      </c>
      <c r="D395" s="47" t="s">
        <v>32</v>
      </c>
      <c r="E395" s="47" t="s">
        <v>26</v>
      </c>
    </row>
    <row r="396" ht="60" customHeight="1" spans="1:5">
      <c r="A396" s="48" t="s">
        <v>817</v>
      </c>
      <c r="B396" s="48">
        <v>395</v>
      </c>
      <c r="C396" s="47" t="s">
        <v>818</v>
      </c>
      <c r="D396" s="47" t="s">
        <v>32</v>
      </c>
      <c r="E396" s="47" t="s">
        <v>26</v>
      </c>
    </row>
    <row r="397" ht="60" customHeight="1" spans="1:5">
      <c r="A397" s="48" t="s">
        <v>819</v>
      </c>
      <c r="B397" s="48">
        <v>396</v>
      </c>
      <c r="C397" s="47" t="s">
        <v>820</v>
      </c>
      <c r="D397" s="47" t="s">
        <v>25</v>
      </c>
      <c r="E397" s="47" t="s">
        <v>26</v>
      </c>
    </row>
    <row r="398" ht="60" customHeight="1" spans="1:5">
      <c r="A398" s="48" t="s">
        <v>821</v>
      </c>
      <c r="B398" s="48">
        <v>397</v>
      </c>
      <c r="C398" s="47" t="s">
        <v>822</v>
      </c>
      <c r="D398" s="47" t="s">
        <v>32</v>
      </c>
      <c r="E398" s="47" t="s">
        <v>26</v>
      </c>
    </row>
    <row r="399" ht="60" customHeight="1" spans="1:5">
      <c r="A399" s="48" t="s">
        <v>823</v>
      </c>
      <c r="B399" s="48">
        <v>398</v>
      </c>
      <c r="C399" s="47" t="s">
        <v>824</v>
      </c>
      <c r="D399" s="47" t="s">
        <v>32</v>
      </c>
      <c r="E399" s="47" t="s">
        <v>26</v>
      </c>
    </row>
    <row r="400" ht="60" customHeight="1" spans="1:5">
      <c r="A400" s="48" t="s">
        <v>825</v>
      </c>
      <c r="B400" s="48">
        <v>399</v>
      </c>
      <c r="C400" s="47" t="s">
        <v>826</v>
      </c>
      <c r="D400" s="47" t="s">
        <v>32</v>
      </c>
      <c r="E400" s="47" t="s">
        <v>26</v>
      </c>
    </row>
    <row r="401" ht="60" customHeight="1" spans="1:5">
      <c r="A401" s="48" t="s">
        <v>827</v>
      </c>
      <c r="B401" s="48">
        <v>400</v>
      </c>
      <c r="C401" s="47" t="s">
        <v>828</v>
      </c>
      <c r="D401" s="47" t="s">
        <v>25</v>
      </c>
      <c r="E401" s="47" t="s">
        <v>29</v>
      </c>
    </row>
    <row r="402" ht="60" customHeight="1" spans="1:5">
      <c r="A402" s="48" t="s">
        <v>829</v>
      </c>
      <c r="B402" s="48">
        <v>401</v>
      </c>
      <c r="C402" s="47" t="s">
        <v>830</v>
      </c>
      <c r="D402" s="47" t="s">
        <v>32</v>
      </c>
      <c r="E402" s="47" t="s">
        <v>26</v>
      </c>
    </row>
    <row r="403" ht="60" customHeight="1" spans="1:5">
      <c r="A403" s="48" t="s">
        <v>831</v>
      </c>
      <c r="B403" s="48">
        <v>402</v>
      </c>
      <c r="C403" s="47" t="s">
        <v>832</v>
      </c>
      <c r="D403" s="47" t="s">
        <v>32</v>
      </c>
      <c r="E403" s="47" t="s">
        <v>26</v>
      </c>
    </row>
    <row r="404" ht="60" customHeight="1" spans="1:5">
      <c r="A404" s="48" t="s">
        <v>833</v>
      </c>
      <c r="B404" s="48">
        <v>403</v>
      </c>
      <c r="C404" s="47" t="s">
        <v>834</v>
      </c>
      <c r="D404" s="47" t="s">
        <v>32</v>
      </c>
      <c r="E404" s="47" t="s">
        <v>26</v>
      </c>
    </row>
    <row r="405" ht="60" customHeight="1" spans="1:5">
      <c r="A405" s="48" t="s">
        <v>835</v>
      </c>
      <c r="B405" s="48">
        <v>404</v>
      </c>
      <c r="C405" s="47" t="s">
        <v>836</v>
      </c>
      <c r="D405" s="47" t="s">
        <v>25</v>
      </c>
      <c r="E405" s="47" t="s">
        <v>26</v>
      </c>
    </row>
    <row r="406" ht="60" customHeight="1" spans="1:5">
      <c r="A406" s="48" t="s">
        <v>837</v>
      </c>
      <c r="B406" s="48">
        <v>405</v>
      </c>
      <c r="C406" s="47" t="s">
        <v>838</v>
      </c>
      <c r="D406" s="47" t="s">
        <v>32</v>
      </c>
      <c r="E406" s="47" t="s">
        <v>26</v>
      </c>
    </row>
    <row r="407" ht="60" customHeight="1" spans="1:5">
      <c r="A407" s="48" t="s">
        <v>839</v>
      </c>
      <c r="B407" s="48">
        <v>406</v>
      </c>
      <c r="C407" s="47" t="s">
        <v>840</v>
      </c>
      <c r="D407" s="47" t="s">
        <v>32</v>
      </c>
      <c r="E407" s="47" t="s">
        <v>26</v>
      </c>
    </row>
    <row r="408" ht="60" customHeight="1" spans="1:5">
      <c r="A408" s="48" t="s">
        <v>841</v>
      </c>
      <c r="B408" s="48">
        <v>407</v>
      </c>
      <c r="C408" s="47" t="s">
        <v>842</v>
      </c>
      <c r="D408" s="47" t="s">
        <v>25</v>
      </c>
      <c r="E408" s="47" t="s">
        <v>26</v>
      </c>
    </row>
    <row r="409" ht="60" customHeight="1" spans="1:5">
      <c r="A409" s="48" t="s">
        <v>843</v>
      </c>
      <c r="B409" s="48">
        <v>408</v>
      </c>
      <c r="C409" s="47" t="s">
        <v>844</v>
      </c>
      <c r="D409" s="47" t="s">
        <v>32</v>
      </c>
      <c r="E409" s="47" t="s">
        <v>26</v>
      </c>
    </row>
    <row r="410" ht="60" customHeight="1" spans="1:5">
      <c r="A410" s="48" t="s">
        <v>845</v>
      </c>
      <c r="B410" s="48">
        <v>409</v>
      </c>
      <c r="C410" s="47" t="s">
        <v>846</v>
      </c>
      <c r="D410" s="47" t="s">
        <v>32</v>
      </c>
      <c r="E410" s="47" t="s">
        <v>29</v>
      </c>
    </row>
    <row r="411" ht="60" customHeight="1" spans="1:5">
      <c r="A411" s="48" t="s">
        <v>847</v>
      </c>
      <c r="B411" s="48">
        <v>410</v>
      </c>
      <c r="C411" s="47" t="s">
        <v>848</v>
      </c>
      <c r="D411" s="47" t="s">
        <v>32</v>
      </c>
      <c r="E411" s="47" t="s">
        <v>26</v>
      </c>
    </row>
    <row r="412" ht="60" customHeight="1" spans="1:5">
      <c r="A412" s="48" t="s">
        <v>849</v>
      </c>
      <c r="B412" s="48">
        <v>411</v>
      </c>
      <c r="C412" s="47" t="s">
        <v>850</v>
      </c>
      <c r="D412" s="47" t="s">
        <v>32</v>
      </c>
      <c r="E412" s="47" t="s">
        <v>26</v>
      </c>
    </row>
    <row r="413" ht="60" customHeight="1" spans="1:5">
      <c r="A413" s="48" t="s">
        <v>851</v>
      </c>
      <c r="B413" s="48">
        <v>412</v>
      </c>
      <c r="C413" s="47" t="s">
        <v>852</v>
      </c>
      <c r="D413" s="47" t="s">
        <v>32</v>
      </c>
      <c r="E413" s="47" t="s">
        <v>26</v>
      </c>
    </row>
    <row r="414" ht="60" customHeight="1" spans="1:5">
      <c r="A414" s="48" t="s">
        <v>853</v>
      </c>
      <c r="B414" s="48">
        <v>413</v>
      </c>
      <c r="C414" s="47" t="s">
        <v>854</v>
      </c>
      <c r="D414" s="47" t="s">
        <v>32</v>
      </c>
      <c r="E414" s="47" t="s">
        <v>26</v>
      </c>
    </row>
    <row r="415" ht="60" customHeight="1" spans="1:5">
      <c r="A415" s="48" t="s">
        <v>855</v>
      </c>
      <c r="B415" s="48">
        <v>414</v>
      </c>
      <c r="C415" s="47" t="s">
        <v>856</v>
      </c>
      <c r="D415" s="47" t="s">
        <v>32</v>
      </c>
      <c r="E415" s="47" t="s">
        <v>26</v>
      </c>
    </row>
    <row r="416" ht="60" customHeight="1" spans="1:5">
      <c r="A416" s="48" t="s">
        <v>857</v>
      </c>
      <c r="B416" s="48">
        <v>415</v>
      </c>
      <c r="C416" s="47" t="s">
        <v>858</v>
      </c>
      <c r="D416" s="47" t="s">
        <v>32</v>
      </c>
      <c r="E416" s="47" t="s">
        <v>26</v>
      </c>
    </row>
    <row r="417" ht="60" customHeight="1" spans="1:5">
      <c r="A417" s="48" t="s">
        <v>859</v>
      </c>
      <c r="B417" s="48">
        <v>416</v>
      </c>
      <c r="C417" s="47" t="s">
        <v>860</v>
      </c>
      <c r="D417" s="47" t="s">
        <v>32</v>
      </c>
      <c r="E417" s="47" t="s">
        <v>26</v>
      </c>
    </row>
    <row r="418" ht="60" customHeight="1" spans="1:5">
      <c r="A418" s="48" t="s">
        <v>861</v>
      </c>
      <c r="B418" s="48">
        <v>417</v>
      </c>
      <c r="C418" s="47" t="s">
        <v>862</v>
      </c>
      <c r="D418" s="47" t="s">
        <v>32</v>
      </c>
      <c r="E418" s="47" t="s">
        <v>26</v>
      </c>
    </row>
    <row r="419" ht="60" customHeight="1" spans="1:5">
      <c r="A419" s="48" t="s">
        <v>863</v>
      </c>
      <c r="B419" s="48">
        <v>418</v>
      </c>
      <c r="C419" s="47" t="s">
        <v>864</v>
      </c>
      <c r="D419" s="47" t="s">
        <v>25</v>
      </c>
      <c r="E419" s="47" t="s">
        <v>26</v>
      </c>
    </row>
    <row r="420" ht="60" customHeight="1" spans="1:5">
      <c r="A420" s="48" t="s">
        <v>865</v>
      </c>
      <c r="B420" s="48">
        <v>419</v>
      </c>
      <c r="C420" s="47" t="s">
        <v>866</v>
      </c>
      <c r="D420" s="47" t="s">
        <v>25</v>
      </c>
      <c r="E420" s="47" t="s">
        <v>26</v>
      </c>
    </row>
    <row r="421" ht="60" customHeight="1" spans="1:5">
      <c r="A421" s="48" t="s">
        <v>867</v>
      </c>
      <c r="B421" s="48">
        <v>420</v>
      </c>
      <c r="C421" s="47" t="s">
        <v>868</v>
      </c>
      <c r="D421" s="47" t="s">
        <v>32</v>
      </c>
      <c r="E421" s="47" t="s">
        <v>26</v>
      </c>
    </row>
    <row r="422" ht="60" customHeight="1" spans="1:5">
      <c r="A422" s="48" t="s">
        <v>869</v>
      </c>
      <c r="B422" s="48">
        <v>421</v>
      </c>
      <c r="C422" s="47" t="s">
        <v>870</v>
      </c>
      <c r="D422" s="47" t="s">
        <v>32</v>
      </c>
      <c r="E422" s="47" t="s">
        <v>26</v>
      </c>
    </row>
    <row r="423" ht="60" customHeight="1" spans="1:5">
      <c r="A423" s="48" t="s">
        <v>871</v>
      </c>
      <c r="B423" s="48">
        <v>422</v>
      </c>
      <c r="C423" s="47" t="s">
        <v>872</v>
      </c>
      <c r="D423" s="47" t="s">
        <v>32</v>
      </c>
      <c r="E423" s="47" t="s">
        <v>26</v>
      </c>
    </row>
    <row r="424" ht="60" customHeight="1" spans="1:5">
      <c r="A424" s="48" t="s">
        <v>873</v>
      </c>
      <c r="B424" s="48">
        <v>423</v>
      </c>
      <c r="C424" s="47" t="s">
        <v>874</v>
      </c>
      <c r="D424" s="47" t="s">
        <v>32</v>
      </c>
      <c r="E424" s="47" t="s">
        <v>26</v>
      </c>
    </row>
    <row r="425" ht="60" customHeight="1" spans="1:5">
      <c r="A425" s="48" t="s">
        <v>875</v>
      </c>
      <c r="B425" s="48">
        <v>424</v>
      </c>
      <c r="C425" s="47" t="s">
        <v>876</v>
      </c>
      <c r="D425" s="47" t="s">
        <v>25</v>
      </c>
      <c r="E425" s="47" t="s">
        <v>29</v>
      </c>
    </row>
    <row r="426" ht="60" customHeight="1" spans="1:5">
      <c r="A426" s="48" t="s">
        <v>877</v>
      </c>
      <c r="B426" s="48">
        <v>425</v>
      </c>
      <c r="C426" s="47" t="s">
        <v>878</v>
      </c>
      <c r="D426" s="47" t="s">
        <v>32</v>
      </c>
      <c r="E426" s="47" t="s">
        <v>26</v>
      </c>
    </row>
    <row r="427" ht="60" customHeight="1" spans="1:5">
      <c r="A427" s="48" t="s">
        <v>879</v>
      </c>
      <c r="B427" s="48">
        <v>426</v>
      </c>
      <c r="C427" s="47" t="s">
        <v>880</v>
      </c>
      <c r="D427" s="47" t="s">
        <v>25</v>
      </c>
      <c r="E427" s="47" t="s">
        <v>26</v>
      </c>
    </row>
    <row r="428" ht="60" customHeight="1" spans="1:5">
      <c r="A428" s="48" t="s">
        <v>881</v>
      </c>
      <c r="B428" s="48">
        <v>427</v>
      </c>
      <c r="C428" s="47" t="s">
        <v>882</v>
      </c>
      <c r="D428" s="47" t="s">
        <v>25</v>
      </c>
      <c r="E428" s="47" t="s">
        <v>26</v>
      </c>
    </row>
    <row r="429" ht="60" customHeight="1" spans="1:5">
      <c r="A429" s="48" t="s">
        <v>883</v>
      </c>
      <c r="B429" s="48">
        <v>428</v>
      </c>
      <c r="C429" s="47" t="s">
        <v>884</v>
      </c>
      <c r="D429" s="47" t="s">
        <v>32</v>
      </c>
      <c r="E429" s="47" t="s">
        <v>26</v>
      </c>
    </row>
    <row r="430" ht="60" customHeight="1" spans="1:5">
      <c r="A430" s="48" t="s">
        <v>885</v>
      </c>
      <c r="B430" s="48">
        <v>429</v>
      </c>
      <c r="C430" s="47" t="s">
        <v>886</v>
      </c>
      <c r="D430" s="47" t="s">
        <v>32</v>
      </c>
      <c r="E430" s="47" t="s">
        <v>26</v>
      </c>
    </row>
    <row r="431" ht="60" customHeight="1" spans="1:5">
      <c r="A431" s="48" t="s">
        <v>887</v>
      </c>
      <c r="B431" s="48">
        <v>430</v>
      </c>
      <c r="C431" s="47" t="s">
        <v>888</v>
      </c>
      <c r="D431" s="47" t="s">
        <v>32</v>
      </c>
      <c r="E431" s="47" t="s">
        <v>26</v>
      </c>
    </row>
    <row r="432" ht="60" customHeight="1" spans="1:5">
      <c r="A432" s="48" t="s">
        <v>889</v>
      </c>
      <c r="B432" s="48">
        <v>431</v>
      </c>
      <c r="C432" s="47" t="s">
        <v>890</v>
      </c>
      <c r="D432" s="47" t="s">
        <v>32</v>
      </c>
      <c r="E432" s="47" t="s">
        <v>26</v>
      </c>
    </row>
    <row r="433" ht="60" customHeight="1" spans="1:5">
      <c r="A433" s="48" t="s">
        <v>891</v>
      </c>
      <c r="B433" s="48">
        <v>432</v>
      </c>
      <c r="C433" s="47" t="s">
        <v>892</v>
      </c>
      <c r="D433" s="47" t="s">
        <v>32</v>
      </c>
      <c r="E433" s="47" t="s">
        <v>26</v>
      </c>
    </row>
    <row r="434" ht="60" customHeight="1" spans="1:5">
      <c r="A434" s="48" t="s">
        <v>893</v>
      </c>
      <c r="B434" s="48">
        <v>433</v>
      </c>
      <c r="C434" s="47" t="s">
        <v>894</v>
      </c>
      <c r="D434" s="47" t="s">
        <v>25</v>
      </c>
      <c r="E434" s="47" t="s">
        <v>26</v>
      </c>
    </row>
    <row r="435" ht="60" customHeight="1" spans="1:5">
      <c r="A435" s="48" t="s">
        <v>895</v>
      </c>
      <c r="B435" s="48">
        <v>434</v>
      </c>
      <c r="C435" s="47" t="s">
        <v>896</v>
      </c>
      <c r="D435" s="47" t="s">
        <v>32</v>
      </c>
      <c r="E435" s="47" t="s">
        <v>26</v>
      </c>
    </row>
    <row r="436" ht="60" customHeight="1" spans="1:5">
      <c r="A436" s="48" t="s">
        <v>897</v>
      </c>
      <c r="B436" s="48">
        <v>435</v>
      </c>
      <c r="C436" s="47" t="s">
        <v>898</v>
      </c>
      <c r="D436" s="47" t="s">
        <v>32</v>
      </c>
      <c r="E436" s="47" t="s">
        <v>26</v>
      </c>
    </row>
    <row r="437" ht="60" customHeight="1" spans="1:5">
      <c r="A437" s="48" t="s">
        <v>899</v>
      </c>
      <c r="B437" s="48">
        <v>436</v>
      </c>
      <c r="C437" s="47" t="s">
        <v>900</v>
      </c>
      <c r="D437" s="47" t="s">
        <v>25</v>
      </c>
      <c r="E437" s="47" t="s">
        <v>26</v>
      </c>
    </row>
    <row r="438" ht="60" customHeight="1" spans="1:5">
      <c r="A438" s="48" t="s">
        <v>901</v>
      </c>
      <c r="B438" s="48">
        <v>437</v>
      </c>
      <c r="C438" s="47" t="s">
        <v>902</v>
      </c>
      <c r="D438" s="47" t="s">
        <v>32</v>
      </c>
      <c r="E438" s="47" t="s">
        <v>26</v>
      </c>
    </row>
    <row r="439" ht="60" customHeight="1" spans="1:5">
      <c r="A439" s="48" t="s">
        <v>903</v>
      </c>
      <c r="B439" s="48">
        <v>438</v>
      </c>
      <c r="C439" s="47" t="s">
        <v>904</v>
      </c>
      <c r="D439" s="47" t="s">
        <v>25</v>
      </c>
      <c r="E439" s="47" t="s">
        <v>26</v>
      </c>
    </row>
    <row r="440" ht="60" customHeight="1" spans="1:5">
      <c r="A440" s="48" t="s">
        <v>905</v>
      </c>
      <c r="B440" s="48">
        <v>439</v>
      </c>
      <c r="C440" s="47" t="s">
        <v>906</v>
      </c>
      <c r="D440" s="47" t="s">
        <v>32</v>
      </c>
      <c r="E440" s="47" t="s">
        <v>26</v>
      </c>
    </row>
    <row r="441" ht="60" customHeight="1" spans="1:5">
      <c r="A441" s="48" t="s">
        <v>907</v>
      </c>
      <c r="B441" s="48">
        <v>440</v>
      </c>
      <c r="C441" s="47" t="s">
        <v>908</v>
      </c>
      <c r="D441" s="47" t="s">
        <v>25</v>
      </c>
      <c r="E441" s="47" t="s">
        <v>29</v>
      </c>
    </row>
    <row r="442" ht="60" customHeight="1" spans="1:5">
      <c r="A442" s="48" t="s">
        <v>909</v>
      </c>
      <c r="B442" s="48">
        <v>441</v>
      </c>
      <c r="C442" s="47" t="s">
        <v>910</v>
      </c>
      <c r="D442" s="47" t="s">
        <v>32</v>
      </c>
      <c r="E442" s="47" t="s">
        <v>29</v>
      </c>
    </row>
    <row r="443" ht="60" customHeight="1" spans="1:5">
      <c r="A443" s="48" t="s">
        <v>911</v>
      </c>
      <c r="B443" s="48">
        <v>442</v>
      </c>
      <c r="C443" s="47" t="s">
        <v>912</v>
      </c>
      <c r="D443" s="47" t="s">
        <v>25</v>
      </c>
      <c r="E443" s="47" t="s">
        <v>26</v>
      </c>
    </row>
    <row r="444" ht="60" customHeight="1" spans="1:5">
      <c r="A444" s="48" t="s">
        <v>913</v>
      </c>
      <c r="B444" s="48">
        <v>443</v>
      </c>
      <c r="C444" s="47" t="s">
        <v>914</v>
      </c>
      <c r="D444" s="47" t="s">
        <v>32</v>
      </c>
      <c r="E444" s="47" t="s">
        <v>29</v>
      </c>
    </row>
    <row r="445" ht="60" customHeight="1" spans="1:5">
      <c r="A445" s="48" t="s">
        <v>915</v>
      </c>
      <c r="B445" s="48">
        <v>444</v>
      </c>
      <c r="C445" s="47" t="s">
        <v>916</v>
      </c>
      <c r="D445" s="47" t="s">
        <v>25</v>
      </c>
      <c r="E445" s="47" t="s">
        <v>26</v>
      </c>
    </row>
    <row r="446" ht="60" customHeight="1" spans="1:5">
      <c r="A446" s="48" t="s">
        <v>917</v>
      </c>
      <c r="B446" s="48">
        <v>445</v>
      </c>
      <c r="C446" s="47" t="s">
        <v>918</v>
      </c>
      <c r="D446" s="47" t="s">
        <v>32</v>
      </c>
      <c r="E446" s="47" t="s">
        <v>26</v>
      </c>
    </row>
    <row r="447" ht="60" customHeight="1" spans="1:5">
      <c r="A447" s="48" t="s">
        <v>919</v>
      </c>
      <c r="B447" s="48">
        <v>446</v>
      </c>
      <c r="C447" s="47" t="s">
        <v>920</v>
      </c>
      <c r="D447" s="47" t="s">
        <v>32</v>
      </c>
      <c r="E447" s="47" t="s">
        <v>26</v>
      </c>
    </row>
    <row r="448" ht="60" customHeight="1" spans="1:5">
      <c r="A448" s="48" t="s">
        <v>921</v>
      </c>
      <c r="B448" s="48">
        <v>447</v>
      </c>
      <c r="C448" s="47" t="s">
        <v>922</v>
      </c>
      <c r="D448" s="47" t="s">
        <v>25</v>
      </c>
      <c r="E448" s="47" t="s">
        <v>26</v>
      </c>
    </row>
    <row r="449" ht="60" customHeight="1" spans="1:5">
      <c r="A449" s="48" t="s">
        <v>923</v>
      </c>
      <c r="B449" s="48">
        <v>448</v>
      </c>
      <c r="C449" s="47" t="s">
        <v>924</v>
      </c>
      <c r="D449" s="47" t="s">
        <v>32</v>
      </c>
      <c r="E449" s="47" t="s">
        <v>26</v>
      </c>
    </row>
  </sheetData>
  <sheetProtection formatCells="0" insertHyperlinks="0" autoFilter="0"/>
  <pageMargins left="0.7" right="0.7" top="0.75" bottom="0.75" header="0.3" footer="0.3"/>
  <headerFooter/>
  <picture r:id="cco-watermark"/>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44"/>
  <sheetViews>
    <sheetView showGridLines="0" workbookViewId="0">
      <selection activeCell="A1" sqref="A1"/>
    </sheetView>
  </sheetViews>
  <sheetFormatPr defaultColWidth="9" defaultRowHeight="14.25"/>
  <cols>
    <col min="1" max="1" customWidth="true" width="12.0" collapsed="false"/>
    <col min="2" max="2" customWidth="true" width="18.0" collapsed="false"/>
    <col min="3" max="3" customWidth="true" width="42.0" collapsed="false"/>
    <col min="4" max="4" customWidth="true" width="12.0" collapsed="false"/>
    <col min="5" max="5" customWidth="true" width="24.0" collapsed="false"/>
    <col min="6" max="6" customWidth="true" width="16.0" collapsed="false"/>
    <col min="7" max="7" customWidth="true" width="25.0" collapsed="false"/>
    <col min="8" max="8" customWidth="true" width="60.0" collapsed="false"/>
    <col min="9" max="9" customWidth="true" width="24.0" collapsed="false"/>
    <col min="10" max="10" customWidth="true" width="58.0" collapsed="false"/>
  </cols>
  <sheetData>
    <row r="1" ht="30" customHeight="1" spans="1:10">
      <c r="A1" s="46" t="s">
        <v>18</v>
      </c>
      <c r="B1" s="47" t="s">
        <v>925</v>
      </c>
      <c r="C1" s="47" t="s">
        <v>926</v>
      </c>
      <c r="D1" s="47" t="s">
        <v>927</v>
      </c>
      <c r="E1" s="47" t="s">
        <v>928</v>
      </c>
      <c r="F1" s="47" t="s">
        <v>929</v>
      </c>
      <c r="G1" s="47" t="s">
        <v>930</v>
      </c>
      <c r="H1" s="47" t="s">
        <v>931</v>
      </c>
      <c r="I1" s="47" t="s">
        <v>932</v>
      </c>
      <c r="J1" s="47" t="s">
        <v>22</v>
      </c>
    </row>
    <row r="2" ht="54" customHeight="1" spans="1:10">
      <c r="A2" s="48" t="s">
        <v>23</v>
      </c>
      <c r="B2" s="48" t="s">
        <v>933</v>
      </c>
      <c r="C2" s="47" t="s">
        <v>934</v>
      </c>
      <c r="D2" s="48" t="s">
        <v>935</v>
      </c>
      <c r="E2" s="48" t="s">
        <v>936</v>
      </c>
      <c r="F2" s="48" t="s">
        <v>937</v>
      </c>
      <c r="G2" s="48" t="s">
        <v>938</v>
      </c>
      <c r="H2" s="47" t="s">
        <v>939</v>
      </c>
      <c r="I2" s="47" t="s">
        <v>940</v>
      </c>
      <c r="J2" s="47" t="s">
        <v>26</v>
      </c>
    </row>
    <row r="3" ht="54" customHeight="1" spans="1:10">
      <c r="A3" s="48" t="s">
        <v>23</v>
      </c>
      <c r="B3" s="48" t="s">
        <v>941</v>
      </c>
      <c r="C3" s="47" t="s">
        <v>942</v>
      </c>
      <c r="D3" s="48" t="s">
        <v>943</v>
      </c>
      <c r="E3" s="48" t="s">
        <v>944</v>
      </c>
      <c r="F3" s="48" t="s">
        <v>945</v>
      </c>
      <c r="G3" s="48" t="s">
        <v>946</v>
      </c>
      <c r="H3" s="47" t="s">
        <v>947</v>
      </c>
      <c r="I3" s="47" t="s">
        <v>948</v>
      </c>
      <c r="J3" s="47" t="s">
        <v>26</v>
      </c>
    </row>
    <row r="4" ht="54" customHeight="1" spans="1:10">
      <c r="A4" s="48" t="s">
        <v>23</v>
      </c>
      <c r="B4" s="48" t="s">
        <v>949</v>
      </c>
      <c r="C4" s="47" t="s">
        <v>950</v>
      </c>
      <c r="D4" s="48" t="s">
        <v>935</v>
      </c>
      <c r="E4" s="48" t="s">
        <v>936</v>
      </c>
      <c r="F4" s="48" t="s">
        <v>951</v>
      </c>
      <c r="G4" s="48" t="s">
        <v>952</v>
      </c>
      <c r="H4" s="47" t="s">
        <v>953</v>
      </c>
      <c r="I4" s="47" t="s">
        <v>954</v>
      </c>
      <c r="J4" s="47" t="s">
        <v>26</v>
      </c>
    </row>
    <row r="5" ht="54" customHeight="1" spans="1:10">
      <c r="A5" s="48" t="s">
        <v>23</v>
      </c>
      <c r="B5" s="48" t="s">
        <v>955</v>
      </c>
      <c r="C5" s="47" t="s">
        <v>956</v>
      </c>
      <c r="D5" s="48" t="s">
        <v>957</v>
      </c>
      <c r="E5" s="48" t="s">
        <v>958</v>
      </c>
      <c r="F5" s="48" t="s">
        <v>959</v>
      </c>
      <c r="G5" s="48" t="s">
        <v>960</v>
      </c>
      <c r="H5" s="47" t="s">
        <v>961</v>
      </c>
      <c r="I5" s="47" t="s">
        <v>962</v>
      </c>
      <c r="J5" s="47" t="s">
        <v>26</v>
      </c>
    </row>
    <row r="6" ht="54" customHeight="1" spans="1:10">
      <c r="A6" s="48" t="s">
        <v>23</v>
      </c>
      <c r="B6" s="48" t="s">
        <v>963</v>
      </c>
      <c r="C6" s="47" t="s">
        <v>964</v>
      </c>
      <c r="D6" s="48" t="s">
        <v>965</v>
      </c>
      <c r="E6" s="48" t="s">
        <v>966</v>
      </c>
      <c r="F6" s="48" t="s">
        <v>967</v>
      </c>
      <c r="G6" s="48" t="s">
        <v>968</v>
      </c>
      <c r="H6" s="47" t="s">
        <v>969</v>
      </c>
      <c r="I6" s="47" t="s">
        <v>940</v>
      </c>
      <c r="J6" s="47" t="s">
        <v>26</v>
      </c>
    </row>
    <row r="7" ht="54" customHeight="1" spans="1:10">
      <c r="A7" s="48" t="s">
        <v>23</v>
      </c>
      <c r="B7" s="48" t="s">
        <v>970</v>
      </c>
      <c r="C7" s="47" t="s">
        <v>971</v>
      </c>
      <c r="D7" s="48" t="s">
        <v>965</v>
      </c>
      <c r="E7" s="48" t="s">
        <v>966</v>
      </c>
      <c r="F7" s="48" t="s">
        <v>972</v>
      </c>
      <c r="G7" s="48" t="s">
        <v>973</v>
      </c>
      <c r="H7" s="47" t="s">
        <v>974</v>
      </c>
      <c r="I7" s="47" t="s">
        <v>975</v>
      </c>
      <c r="J7" s="47" t="s">
        <v>26</v>
      </c>
    </row>
    <row r="8" ht="54" customHeight="1" spans="1:10">
      <c r="A8" s="48" t="s">
        <v>23</v>
      </c>
      <c r="B8" s="48" t="s">
        <v>976</v>
      </c>
      <c r="C8" s="47" t="s">
        <v>977</v>
      </c>
      <c r="D8" s="48" t="s">
        <v>978</v>
      </c>
      <c r="E8" s="48" t="s">
        <v>979</v>
      </c>
      <c r="F8" s="48" t="s">
        <v>980</v>
      </c>
      <c r="G8" s="48" t="s">
        <v>981</v>
      </c>
      <c r="H8" s="47" t="s">
        <v>982</v>
      </c>
      <c r="I8" s="47" t="s">
        <v>983</v>
      </c>
      <c r="J8" s="47" t="s">
        <v>26</v>
      </c>
    </row>
    <row r="9" ht="54" customHeight="1" spans="1:10">
      <c r="A9" s="48" t="s">
        <v>27</v>
      </c>
      <c r="B9" s="48" t="s">
        <v>984</v>
      </c>
      <c r="C9" s="47" t="s">
        <v>985</v>
      </c>
      <c r="D9" s="48" t="s">
        <v>986</v>
      </c>
      <c r="E9" s="48" t="s">
        <v>987</v>
      </c>
      <c r="F9" s="48" t="s">
        <v>988</v>
      </c>
      <c r="G9" s="48" t="s">
        <v>987</v>
      </c>
      <c r="H9" s="47" t="s">
        <v>989</v>
      </c>
      <c r="I9" s="47" t="s">
        <v>990</v>
      </c>
      <c r="J9" s="47" t="s">
        <v>29</v>
      </c>
    </row>
    <row r="10" ht="54" customHeight="1" spans="1:10">
      <c r="A10" s="48" t="s">
        <v>27</v>
      </c>
      <c r="B10" s="48" t="s">
        <v>991</v>
      </c>
      <c r="C10" s="47" t="s">
        <v>992</v>
      </c>
      <c r="D10" s="48" t="s">
        <v>993</v>
      </c>
      <c r="E10" s="48" t="s">
        <v>994</v>
      </c>
      <c r="F10" s="48" t="s">
        <v>995</v>
      </c>
      <c r="G10" s="48" t="s">
        <v>996</v>
      </c>
      <c r="H10" s="47" t="s">
        <v>997</v>
      </c>
      <c r="I10" s="47" t="s">
        <v>998</v>
      </c>
      <c r="J10" s="47" t="s">
        <v>29</v>
      </c>
    </row>
    <row r="11" ht="54" customHeight="1" spans="1:10">
      <c r="A11" s="48" t="s">
        <v>27</v>
      </c>
      <c r="B11" s="48" t="s">
        <v>999</v>
      </c>
      <c r="C11" s="47" t="s">
        <v>1000</v>
      </c>
      <c r="D11" s="48" t="s">
        <v>1001</v>
      </c>
      <c r="E11" s="48" t="s">
        <v>1002</v>
      </c>
      <c r="F11" s="48" t="s">
        <v>1003</v>
      </c>
      <c r="G11" s="48" t="s">
        <v>1004</v>
      </c>
      <c r="H11" s="47" t="s">
        <v>1005</v>
      </c>
      <c r="I11" s="47" t="s">
        <v>1006</v>
      </c>
      <c r="J11" s="47" t="s">
        <v>29</v>
      </c>
    </row>
    <row r="12" ht="54" customHeight="1" spans="1:10">
      <c r="A12" s="48" t="s">
        <v>27</v>
      </c>
      <c r="B12" s="48" t="s">
        <v>1007</v>
      </c>
      <c r="C12" s="47" t="s">
        <v>1008</v>
      </c>
      <c r="D12" s="48" t="s">
        <v>1009</v>
      </c>
      <c r="E12" s="48" t="s">
        <v>1010</v>
      </c>
      <c r="F12" s="48" t="s">
        <v>1011</v>
      </c>
      <c r="G12" s="48" t="s">
        <v>1012</v>
      </c>
      <c r="H12" s="47" t="s">
        <v>1013</v>
      </c>
      <c r="I12" s="47" t="s">
        <v>1014</v>
      </c>
      <c r="J12" s="47" t="s">
        <v>29</v>
      </c>
    </row>
    <row r="13" ht="54" customHeight="1" spans="1:10">
      <c r="A13" s="48" t="s">
        <v>27</v>
      </c>
      <c r="B13" s="48" t="s">
        <v>1015</v>
      </c>
      <c r="C13" s="47" t="s">
        <v>1016</v>
      </c>
      <c r="D13" s="48" t="s">
        <v>935</v>
      </c>
      <c r="E13" s="48" t="s">
        <v>936</v>
      </c>
      <c r="F13" s="48" t="s">
        <v>1017</v>
      </c>
      <c r="G13" s="48" t="s">
        <v>1018</v>
      </c>
      <c r="H13" s="47" t="s">
        <v>1019</v>
      </c>
      <c r="I13" s="47" t="s">
        <v>1020</v>
      </c>
      <c r="J13" s="47" t="s">
        <v>29</v>
      </c>
    </row>
    <row r="14" ht="54" customHeight="1" spans="1:10">
      <c r="A14" s="48" t="s">
        <v>27</v>
      </c>
      <c r="B14" s="48" t="s">
        <v>1021</v>
      </c>
      <c r="C14" s="47" t="s">
        <v>1022</v>
      </c>
      <c r="D14" s="48" t="s">
        <v>957</v>
      </c>
      <c r="E14" s="48" t="s">
        <v>958</v>
      </c>
      <c r="F14" s="48" t="s">
        <v>1023</v>
      </c>
      <c r="G14" s="48" t="s">
        <v>1024</v>
      </c>
      <c r="H14" s="47" t="s">
        <v>1025</v>
      </c>
      <c r="I14" s="47" t="s">
        <v>1026</v>
      </c>
      <c r="J14" s="47" t="s">
        <v>29</v>
      </c>
    </row>
    <row r="15" ht="54" customHeight="1" spans="1:10">
      <c r="A15" s="48" t="s">
        <v>27</v>
      </c>
      <c r="B15" s="48" t="s">
        <v>1027</v>
      </c>
      <c r="C15" s="47" t="s">
        <v>1028</v>
      </c>
      <c r="D15" s="48" t="s">
        <v>1029</v>
      </c>
      <c r="E15" s="48" t="s">
        <v>1030</v>
      </c>
      <c r="F15" s="48" t="s">
        <v>1031</v>
      </c>
      <c r="G15" s="48" t="s">
        <v>1032</v>
      </c>
      <c r="H15" s="47" t="s">
        <v>1033</v>
      </c>
      <c r="I15" s="47" t="s">
        <v>1034</v>
      </c>
      <c r="J15" s="47" t="s">
        <v>29</v>
      </c>
    </row>
    <row r="16" ht="54" customHeight="1" spans="1:10">
      <c r="A16" s="48" t="s">
        <v>27</v>
      </c>
      <c r="B16" s="48" t="s">
        <v>1035</v>
      </c>
      <c r="C16" s="47" t="s">
        <v>1036</v>
      </c>
      <c r="D16" s="48" t="s">
        <v>1037</v>
      </c>
      <c r="E16" s="48" t="s">
        <v>1038</v>
      </c>
      <c r="F16" s="48" t="s">
        <v>1039</v>
      </c>
      <c r="G16" s="48" t="s">
        <v>1040</v>
      </c>
      <c r="H16" s="47" t="s">
        <v>1041</v>
      </c>
      <c r="I16" s="47" t="s">
        <v>1042</v>
      </c>
      <c r="J16" s="47" t="s">
        <v>29</v>
      </c>
    </row>
    <row r="17" ht="54" customHeight="1" spans="1:10">
      <c r="A17" s="48" t="s">
        <v>27</v>
      </c>
      <c r="B17" s="48" t="s">
        <v>1043</v>
      </c>
      <c r="C17" s="47" t="s">
        <v>1044</v>
      </c>
      <c r="D17" s="48" t="s">
        <v>1045</v>
      </c>
      <c r="E17" s="48" t="s">
        <v>1046</v>
      </c>
      <c r="F17" s="48" t="s">
        <v>1047</v>
      </c>
      <c r="G17" s="48" t="s">
        <v>1048</v>
      </c>
      <c r="H17" s="47" t="s">
        <v>1049</v>
      </c>
      <c r="I17" s="47" t="s">
        <v>1050</v>
      </c>
      <c r="J17" s="47" t="s">
        <v>29</v>
      </c>
    </row>
    <row r="18" ht="54" customHeight="1" spans="1:10">
      <c r="A18" s="48" t="s">
        <v>27</v>
      </c>
      <c r="B18" s="48" t="s">
        <v>1051</v>
      </c>
      <c r="C18" s="47" t="s">
        <v>1052</v>
      </c>
      <c r="D18" s="48" t="s">
        <v>1009</v>
      </c>
      <c r="E18" s="48" t="s">
        <v>1010</v>
      </c>
      <c r="F18" s="48" t="s">
        <v>1053</v>
      </c>
      <c r="G18" s="48" t="s">
        <v>1054</v>
      </c>
      <c r="H18" s="47" t="s">
        <v>1055</v>
      </c>
      <c r="I18" s="47" t="s">
        <v>1056</v>
      </c>
      <c r="J18" s="47" t="s">
        <v>29</v>
      </c>
    </row>
    <row r="19" ht="54" customHeight="1" spans="1:10">
      <c r="A19" s="48" t="s">
        <v>27</v>
      </c>
      <c r="B19" s="48" t="s">
        <v>1057</v>
      </c>
      <c r="C19" s="47" t="s">
        <v>1058</v>
      </c>
      <c r="D19" s="48" t="s">
        <v>1059</v>
      </c>
      <c r="E19" s="48" t="s">
        <v>1060</v>
      </c>
      <c r="F19" s="48" t="s">
        <v>1061</v>
      </c>
      <c r="G19" s="48" t="s">
        <v>1062</v>
      </c>
      <c r="H19" s="47" t="s">
        <v>1063</v>
      </c>
      <c r="I19" s="47" t="s">
        <v>1064</v>
      </c>
      <c r="J19" s="47" t="s">
        <v>29</v>
      </c>
    </row>
    <row r="20" ht="54" customHeight="1" spans="1:10">
      <c r="A20" s="48" t="s">
        <v>27</v>
      </c>
      <c r="B20" s="48" t="s">
        <v>1065</v>
      </c>
      <c r="C20" s="47" t="s">
        <v>1066</v>
      </c>
      <c r="D20" s="48" t="s">
        <v>935</v>
      </c>
      <c r="E20" s="48" t="s">
        <v>936</v>
      </c>
      <c r="F20" s="48" t="s">
        <v>1067</v>
      </c>
      <c r="G20" s="48" t="s">
        <v>1068</v>
      </c>
      <c r="H20" s="47" t="s">
        <v>1069</v>
      </c>
      <c r="I20" s="47" t="s">
        <v>940</v>
      </c>
      <c r="J20" s="47" t="s">
        <v>29</v>
      </c>
    </row>
    <row r="21" ht="54" customHeight="1" spans="1:10">
      <c r="A21" s="48" t="s">
        <v>30</v>
      </c>
      <c r="B21" s="48" t="s">
        <v>1070</v>
      </c>
      <c r="C21" s="47" t="s">
        <v>934</v>
      </c>
      <c r="D21" s="48" t="s">
        <v>935</v>
      </c>
      <c r="E21" s="48" t="s">
        <v>936</v>
      </c>
      <c r="F21" s="48" t="s">
        <v>937</v>
      </c>
      <c r="G21" s="48" t="s">
        <v>938</v>
      </c>
      <c r="H21" s="47" t="s">
        <v>939</v>
      </c>
      <c r="I21" s="47" t="s">
        <v>940</v>
      </c>
      <c r="J21" s="47" t="s">
        <v>26</v>
      </c>
    </row>
    <row r="22" ht="54" customHeight="1" spans="1:10">
      <c r="A22" s="48" t="s">
        <v>30</v>
      </c>
      <c r="B22" s="48" t="s">
        <v>1071</v>
      </c>
      <c r="C22" s="47" t="s">
        <v>1072</v>
      </c>
      <c r="D22" s="48" t="s">
        <v>1073</v>
      </c>
      <c r="E22" s="48" t="s">
        <v>1074</v>
      </c>
      <c r="F22" s="48" t="s">
        <v>1075</v>
      </c>
      <c r="G22" s="48" t="s">
        <v>1076</v>
      </c>
      <c r="H22" s="47" t="s">
        <v>1077</v>
      </c>
      <c r="I22" s="47" t="s">
        <v>1078</v>
      </c>
      <c r="J22" s="47" t="s">
        <v>26</v>
      </c>
    </row>
    <row r="23" ht="54" customHeight="1" spans="1:10">
      <c r="A23" s="48" t="s">
        <v>30</v>
      </c>
      <c r="B23" s="48" t="s">
        <v>1079</v>
      </c>
      <c r="C23" s="47" t="s">
        <v>1016</v>
      </c>
      <c r="D23" s="48" t="s">
        <v>935</v>
      </c>
      <c r="E23" s="48" t="s">
        <v>936</v>
      </c>
      <c r="F23" s="48" t="s">
        <v>1017</v>
      </c>
      <c r="G23" s="48" t="s">
        <v>1018</v>
      </c>
      <c r="H23" s="47" t="s">
        <v>1019</v>
      </c>
      <c r="I23" s="47" t="s">
        <v>1020</v>
      </c>
      <c r="J23" s="47" t="s">
        <v>26</v>
      </c>
    </row>
    <row r="24" ht="54" customHeight="1" spans="1:10">
      <c r="A24" s="48" t="s">
        <v>30</v>
      </c>
      <c r="B24" s="48" t="s">
        <v>1080</v>
      </c>
      <c r="C24" s="47" t="s">
        <v>1081</v>
      </c>
      <c r="D24" s="48" t="s">
        <v>1082</v>
      </c>
      <c r="E24" s="48" t="s">
        <v>1083</v>
      </c>
      <c r="F24" s="48" t="s">
        <v>1084</v>
      </c>
      <c r="G24" s="48" t="s">
        <v>1085</v>
      </c>
      <c r="H24" s="47" t="s">
        <v>1086</v>
      </c>
      <c r="I24" s="47" t="s">
        <v>1087</v>
      </c>
      <c r="J24" s="47" t="s">
        <v>26</v>
      </c>
    </row>
    <row r="25" ht="54" customHeight="1" spans="1:10">
      <c r="A25" s="48" t="s">
        <v>30</v>
      </c>
      <c r="B25" s="48" t="s">
        <v>1088</v>
      </c>
      <c r="C25" s="47" t="s">
        <v>1089</v>
      </c>
      <c r="D25" s="48" t="s">
        <v>957</v>
      </c>
      <c r="E25" s="48" t="s">
        <v>958</v>
      </c>
      <c r="F25" s="48" t="s">
        <v>1090</v>
      </c>
      <c r="G25" s="48" t="s">
        <v>1091</v>
      </c>
      <c r="H25" s="47" t="s">
        <v>1092</v>
      </c>
      <c r="I25" s="47" t="s">
        <v>1093</v>
      </c>
      <c r="J25" s="47" t="s">
        <v>26</v>
      </c>
    </row>
    <row r="26" ht="54" customHeight="1" spans="1:10">
      <c r="A26" s="48" t="s">
        <v>30</v>
      </c>
      <c r="B26" s="48" t="s">
        <v>1094</v>
      </c>
      <c r="C26" s="47" t="s">
        <v>950</v>
      </c>
      <c r="D26" s="48" t="s">
        <v>935</v>
      </c>
      <c r="E26" s="48" t="s">
        <v>936</v>
      </c>
      <c r="F26" s="48" t="s">
        <v>951</v>
      </c>
      <c r="G26" s="48" t="s">
        <v>952</v>
      </c>
      <c r="H26" s="47" t="s">
        <v>953</v>
      </c>
      <c r="I26" s="47" t="s">
        <v>954</v>
      </c>
      <c r="J26" s="47" t="s">
        <v>26</v>
      </c>
    </row>
    <row r="27" ht="54" customHeight="1" spans="1:10">
      <c r="A27" s="48" t="s">
        <v>30</v>
      </c>
      <c r="B27" s="48" t="s">
        <v>1095</v>
      </c>
      <c r="C27" s="47" t="s">
        <v>1058</v>
      </c>
      <c r="D27" s="48" t="s">
        <v>1059</v>
      </c>
      <c r="E27" s="48" t="s">
        <v>1060</v>
      </c>
      <c r="F27" s="48" t="s">
        <v>1061</v>
      </c>
      <c r="G27" s="48" t="s">
        <v>1062</v>
      </c>
      <c r="H27" s="47" t="s">
        <v>1063</v>
      </c>
      <c r="I27" s="47" t="s">
        <v>1064</v>
      </c>
      <c r="J27" s="47" t="s">
        <v>26</v>
      </c>
    </row>
    <row r="28" ht="54" customHeight="1" spans="1:10">
      <c r="A28" s="48" t="s">
        <v>30</v>
      </c>
      <c r="B28" s="48" t="s">
        <v>1096</v>
      </c>
      <c r="C28" s="47" t="s">
        <v>1097</v>
      </c>
      <c r="D28" s="48" t="s">
        <v>1098</v>
      </c>
      <c r="E28" s="48" t="s">
        <v>1099</v>
      </c>
      <c r="F28" s="48" t="s">
        <v>1100</v>
      </c>
      <c r="G28" s="48" t="s">
        <v>1101</v>
      </c>
      <c r="H28" s="47" t="s">
        <v>1102</v>
      </c>
      <c r="I28" s="47" t="s">
        <v>1103</v>
      </c>
      <c r="J28" s="47" t="s">
        <v>26</v>
      </c>
    </row>
    <row r="29" ht="54" customHeight="1" spans="1:10">
      <c r="A29" s="48" t="s">
        <v>33</v>
      </c>
      <c r="B29" s="48" t="s">
        <v>1104</v>
      </c>
      <c r="C29" s="47" t="s">
        <v>1105</v>
      </c>
      <c r="D29" s="48" t="s">
        <v>1009</v>
      </c>
      <c r="E29" s="48" t="s">
        <v>1010</v>
      </c>
      <c r="F29" s="48" t="s">
        <v>1106</v>
      </c>
      <c r="G29" s="48" t="s">
        <v>1107</v>
      </c>
      <c r="H29" s="47" t="s">
        <v>1108</v>
      </c>
      <c r="I29" s="47" t="s">
        <v>1109</v>
      </c>
      <c r="J29" s="47" t="s">
        <v>26</v>
      </c>
    </row>
    <row r="30" ht="54" customHeight="1" spans="1:10">
      <c r="A30" s="48" t="s">
        <v>33</v>
      </c>
      <c r="B30" s="48" t="s">
        <v>1110</v>
      </c>
      <c r="C30" s="47" t="s">
        <v>1111</v>
      </c>
      <c r="D30" s="48" t="s">
        <v>965</v>
      </c>
      <c r="E30" s="48" t="s">
        <v>966</v>
      </c>
      <c r="F30" s="48" t="s">
        <v>1112</v>
      </c>
      <c r="G30" s="48" t="s">
        <v>1113</v>
      </c>
      <c r="H30" s="47" t="s">
        <v>1114</v>
      </c>
      <c r="I30" s="47" t="s">
        <v>1115</v>
      </c>
      <c r="J30" s="47" t="s">
        <v>26</v>
      </c>
    </row>
    <row r="31" ht="54" customHeight="1" spans="1:10">
      <c r="A31" s="48" t="s">
        <v>33</v>
      </c>
      <c r="B31" s="48" t="s">
        <v>1116</v>
      </c>
      <c r="C31" s="47" t="s">
        <v>1117</v>
      </c>
      <c r="D31" s="48" t="s">
        <v>1118</v>
      </c>
      <c r="E31" s="48" t="s">
        <v>1119</v>
      </c>
      <c r="F31" s="48" t="s">
        <v>1120</v>
      </c>
      <c r="G31" s="48" t="s">
        <v>1121</v>
      </c>
      <c r="H31" s="47" t="s">
        <v>1122</v>
      </c>
      <c r="I31" s="47" t="s">
        <v>1123</v>
      </c>
      <c r="J31" s="47" t="s">
        <v>26</v>
      </c>
    </row>
    <row r="32" ht="54" customHeight="1" spans="1:10">
      <c r="A32" s="48" t="s">
        <v>33</v>
      </c>
      <c r="B32" s="48" t="s">
        <v>1124</v>
      </c>
      <c r="C32" s="47" t="s">
        <v>1125</v>
      </c>
      <c r="D32" s="48" t="s">
        <v>1059</v>
      </c>
      <c r="E32" s="48" t="s">
        <v>1060</v>
      </c>
      <c r="F32" s="48" t="s">
        <v>1126</v>
      </c>
      <c r="G32" s="48" t="s">
        <v>1127</v>
      </c>
      <c r="H32" s="47" t="s">
        <v>1128</v>
      </c>
      <c r="I32" s="47" t="s">
        <v>1129</v>
      </c>
      <c r="J32" s="47" t="s">
        <v>26</v>
      </c>
    </row>
    <row r="33" ht="54" customHeight="1" spans="1:10">
      <c r="A33" s="48" t="s">
        <v>33</v>
      </c>
      <c r="B33" s="48" t="s">
        <v>1130</v>
      </c>
      <c r="C33" s="47" t="s">
        <v>1131</v>
      </c>
      <c r="D33" s="48" t="s">
        <v>993</v>
      </c>
      <c r="E33" s="48" t="s">
        <v>994</v>
      </c>
      <c r="F33" s="48" t="s">
        <v>1132</v>
      </c>
      <c r="G33" s="48" t="s">
        <v>1133</v>
      </c>
      <c r="H33" s="47" t="s">
        <v>1134</v>
      </c>
      <c r="I33" s="47" t="s">
        <v>1135</v>
      </c>
      <c r="J33" s="47" t="s">
        <v>26</v>
      </c>
    </row>
    <row r="34" ht="54" customHeight="1" spans="1:10">
      <c r="A34" s="48" t="s">
        <v>33</v>
      </c>
      <c r="B34" s="48" t="s">
        <v>1136</v>
      </c>
      <c r="C34" s="47" t="s">
        <v>1137</v>
      </c>
      <c r="D34" s="48" t="s">
        <v>1138</v>
      </c>
      <c r="E34" s="48" t="s">
        <v>1139</v>
      </c>
      <c r="F34" s="48" t="s">
        <v>1140</v>
      </c>
      <c r="G34" s="48" t="s">
        <v>1141</v>
      </c>
      <c r="H34" s="47" t="s">
        <v>1142</v>
      </c>
      <c r="I34" s="47" t="s">
        <v>940</v>
      </c>
      <c r="J34" s="47" t="s">
        <v>26</v>
      </c>
    </row>
    <row r="35" ht="54" customHeight="1" spans="1:10">
      <c r="A35" s="48" t="s">
        <v>33</v>
      </c>
      <c r="B35" s="48" t="s">
        <v>1143</v>
      </c>
      <c r="C35" s="47" t="s">
        <v>971</v>
      </c>
      <c r="D35" s="48" t="s">
        <v>965</v>
      </c>
      <c r="E35" s="48" t="s">
        <v>966</v>
      </c>
      <c r="F35" s="48" t="s">
        <v>972</v>
      </c>
      <c r="G35" s="48" t="s">
        <v>973</v>
      </c>
      <c r="H35" s="47" t="s">
        <v>974</v>
      </c>
      <c r="I35" s="47" t="s">
        <v>975</v>
      </c>
      <c r="J35" s="47" t="s">
        <v>26</v>
      </c>
    </row>
    <row r="36" ht="54" customHeight="1" spans="1:10">
      <c r="A36" s="48" t="s">
        <v>33</v>
      </c>
      <c r="B36" s="48" t="s">
        <v>1144</v>
      </c>
      <c r="C36" s="47" t="s">
        <v>1145</v>
      </c>
      <c r="D36" s="48" t="s">
        <v>1146</v>
      </c>
      <c r="E36" s="48" t="s">
        <v>1147</v>
      </c>
      <c r="F36" s="48" t="s">
        <v>1148</v>
      </c>
      <c r="G36" s="48" t="s">
        <v>1149</v>
      </c>
      <c r="H36" s="47" t="s">
        <v>1150</v>
      </c>
      <c r="I36" s="47" t="s">
        <v>1151</v>
      </c>
      <c r="J36" s="47" t="s">
        <v>26</v>
      </c>
    </row>
    <row r="37" ht="54" customHeight="1" spans="1:10">
      <c r="A37" s="48" t="s">
        <v>35</v>
      </c>
      <c r="B37" s="48" t="s">
        <v>1152</v>
      </c>
      <c r="C37" s="47" t="s">
        <v>1153</v>
      </c>
      <c r="D37" s="48" t="s">
        <v>943</v>
      </c>
      <c r="E37" s="48" t="s">
        <v>944</v>
      </c>
      <c r="F37" s="48" t="s">
        <v>1154</v>
      </c>
      <c r="G37" s="48" t="s">
        <v>1155</v>
      </c>
      <c r="H37" s="47" t="s">
        <v>1156</v>
      </c>
      <c r="I37" s="47" t="s">
        <v>1157</v>
      </c>
      <c r="J37" s="47" t="s">
        <v>26</v>
      </c>
    </row>
    <row r="38" ht="54" customHeight="1" spans="1:10">
      <c r="A38" s="48" t="s">
        <v>35</v>
      </c>
      <c r="B38" s="48" t="s">
        <v>1158</v>
      </c>
      <c r="C38" s="47" t="s">
        <v>1159</v>
      </c>
      <c r="D38" s="48" t="s">
        <v>1146</v>
      </c>
      <c r="E38" s="48" t="s">
        <v>1147</v>
      </c>
      <c r="F38" s="48" t="s">
        <v>1160</v>
      </c>
      <c r="G38" s="48" t="s">
        <v>1161</v>
      </c>
      <c r="H38" s="47" t="s">
        <v>1162</v>
      </c>
      <c r="I38" s="47" t="s">
        <v>1151</v>
      </c>
      <c r="J38" s="47" t="s">
        <v>26</v>
      </c>
    </row>
    <row r="39" ht="54" customHeight="1" spans="1:10">
      <c r="A39" s="48" t="s">
        <v>35</v>
      </c>
      <c r="B39" s="48" t="s">
        <v>1163</v>
      </c>
      <c r="C39" s="47" t="s">
        <v>1164</v>
      </c>
      <c r="D39" s="48" t="s">
        <v>978</v>
      </c>
      <c r="E39" s="48" t="s">
        <v>979</v>
      </c>
      <c r="F39" s="48" t="s">
        <v>1165</v>
      </c>
      <c r="G39" s="48" t="s">
        <v>1166</v>
      </c>
      <c r="H39" s="47" t="s">
        <v>1167</v>
      </c>
      <c r="I39" s="47" t="s">
        <v>1168</v>
      </c>
      <c r="J39" s="47" t="s">
        <v>26</v>
      </c>
    </row>
    <row r="40" ht="54" customHeight="1" spans="1:10">
      <c r="A40" s="48" t="s">
        <v>35</v>
      </c>
      <c r="B40" s="48" t="s">
        <v>1169</v>
      </c>
      <c r="C40" s="47" t="s">
        <v>1170</v>
      </c>
      <c r="D40" s="48" t="s">
        <v>1171</v>
      </c>
      <c r="E40" s="48" t="s">
        <v>1172</v>
      </c>
      <c r="F40" s="48" t="s">
        <v>1173</v>
      </c>
      <c r="G40" s="48" t="s">
        <v>1174</v>
      </c>
      <c r="H40" s="47" t="s">
        <v>1175</v>
      </c>
      <c r="I40" s="47" t="s">
        <v>1176</v>
      </c>
      <c r="J40" s="47" t="s">
        <v>26</v>
      </c>
    </row>
    <row r="41" ht="54" customHeight="1" spans="1:10">
      <c r="A41" s="48" t="s">
        <v>37</v>
      </c>
      <c r="B41" s="48" t="s">
        <v>1177</v>
      </c>
      <c r="C41" s="47" t="s">
        <v>1153</v>
      </c>
      <c r="D41" s="48" t="s">
        <v>943</v>
      </c>
      <c r="E41" s="48" t="s">
        <v>944</v>
      </c>
      <c r="F41" s="48" t="s">
        <v>1154</v>
      </c>
      <c r="G41" s="48" t="s">
        <v>1155</v>
      </c>
      <c r="H41" s="47" t="s">
        <v>1156</v>
      </c>
      <c r="I41" s="47" t="s">
        <v>1157</v>
      </c>
      <c r="J41" s="47" t="s">
        <v>39</v>
      </c>
    </row>
    <row r="42" ht="54" customHeight="1" spans="1:10">
      <c r="A42" s="48" t="s">
        <v>37</v>
      </c>
      <c r="B42" s="48" t="s">
        <v>1178</v>
      </c>
      <c r="C42" s="47" t="s">
        <v>1072</v>
      </c>
      <c r="D42" s="48" t="s">
        <v>1073</v>
      </c>
      <c r="E42" s="48" t="s">
        <v>1074</v>
      </c>
      <c r="F42" s="48" t="s">
        <v>1075</v>
      </c>
      <c r="G42" s="48" t="s">
        <v>1076</v>
      </c>
      <c r="H42" s="47" t="s">
        <v>1077</v>
      </c>
      <c r="I42" s="47" t="s">
        <v>1078</v>
      </c>
      <c r="J42" s="47" t="s">
        <v>39</v>
      </c>
    </row>
    <row r="43" ht="54" customHeight="1" spans="1:10">
      <c r="A43" s="48" t="s">
        <v>37</v>
      </c>
      <c r="B43" s="48" t="s">
        <v>1179</v>
      </c>
      <c r="C43" s="47" t="s">
        <v>1016</v>
      </c>
      <c r="D43" s="48" t="s">
        <v>935</v>
      </c>
      <c r="E43" s="48" t="s">
        <v>936</v>
      </c>
      <c r="F43" s="48" t="s">
        <v>1017</v>
      </c>
      <c r="G43" s="48" t="s">
        <v>1018</v>
      </c>
      <c r="H43" s="47" t="s">
        <v>1019</v>
      </c>
      <c r="I43" s="47" t="s">
        <v>1020</v>
      </c>
      <c r="J43" s="47" t="s">
        <v>39</v>
      </c>
    </row>
    <row r="44" ht="54" customHeight="1" spans="1:10">
      <c r="A44" s="48" t="s">
        <v>37</v>
      </c>
      <c r="B44" s="48" t="s">
        <v>1180</v>
      </c>
      <c r="C44" s="47" t="s">
        <v>1036</v>
      </c>
      <c r="D44" s="48" t="s">
        <v>1037</v>
      </c>
      <c r="E44" s="48" t="s">
        <v>1038</v>
      </c>
      <c r="F44" s="48" t="s">
        <v>1039</v>
      </c>
      <c r="G44" s="48" t="s">
        <v>1040</v>
      </c>
      <c r="H44" s="47" t="s">
        <v>1041</v>
      </c>
      <c r="I44" s="47" t="s">
        <v>1042</v>
      </c>
      <c r="J44" s="47" t="s">
        <v>39</v>
      </c>
    </row>
    <row r="45" ht="54" customHeight="1" spans="1:10">
      <c r="A45" s="48" t="s">
        <v>37</v>
      </c>
      <c r="B45" s="48" t="s">
        <v>1181</v>
      </c>
      <c r="C45" s="47" t="s">
        <v>1044</v>
      </c>
      <c r="D45" s="48" t="s">
        <v>1045</v>
      </c>
      <c r="E45" s="48" t="s">
        <v>1046</v>
      </c>
      <c r="F45" s="48" t="s">
        <v>1047</v>
      </c>
      <c r="G45" s="48" t="s">
        <v>1048</v>
      </c>
      <c r="H45" s="47" t="s">
        <v>1049</v>
      </c>
      <c r="I45" s="47" t="s">
        <v>1050</v>
      </c>
      <c r="J45" s="47" t="s">
        <v>39</v>
      </c>
    </row>
    <row r="46" ht="54" customHeight="1" spans="1:10">
      <c r="A46" s="48" t="s">
        <v>37</v>
      </c>
      <c r="B46" s="48" t="s">
        <v>1182</v>
      </c>
      <c r="C46" s="47" t="s">
        <v>1183</v>
      </c>
      <c r="D46" s="48" t="s">
        <v>1184</v>
      </c>
      <c r="E46" s="48" t="s">
        <v>1185</v>
      </c>
      <c r="F46" s="48" t="s">
        <v>1186</v>
      </c>
      <c r="G46" s="48" t="s">
        <v>1187</v>
      </c>
      <c r="H46" s="47" t="s">
        <v>1188</v>
      </c>
      <c r="I46" s="47" t="s">
        <v>1189</v>
      </c>
      <c r="J46" s="47" t="s">
        <v>39</v>
      </c>
    </row>
    <row r="47" ht="54" customHeight="1" spans="1:10">
      <c r="A47" s="48" t="s">
        <v>37</v>
      </c>
      <c r="B47" s="48" t="s">
        <v>1190</v>
      </c>
      <c r="C47" s="47" t="s">
        <v>1097</v>
      </c>
      <c r="D47" s="48" t="s">
        <v>1098</v>
      </c>
      <c r="E47" s="48" t="s">
        <v>1099</v>
      </c>
      <c r="F47" s="48" t="s">
        <v>1100</v>
      </c>
      <c r="G47" s="48" t="s">
        <v>1101</v>
      </c>
      <c r="H47" s="47" t="s">
        <v>1102</v>
      </c>
      <c r="I47" s="47" t="s">
        <v>1103</v>
      </c>
      <c r="J47" s="47" t="s">
        <v>39</v>
      </c>
    </row>
    <row r="48" ht="54" customHeight="1" spans="1:10">
      <c r="A48" s="48" t="s">
        <v>37</v>
      </c>
      <c r="B48" s="48" t="s">
        <v>1191</v>
      </c>
      <c r="C48" s="47" t="s">
        <v>1111</v>
      </c>
      <c r="D48" s="48" t="s">
        <v>965</v>
      </c>
      <c r="E48" s="48" t="s">
        <v>966</v>
      </c>
      <c r="F48" s="48" t="s">
        <v>1112</v>
      </c>
      <c r="G48" s="48" t="s">
        <v>1113</v>
      </c>
      <c r="H48" s="47" t="s">
        <v>1114</v>
      </c>
      <c r="I48" s="47" t="s">
        <v>1115</v>
      </c>
      <c r="J48" s="47" t="s">
        <v>39</v>
      </c>
    </row>
    <row r="49" ht="54" customHeight="1" spans="1:10">
      <c r="A49" s="48" t="s">
        <v>37</v>
      </c>
      <c r="B49" s="48" t="s">
        <v>1192</v>
      </c>
      <c r="C49" s="47" t="s">
        <v>1137</v>
      </c>
      <c r="D49" s="48" t="s">
        <v>1138</v>
      </c>
      <c r="E49" s="48" t="s">
        <v>1139</v>
      </c>
      <c r="F49" s="48" t="s">
        <v>1140</v>
      </c>
      <c r="G49" s="48" t="s">
        <v>1141</v>
      </c>
      <c r="H49" s="47" t="s">
        <v>1142</v>
      </c>
      <c r="I49" s="47" t="s">
        <v>940</v>
      </c>
      <c r="J49" s="47" t="s">
        <v>39</v>
      </c>
    </row>
    <row r="50" ht="54" customHeight="1" spans="1:10">
      <c r="A50" s="48" t="s">
        <v>37</v>
      </c>
      <c r="B50" s="48" t="s">
        <v>1193</v>
      </c>
      <c r="C50" s="47" t="s">
        <v>1145</v>
      </c>
      <c r="D50" s="48" t="s">
        <v>1146</v>
      </c>
      <c r="E50" s="48" t="s">
        <v>1147</v>
      </c>
      <c r="F50" s="48" t="s">
        <v>1148</v>
      </c>
      <c r="G50" s="48" t="s">
        <v>1149</v>
      </c>
      <c r="H50" s="47" t="s">
        <v>1150</v>
      </c>
      <c r="I50" s="47" t="s">
        <v>1151</v>
      </c>
      <c r="J50" s="47" t="s">
        <v>39</v>
      </c>
    </row>
    <row r="51" ht="54" customHeight="1" spans="1:10">
      <c r="A51" s="48" t="s">
        <v>37</v>
      </c>
      <c r="B51" s="48" t="s">
        <v>1194</v>
      </c>
      <c r="C51" s="47" t="s">
        <v>1170</v>
      </c>
      <c r="D51" s="48" t="s">
        <v>1171</v>
      </c>
      <c r="E51" s="48" t="s">
        <v>1172</v>
      </c>
      <c r="F51" s="48" t="s">
        <v>1173</v>
      </c>
      <c r="G51" s="48" t="s">
        <v>1174</v>
      </c>
      <c r="H51" s="47" t="s">
        <v>1175</v>
      </c>
      <c r="I51" s="47" t="s">
        <v>1176</v>
      </c>
      <c r="J51" s="47" t="s">
        <v>39</v>
      </c>
    </row>
    <row r="52" ht="54" customHeight="1" spans="1:10">
      <c r="A52" s="48" t="s">
        <v>37</v>
      </c>
      <c r="B52" s="48" t="s">
        <v>1195</v>
      </c>
      <c r="C52" s="47" t="s">
        <v>1196</v>
      </c>
      <c r="D52" s="48" t="s">
        <v>1118</v>
      </c>
      <c r="E52" s="48" t="s">
        <v>1119</v>
      </c>
      <c r="F52" s="48" t="s">
        <v>1197</v>
      </c>
      <c r="G52" s="48" t="s">
        <v>1198</v>
      </c>
      <c r="H52" s="47" t="s">
        <v>1199</v>
      </c>
      <c r="I52" s="47" t="s">
        <v>1200</v>
      </c>
      <c r="J52" s="47" t="s">
        <v>39</v>
      </c>
    </row>
    <row r="53" ht="54" customHeight="1" spans="1:10">
      <c r="A53" s="48" t="s">
        <v>40</v>
      </c>
      <c r="B53" s="48" t="s">
        <v>1201</v>
      </c>
      <c r="C53" s="47" t="s">
        <v>1022</v>
      </c>
      <c r="D53" s="48" t="s">
        <v>957</v>
      </c>
      <c r="E53" s="48" t="s">
        <v>958</v>
      </c>
      <c r="F53" s="48" t="s">
        <v>1023</v>
      </c>
      <c r="G53" s="48" t="s">
        <v>1024</v>
      </c>
      <c r="H53" s="47" t="s">
        <v>1025</v>
      </c>
      <c r="I53" s="47" t="s">
        <v>1026</v>
      </c>
      <c r="J53" s="47" t="s">
        <v>26</v>
      </c>
    </row>
    <row r="54" ht="54" customHeight="1" spans="1:10">
      <c r="A54" s="48" t="s">
        <v>40</v>
      </c>
      <c r="B54" s="48" t="s">
        <v>1202</v>
      </c>
      <c r="C54" s="47" t="s">
        <v>1097</v>
      </c>
      <c r="D54" s="48" t="s">
        <v>1098</v>
      </c>
      <c r="E54" s="48" t="s">
        <v>1099</v>
      </c>
      <c r="F54" s="48" t="s">
        <v>1100</v>
      </c>
      <c r="G54" s="48" t="s">
        <v>1101</v>
      </c>
      <c r="H54" s="47" t="s">
        <v>1102</v>
      </c>
      <c r="I54" s="47" t="s">
        <v>1103</v>
      </c>
      <c r="J54" s="47" t="s">
        <v>26</v>
      </c>
    </row>
    <row r="55" ht="54" customHeight="1" spans="1:10">
      <c r="A55" s="48" t="s">
        <v>40</v>
      </c>
      <c r="B55" s="48" t="s">
        <v>1203</v>
      </c>
      <c r="C55" s="47" t="s">
        <v>971</v>
      </c>
      <c r="D55" s="48" t="s">
        <v>965</v>
      </c>
      <c r="E55" s="48" t="s">
        <v>966</v>
      </c>
      <c r="F55" s="48" t="s">
        <v>972</v>
      </c>
      <c r="G55" s="48" t="s">
        <v>973</v>
      </c>
      <c r="H55" s="47" t="s">
        <v>974</v>
      </c>
      <c r="I55" s="47" t="s">
        <v>975</v>
      </c>
      <c r="J55" s="47" t="s">
        <v>26</v>
      </c>
    </row>
    <row r="56" ht="54" customHeight="1" spans="1:10">
      <c r="A56" s="48" t="s">
        <v>40</v>
      </c>
      <c r="B56" s="48" t="s">
        <v>1204</v>
      </c>
      <c r="C56" s="47" t="s">
        <v>1205</v>
      </c>
      <c r="D56" s="48" t="s">
        <v>978</v>
      </c>
      <c r="E56" s="48" t="s">
        <v>979</v>
      </c>
      <c r="F56" s="48" t="s">
        <v>1206</v>
      </c>
      <c r="G56" s="48" t="s">
        <v>1207</v>
      </c>
      <c r="H56" s="47" t="s">
        <v>1208</v>
      </c>
      <c r="I56" s="47" t="s">
        <v>1209</v>
      </c>
      <c r="J56" s="47" t="s">
        <v>26</v>
      </c>
    </row>
    <row r="57" ht="54" customHeight="1" spans="1:10">
      <c r="A57" s="48" t="s">
        <v>40</v>
      </c>
      <c r="B57" s="48" t="s">
        <v>1210</v>
      </c>
      <c r="C57" s="47" t="s">
        <v>1211</v>
      </c>
      <c r="D57" s="48" t="s">
        <v>965</v>
      </c>
      <c r="E57" s="48" t="s">
        <v>966</v>
      </c>
      <c r="F57" s="48" t="s">
        <v>1212</v>
      </c>
      <c r="G57" s="48" t="s">
        <v>1213</v>
      </c>
      <c r="H57" s="47" t="s">
        <v>1214</v>
      </c>
      <c r="I57" s="47" t="s">
        <v>940</v>
      </c>
      <c r="J57" s="47" t="s">
        <v>26</v>
      </c>
    </row>
    <row r="58" ht="54" customHeight="1" spans="1:10">
      <c r="A58" s="48" t="s">
        <v>40</v>
      </c>
      <c r="B58" s="48" t="s">
        <v>1215</v>
      </c>
      <c r="C58" s="47" t="s">
        <v>1216</v>
      </c>
      <c r="D58" s="48" t="s">
        <v>993</v>
      </c>
      <c r="E58" s="48" t="s">
        <v>994</v>
      </c>
      <c r="F58" s="48" t="s">
        <v>1217</v>
      </c>
      <c r="G58" s="48" t="s">
        <v>1218</v>
      </c>
      <c r="H58" s="47" t="s">
        <v>1219</v>
      </c>
      <c r="I58" s="47" t="s">
        <v>1220</v>
      </c>
      <c r="J58" s="47" t="s">
        <v>26</v>
      </c>
    </row>
    <row r="59" ht="54" customHeight="1" spans="1:10">
      <c r="A59" s="48" t="s">
        <v>40</v>
      </c>
      <c r="B59" s="48" t="s">
        <v>1221</v>
      </c>
      <c r="C59" s="47" t="s">
        <v>1145</v>
      </c>
      <c r="D59" s="48" t="s">
        <v>1146</v>
      </c>
      <c r="E59" s="48" t="s">
        <v>1147</v>
      </c>
      <c r="F59" s="48" t="s">
        <v>1148</v>
      </c>
      <c r="G59" s="48" t="s">
        <v>1149</v>
      </c>
      <c r="H59" s="47" t="s">
        <v>1150</v>
      </c>
      <c r="I59" s="47" t="s">
        <v>1151</v>
      </c>
      <c r="J59" s="47" t="s">
        <v>26</v>
      </c>
    </row>
    <row r="60" ht="54" customHeight="1" spans="1:10">
      <c r="A60" s="48" t="s">
        <v>40</v>
      </c>
      <c r="B60" s="48" t="s">
        <v>1222</v>
      </c>
      <c r="C60" s="47" t="s">
        <v>1196</v>
      </c>
      <c r="D60" s="48" t="s">
        <v>1118</v>
      </c>
      <c r="E60" s="48" t="s">
        <v>1119</v>
      </c>
      <c r="F60" s="48" t="s">
        <v>1197</v>
      </c>
      <c r="G60" s="48" t="s">
        <v>1198</v>
      </c>
      <c r="H60" s="47" t="s">
        <v>1199</v>
      </c>
      <c r="I60" s="47" t="s">
        <v>1200</v>
      </c>
      <c r="J60" s="47" t="s">
        <v>26</v>
      </c>
    </row>
    <row r="61" ht="54" customHeight="1" spans="1:10">
      <c r="A61" s="48" t="s">
        <v>42</v>
      </c>
      <c r="B61" s="48" t="s">
        <v>1223</v>
      </c>
      <c r="C61" s="47" t="s">
        <v>1081</v>
      </c>
      <c r="D61" s="48" t="s">
        <v>1082</v>
      </c>
      <c r="E61" s="48" t="s">
        <v>1083</v>
      </c>
      <c r="F61" s="48" t="s">
        <v>1084</v>
      </c>
      <c r="G61" s="48" t="s">
        <v>1085</v>
      </c>
      <c r="H61" s="47" t="s">
        <v>1086</v>
      </c>
      <c r="I61" s="47" t="s">
        <v>1087</v>
      </c>
      <c r="J61" s="47" t="s">
        <v>26</v>
      </c>
    </row>
    <row r="62" ht="54" customHeight="1" spans="1:10">
      <c r="A62" s="48" t="s">
        <v>42</v>
      </c>
      <c r="B62" s="48" t="s">
        <v>1224</v>
      </c>
      <c r="C62" s="47" t="s">
        <v>1097</v>
      </c>
      <c r="D62" s="48" t="s">
        <v>1098</v>
      </c>
      <c r="E62" s="48" t="s">
        <v>1099</v>
      </c>
      <c r="F62" s="48" t="s">
        <v>1100</v>
      </c>
      <c r="G62" s="48" t="s">
        <v>1101</v>
      </c>
      <c r="H62" s="47" t="s">
        <v>1102</v>
      </c>
      <c r="I62" s="47" t="s">
        <v>1103</v>
      </c>
      <c r="J62" s="47" t="s">
        <v>26</v>
      </c>
    </row>
    <row r="63" ht="54" customHeight="1" spans="1:10">
      <c r="A63" s="48" t="s">
        <v>42</v>
      </c>
      <c r="B63" s="48" t="s">
        <v>1225</v>
      </c>
      <c r="C63" s="47" t="s">
        <v>1226</v>
      </c>
      <c r="D63" s="48" t="s">
        <v>965</v>
      </c>
      <c r="E63" s="48" t="s">
        <v>966</v>
      </c>
      <c r="F63" s="48" t="s">
        <v>1227</v>
      </c>
      <c r="G63" s="48" t="s">
        <v>1228</v>
      </c>
      <c r="H63" s="47" t="s">
        <v>1229</v>
      </c>
      <c r="I63" s="47" t="s">
        <v>940</v>
      </c>
      <c r="J63" s="47" t="s">
        <v>26</v>
      </c>
    </row>
    <row r="64" ht="54" customHeight="1" spans="1:10">
      <c r="A64" s="48" t="s">
        <v>42</v>
      </c>
      <c r="B64" s="48" t="s">
        <v>1230</v>
      </c>
      <c r="C64" s="47" t="s">
        <v>1137</v>
      </c>
      <c r="D64" s="48" t="s">
        <v>1138</v>
      </c>
      <c r="E64" s="48" t="s">
        <v>1139</v>
      </c>
      <c r="F64" s="48" t="s">
        <v>1140</v>
      </c>
      <c r="G64" s="48" t="s">
        <v>1141</v>
      </c>
      <c r="H64" s="47" t="s">
        <v>1142</v>
      </c>
      <c r="I64" s="47" t="s">
        <v>940</v>
      </c>
      <c r="J64" s="47" t="s">
        <v>26</v>
      </c>
    </row>
    <row r="65" ht="54" customHeight="1" spans="1:10">
      <c r="A65" s="48" t="s">
        <v>42</v>
      </c>
      <c r="B65" s="48" t="s">
        <v>1231</v>
      </c>
      <c r="C65" s="47" t="s">
        <v>971</v>
      </c>
      <c r="D65" s="48" t="s">
        <v>965</v>
      </c>
      <c r="E65" s="48" t="s">
        <v>966</v>
      </c>
      <c r="F65" s="48" t="s">
        <v>972</v>
      </c>
      <c r="G65" s="48" t="s">
        <v>973</v>
      </c>
      <c r="H65" s="47" t="s">
        <v>974</v>
      </c>
      <c r="I65" s="47" t="s">
        <v>975</v>
      </c>
      <c r="J65" s="47" t="s">
        <v>26</v>
      </c>
    </row>
    <row r="66" ht="54" customHeight="1" spans="1:10">
      <c r="A66" s="48" t="s">
        <v>42</v>
      </c>
      <c r="B66" s="48" t="s">
        <v>1232</v>
      </c>
      <c r="C66" s="47" t="s">
        <v>1205</v>
      </c>
      <c r="D66" s="48" t="s">
        <v>978</v>
      </c>
      <c r="E66" s="48" t="s">
        <v>979</v>
      </c>
      <c r="F66" s="48" t="s">
        <v>1206</v>
      </c>
      <c r="G66" s="48" t="s">
        <v>1207</v>
      </c>
      <c r="H66" s="47" t="s">
        <v>1208</v>
      </c>
      <c r="I66" s="47" t="s">
        <v>1209</v>
      </c>
      <c r="J66" s="47" t="s">
        <v>26</v>
      </c>
    </row>
    <row r="67" ht="54" customHeight="1" spans="1:10">
      <c r="A67" s="48" t="s">
        <v>42</v>
      </c>
      <c r="B67" s="48" t="s">
        <v>1233</v>
      </c>
      <c r="C67" s="47" t="s">
        <v>1211</v>
      </c>
      <c r="D67" s="48" t="s">
        <v>965</v>
      </c>
      <c r="E67" s="48" t="s">
        <v>966</v>
      </c>
      <c r="F67" s="48" t="s">
        <v>1212</v>
      </c>
      <c r="G67" s="48" t="s">
        <v>1213</v>
      </c>
      <c r="H67" s="47" t="s">
        <v>1214</v>
      </c>
      <c r="I67" s="47" t="s">
        <v>940</v>
      </c>
      <c r="J67" s="47" t="s">
        <v>26</v>
      </c>
    </row>
    <row r="68" ht="54" customHeight="1" spans="1:10">
      <c r="A68" s="48" t="s">
        <v>42</v>
      </c>
      <c r="B68" s="48" t="s">
        <v>1234</v>
      </c>
      <c r="C68" s="47" t="s">
        <v>1235</v>
      </c>
      <c r="D68" s="48" t="s">
        <v>1118</v>
      </c>
      <c r="E68" s="48" t="s">
        <v>1119</v>
      </c>
      <c r="F68" s="48" t="s">
        <v>1236</v>
      </c>
      <c r="G68" s="48" t="s">
        <v>1237</v>
      </c>
      <c r="H68" s="47" t="s">
        <v>1238</v>
      </c>
      <c r="I68" s="47" t="s">
        <v>1239</v>
      </c>
      <c r="J68" s="47" t="s">
        <v>26</v>
      </c>
    </row>
    <row r="69" ht="54" customHeight="1" spans="1:10">
      <c r="A69" s="48" t="s">
        <v>44</v>
      </c>
      <c r="B69" s="48" t="s">
        <v>1240</v>
      </c>
      <c r="C69" s="47" t="s">
        <v>934</v>
      </c>
      <c r="D69" s="48" t="s">
        <v>935</v>
      </c>
      <c r="E69" s="48" t="s">
        <v>936</v>
      </c>
      <c r="F69" s="48" t="s">
        <v>937</v>
      </c>
      <c r="G69" s="48" t="s">
        <v>938</v>
      </c>
      <c r="H69" s="47" t="s">
        <v>939</v>
      </c>
      <c r="I69" s="47" t="s">
        <v>940</v>
      </c>
      <c r="J69" s="47" t="s">
        <v>26</v>
      </c>
    </row>
    <row r="70" ht="54" customHeight="1" spans="1:10">
      <c r="A70" s="48" t="s">
        <v>44</v>
      </c>
      <c r="B70" s="48" t="s">
        <v>1241</v>
      </c>
      <c r="C70" s="47" t="s">
        <v>1016</v>
      </c>
      <c r="D70" s="48" t="s">
        <v>935</v>
      </c>
      <c r="E70" s="48" t="s">
        <v>936</v>
      </c>
      <c r="F70" s="48" t="s">
        <v>1017</v>
      </c>
      <c r="G70" s="48" t="s">
        <v>1018</v>
      </c>
      <c r="H70" s="47" t="s">
        <v>1019</v>
      </c>
      <c r="I70" s="47" t="s">
        <v>1020</v>
      </c>
      <c r="J70" s="47" t="s">
        <v>26</v>
      </c>
    </row>
    <row r="71" ht="54" customHeight="1" spans="1:10">
      <c r="A71" s="48" t="s">
        <v>44</v>
      </c>
      <c r="B71" s="48" t="s">
        <v>1242</v>
      </c>
      <c r="C71" s="47" t="s">
        <v>950</v>
      </c>
      <c r="D71" s="48" t="s">
        <v>935</v>
      </c>
      <c r="E71" s="48" t="s">
        <v>936</v>
      </c>
      <c r="F71" s="48" t="s">
        <v>951</v>
      </c>
      <c r="G71" s="48" t="s">
        <v>952</v>
      </c>
      <c r="H71" s="47" t="s">
        <v>953</v>
      </c>
      <c r="I71" s="47" t="s">
        <v>954</v>
      </c>
      <c r="J71" s="47" t="s">
        <v>26</v>
      </c>
    </row>
    <row r="72" ht="54" customHeight="1" spans="1:10">
      <c r="A72" s="48" t="s">
        <v>44</v>
      </c>
      <c r="B72" s="48" t="s">
        <v>1243</v>
      </c>
      <c r="C72" s="47" t="s">
        <v>1097</v>
      </c>
      <c r="D72" s="48" t="s">
        <v>1098</v>
      </c>
      <c r="E72" s="48" t="s">
        <v>1099</v>
      </c>
      <c r="F72" s="48" t="s">
        <v>1100</v>
      </c>
      <c r="G72" s="48" t="s">
        <v>1101</v>
      </c>
      <c r="H72" s="47" t="s">
        <v>1102</v>
      </c>
      <c r="I72" s="47" t="s">
        <v>1103</v>
      </c>
      <c r="J72" s="47" t="s">
        <v>26</v>
      </c>
    </row>
    <row r="73" ht="54" customHeight="1" spans="1:10">
      <c r="A73" s="48" t="s">
        <v>44</v>
      </c>
      <c r="B73" s="48" t="s">
        <v>1244</v>
      </c>
      <c r="C73" s="47" t="s">
        <v>1245</v>
      </c>
      <c r="D73" s="48" t="s">
        <v>1171</v>
      </c>
      <c r="E73" s="48" t="s">
        <v>1172</v>
      </c>
      <c r="F73" s="48" t="s">
        <v>1246</v>
      </c>
      <c r="G73" s="48" t="s">
        <v>1247</v>
      </c>
      <c r="H73" s="47" t="s">
        <v>1248</v>
      </c>
      <c r="I73" s="47" t="s">
        <v>1176</v>
      </c>
      <c r="J73" s="47" t="s">
        <v>26</v>
      </c>
    </row>
    <row r="74" ht="54" customHeight="1" spans="1:10">
      <c r="A74" s="48" t="s">
        <v>46</v>
      </c>
      <c r="B74" s="48" t="s">
        <v>1249</v>
      </c>
      <c r="C74" s="47" t="s">
        <v>1008</v>
      </c>
      <c r="D74" s="48" t="s">
        <v>1009</v>
      </c>
      <c r="E74" s="48" t="s">
        <v>1010</v>
      </c>
      <c r="F74" s="48" t="s">
        <v>1011</v>
      </c>
      <c r="G74" s="48" t="s">
        <v>1012</v>
      </c>
      <c r="H74" s="47" t="s">
        <v>1013</v>
      </c>
      <c r="I74" s="47" t="s">
        <v>1014</v>
      </c>
      <c r="J74" s="47" t="s">
        <v>26</v>
      </c>
    </row>
    <row r="75" ht="54" customHeight="1" spans="1:10">
      <c r="A75" s="48" t="s">
        <v>46</v>
      </c>
      <c r="B75" s="48" t="s">
        <v>1250</v>
      </c>
      <c r="C75" s="47" t="s">
        <v>1097</v>
      </c>
      <c r="D75" s="48" t="s">
        <v>1098</v>
      </c>
      <c r="E75" s="48" t="s">
        <v>1099</v>
      </c>
      <c r="F75" s="48" t="s">
        <v>1100</v>
      </c>
      <c r="G75" s="48" t="s">
        <v>1101</v>
      </c>
      <c r="H75" s="47" t="s">
        <v>1102</v>
      </c>
      <c r="I75" s="47" t="s">
        <v>1103</v>
      </c>
      <c r="J75" s="47" t="s">
        <v>26</v>
      </c>
    </row>
    <row r="76" ht="54" customHeight="1" spans="1:10">
      <c r="A76" s="48" t="s">
        <v>46</v>
      </c>
      <c r="B76" s="48" t="s">
        <v>1251</v>
      </c>
      <c r="C76" s="47" t="s">
        <v>1252</v>
      </c>
      <c r="D76" s="48" t="s">
        <v>1001</v>
      </c>
      <c r="E76" s="48" t="s">
        <v>1002</v>
      </c>
      <c r="F76" s="48" t="s">
        <v>1253</v>
      </c>
      <c r="G76" s="48" t="s">
        <v>1254</v>
      </c>
      <c r="H76" s="47" t="s">
        <v>1255</v>
      </c>
      <c r="I76" s="47" t="s">
        <v>1256</v>
      </c>
      <c r="J76" s="47" t="s">
        <v>26</v>
      </c>
    </row>
    <row r="77" ht="54" customHeight="1" spans="1:10">
      <c r="A77" s="48" t="s">
        <v>46</v>
      </c>
      <c r="B77" s="48" t="s">
        <v>1257</v>
      </c>
      <c r="C77" s="47" t="s">
        <v>1170</v>
      </c>
      <c r="D77" s="48" t="s">
        <v>1171</v>
      </c>
      <c r="E77" s="48" t="s">
        <v>1172</v>
      </c>
      <c r="F77" s="48" t="s">
        <v>1173</v>
      </c>
      <c r="G77" s="48" t="s">
        <v>1174</v>
      </c>
      <c r="H77" s="47" t="s">
        <v>1175</v>
      </c>
      <c r="I77" s="47" t="s">
        <v>1176</v>
      </c>
      <c r="J77" s="47" t="s">
        <v>26</v>
      </c>
    </row>
    <row r="78" ht="54" customHeight="1" spans="1:10">
      <c r="A78" s="48" t="s">
        <v>48</v>
      </c>
      <c r="B78" s="48" t="s">
        <v>1258</v>
      </c>
      <c r="C78" s="47" t="s">
        <v>934</v>
      </c>
      <c r="D78" s="48" t="s">
        <v>935</v>
      </c>
      <c r="E78" s="48" t="s">
        <v>936</v>
      </c>
      <c r="F78" s="48" t="s">
        <v>937</v>
      </c>
      <c r="G78" s="48" t="s">
        <v>938</v>
      </c>
      <c r="H78" s="47" t="s">
        <v>939</v>
      </c>
      <c r="I78" s="47" t="s">
        <v>940</v>
      </c>
      <c r="J78" s="47" t="s">
        <v>26</v>
      </c>
    </row>
    <row r="79" ht="54" customHeight="1" spans="1:10">
      <c r="A79" s="48" t="s">
        <v>48</v>
      </c>
      <c r="B79" s="48" t="s">
        <v>1259</v>
      </c>
      <c r="C79" s="47" t="s">
        <v>942</v>
      </c>
      <c r="D79" s="48" t="s">
        <v>943</v>
      </c>
      <c r="E79" s="48" t="s">
        <v>944</v>
      </c>
      <c r="F79" s="48" t="s">
        <v>945</v>
      </c>
      <c r="G79" s="48" t="s">
        <v>946</v>
      </c>
      <c r="H79" s="47" t="s">
        <v>947</v>
      </c>
      <c r="I79" s="47" t="s">
        <v>948</v>
      </c>
      <c r="J79" s="47" t="s">
        <v>26</v>
      </c>
    </row>
    <row r="80" ht="54" customHeight="1" spans="1:10">
      <c r="A80" s="48" t="s">
        <v>48</v>
      </c>
      <c r="B80" s="48" t="s">
        <v>1260</v>
      </c>
      <c r="C80" s="47" t="s">
        <v>1022</v>
      </c>
      <c r="D80" s="48" t="s">
        <v>957</v>
      </c>
      <c r="E80" s="48" t="s">
        <v>958</v>
      </c>
      <c r="F80" s="48" t="s">
        <v>1023</v>
      </c>
      <c r="G80" s="48" t="s">
        <v>1024</v>
      </c>
      <c r="H80" s="47" t="s">
        <v>1025</v>
      </c>
      <c r="I80" s="47" t="s">
        <v>1026</v>
      </c>
      <c r="J80" s="47" t="s">
        <v>26</v>
      </c>
    </row>
    <row r="81" ht="54" customHeight="1" spans="1:10">
      <c r="A81" s="48" t="s">
        <v>48</v>
      </c>
      <c r="B81" s="48" t="s">
        <v>1261</v>
      </c>
      <c r="C81" s="47" t="s">
        <v>1081</v>
      </c>
      <c r="D81" s="48" t="s">
        <v>1082</v>
      </c>
      <c r="E81" s="48" t="s">
        <v>1083</v>
      </c>
      <c r="F81" s="48" t="s">
        <v>1084</v>
      </c>
      <c r="G81" s="48" t="s">
        <v>1085</v>
      </c>
      <c r="H81" s="47" t="s">
        <v>1086</v>
      </c>
      <c r="I81" s="47" t="s">
        <v>1087</v>
      </c>
      <c r="J81" s="47" t="s">
        <v>26</v>
      </c>
    </row>
    <row r="82" ht="54" customHeight="1" spans="1:10">
      <c r="A82" s="48" t="s">
        <v>48</v>
      </c>
      <c r="B82" s="48" t="s">
        <v>1262</v>
      </c>
      <c r="C82" s="47" t="s">
        <v>950</v>
      </c>
      <c r="D82" s="48" t="s">
        <v>935</v>
      </c>
      <c r="E82" s="48" t="s">
        <v>936</v>
      </c>
      <c r="F82" s="48" t="s">
        <v>951</v>
      </c>
      <c r="G82" s="48" t="s">
        <v>952</v>
      </c>
      <c r="H82" s="47" t="s">
        <v>953</v>
      </c>
      <c r="I82" s="47" t="s">
        <v>954</v>
      </c>
      <c r="J82" s="47" t="s">
        <v>26</v>
      </c>
    </row>
    <row r="83" ht="54" customHeight="1" spans="1:10">
      <c r="A83" s="48" t="s">
        <v>48</v>
      </c>
      <c r="B83" s="48" t="s">
        <v>1263</v>
      </c>
      <c r="C83" s="47" t="s">
        <v>1052</v>
      </c>
      <c r="D83" s="48" t="s">
        <v>1009</v>
      </c>
      <c r="E83" s="48" t="s">
        <v>1010</v>
      </c>
      <c r="F83" s="48" t="s">
        <v>1053</v>
      </c>
      <c r="G83" s="48" t="s">
        <v>1054</v>
      </c>
      <c r="H83" s="47" t="s">
        <v>1055</v>
      </c>
      <c r="I83" s="47" t="s">
        <v>1056</v>
      </c>
      <c r="J83" s="47" t="s">
        <v>26</v>
      </c>
    </row>
    <row r="84" ht="54" customHeight="1" spans="1:10">
      <c r="A84" s="48" t="s">
        <v>48</v>
      </c>
      <c r="B84" s="48" t="s">
        <v>1264</v>
      </c>
      <c r="C84" s="47" t="s">
        <v>1058</v>
      </c>
      <c r="D84" s="48" t="s">
        <v>1059</v>
      </c>
      <c r="E84" s="48" t="s">
        <v>1060</v>
      </c>
      <c r="F84" s="48" t="s">
        <v>1061</v>
      </c>
      <c r="G84" s="48" t="s">
        <v>1062</v>
      </c>
      <c r="H84" s="47" t="s">
        <v>1063</v>
      </c>
      <c r="I84" s="47" t="s">
        <v>1064</v>
      </c>
      <c r="J84" s="47" t="s">
        <v>26</v>
      </c>
    </row>
    <row r="85" ht="54" customHeight="1" spans="1:10">
      <c r="A85" s="48" t="s">
        <v>48</v>
      </c>
      <c r="B85" s="48" t="s">
        <v>1265</v>
      </c>
      <c r="C85" s="47" t="s">
        <v>1097</v>
      </c>
      <c r="D85" s="48" t="s">
        <v>1098</v>
      </c>
      <c r="E85" s="48" t="s">
        <v>1099</v>
      </c>
      <c r="F85" s="48" t="s">
        <v>1100</v>
      </c>
      <c r="G85" s="48" t="s">
        <v>1101</v>
      </c>
      <c r="H85" s="47" t="s">
        <v>1102</v>
      </c>
      <c r="I85" s="47" t="s">
        <v>1103</v>
      </c>
      <c r="J85" s="47" t="s">
        <v>26</v>
      </c>
    </row>
    <row r="86" ht="54" customHeight="1" spans="1:10">
      <c r="A86" s="48" t="s">
        <v>50</v>
      </c>
      <c r="B86" s="48" t="s">
        <v>1266</v>
      </c>
      <c r="C86" s="47" t="s">
        <v>942</v>
      </c>
      <c r="D86" s="48" t="s">
        <v>943</v>
      </c>
      <c r="E86" s="48" t="s">
        <v>944</v>
      </c>
      <c r="F86" s="48" t="s">
        <v>945</v>
      </c>
      <c r="G86" s="48" t="s">
        <v>946</v>
      </c>
      <c r="H86" s="47" t="s">
        <v>947</v>
      </c>
      <c r="I86" s="47" t="s">
        <v>948</v>
      </c>
      <c r="J86" s="47" t="s">
        <v>39</v>
      </c>
    </row>
    <row r="87" ht="54" customHeight="1" spans="1:10">
      <c r="A87" s="48" t="s">
        <v>50</v>
      </c>
      <c r="B87" s="48" t="s">
        <v>1267</v>
      </c>
      <c r="C87" s="47" t="s">
        <v>1268</v>
      </c>
      <c r="D87" s="48" t="s">
        <v>957</v>
      </c>
      <c r="E87" s="48" t="s">
        <v>958</v>
      </c>
      <c r="F87" s="48" t="s">
        <v>1269</v>
      </c>
      <c r="G87" s="48" t="s">
        <v>1270</v>
      </c>
      <c r="H87" s="47" t="s">
        <v>1271</v>
      </c>
      <c r="I87" s="47" t="s">
        <v>1272</v>
      </c>
      <c r="J87" s="47" t="s">
        <v>39</v>
      </c>
    </row>
    <row r="88" ht="54" customHeight="1" spans="1:10">
      <c r="A88" s="48" t="s">
        <v>50</v>
      </c>
      <c r="B88" s="48" t="s">
        <v>1273</v>
      </c>
      <c r="C88" s="47" t="s">
        <v>1036</v>
      </c>
      <c r="D88" s="48" t="s">
        <v>1037</v>
      </c>
      <c r="E88" s="48" t="s">
        <v>1038</v>
      </c>
      <c r="F88" s="48" t="s">
        <v>1039</v>
      </c>
      <c r="G88" s="48" t="s">
        <v>1040</v>
      </c>
      <c r="H88" s="47" t="s">
        <v>1041</v>
      </c>
      <c r="I88" s="47" t="s">
        <v>1042</v>
      </c>
      <c r="J88" s="47" t="s">
        <v>39</v>
      </c>
    </row>
    <row r="89" ht="54" customHeight="1" spans="1:10">
      <c r="A89" s="48" t="s">
        <v>50</v>
      </c>
      <c r="B89" s="48" t="s">
        <v>1274</v>
      </c>
      <c r="C89" s="47" t="s">
        <v>1052</v>
      </c>
      <c r="D89" s="48" t="s">
        <v>1009</v>
      </c>
      <c r="E89" s="48" t="s">
        <v>1010</v>
      </c>
      <c r="F89" s="48" t="s">
        <v>1053</v>
      </c>
      <c r="G89" s="48" t="s">
        <v>1054</v>
      </c>
      <c r="H89" s="47" t="s">
        <v>1055</v>
      </c>
      <c r="I89" s="47" t="s">
        <v>1056</v>
      </c>
      <c r="J89" s="47" t="s">
        <v>39</v>
      </c>
    </row>
    <row r="90" ht="54" customHeight="1" spans="1:10">
      <c r="A90" s="48" t="s">
        <v>50</v>
      </c>
      <c r="B90" s="48" t="s">
        <v>1275</v>
      </c>
      <c r="C90" s="47" t="s">
        <v>1097</v>
      </c>
      <c r="D90" s="48" t="s">
        <v>1098</v>
      </c>
      <c r="E90" s="48" t="s">
        <v>1099</v>
      </c>
      <c r="F90" s="48" t="s">
        <v>1100</v>
      </c>
      <c r="G90" s="48" t="s">
        <v>1101</v>
      </c>
      <c r="H90" s="47" t="s">
        <v>1102</v>
      </c>
      <c r="I90" s="47" t="s">
        <v>1103</v>
      </c>
      <c r="J90" s="47" t="s">
        <v>39</v>
      </c>
    </row>
    <row r="91" ht="54" customHeight="1" spans="1:10">
      <c r="A91" s="48" t="s">
        <v>50</v>
      </c>
      <c r="B91" s="48" t="s">
        <v>1276</v>
      </c>
      <c r="C91" s="47" t="s">
        <v>1277</v>
      </c>
      <c r="D91" s="48" t="s">
        <v>1278</v>
      </c>
      <c r="E91" s="48" t="s">
        <v>1279</v>
      </c>
      <c r="F91" s="48" t="s">
        <v>1280</v>
      </c>
      <c r="G91" s="48" t="s">
        <v>1281</v>
      </c>
      <c r="H91" s="47" t="s">
        <v>1282</v>
      </c>
      <c r="I91" s="47" t="s">
        <v>1283</v>
      </c>
      <c r="J91" s="47" t="s">
        <v>39</v>
      </c>
    </row>
    <row r="92" ht="54" customHeight="1" spans="1:10">
      <c r="A92" s="48" t="s">
        <v>50</v>
      </c>
      <c r="B92" s="48" t="s">
        <v>1284</v>
      </c>
      <c r="C92" s="47" t="s">
        <v>1285</v>
      </c>
      <c r="D92" s="48" t="s">
        <v>965</v>
      </c>
      <c r="E92" s="48" t="s">
        <v>966</v>
      </c>
      <c r="F92" s="48" t="s">
        <v>1286</v>
      </c>
      <c r="G92" s="48" t="s">
        <v>1287</v>
      </c>
      <c r="H92" s="47" t="s">
        <v>1288</v>
      </c>
      <c r="I92" s="47" t="s">
        <v>1289</v>
      </c>
      <c r="J92" s="47" t="s">
        <v>39</v>
      </c>
    </row>
    <row r="93" ht="54" customHeight="1" spans="1:10">
      <c r="A93" s="48" t="s">
        <v>50</v>
      </c>
      <c r="B93" s="48" t="s">
        <v>1290</v>
      </c>
      <c r="C93" s="47" t="s">
        <v>1291</v>
      </c>
      <c r="D93" s="48" t="s">
        <v>965</v>
      </c>
      <c r="E93" s="48" t="s">
        <v>966</v>
      </c>
      <c r="F93" s="48" t="s">
        <v>1292</v>
      </c>
      <c r="G93" s="48" t="s">
        <v>1293</v>
      </c>
      <c r="H93" s="47" t="s">
        <v>1294</v>
      </c>
      <c r="I93" s="47" t="s">
        <v>1295</v>
      </c>
      <c r="J93" s="47" t="s">
        <v>39</v>
      </c>
    </row>
    <row r="94" ht="54" customHeight="1" spans="1:10">
      <c r="A94" s="48" t="s">
        <v>52</v>
      </c>
      <c r="B94" s="48" t="s">
        <v>1296</v>
      </c>
      <c r="C94" s="47" t="s">
        <v>1297</v>
      </c>
      <c r="D94" s="48" t="s">
        <v>1009</v>
      </c>
      <c r="E94" s="48" t="s">
        <v>1010</v>
      </c>
      <c r="F94" s="48" t="s">
        <v>1298</v>
      </c>
      <c r="G94" s="48" t="s">
        <v>1299</v>
      </c>
      <c r="H94" s="47" t="s">
        <v>1300</v>
      </c>
      <c r="I94" s="47" t="s">
        <v>1301</v>
      </c>
      <c r="J94" s="47" t="s">
        <v>26</v>
      </c>
    </row>
    <row r="95" ht="54" customHeight="1" spans="1:10">
      <c r="A95" s="48" t="s">
        <v>52</v>
      </c>
      <c r="B95" s="48" t="s">
        <v>1302</v>
      </c>
      <c r="C95" s="47" t="s">
        <v>1285</v>
      </c>
      <c r="D95" s="48" t="s">
        <v>965</v>
      </c>
      <c r="E95" s="48" t="s">
        <v>966</v>
      </c>
      <c r="F95" s="48" t="s">
        <v>1286</v>
      </c>
      <c r="G95" s="48" t="s">
        <v>1287</v>
      </c>
      <c r="H95" s="47" t="s">
        <v>1288</v>
      </c>
      <c r="I95" s="47" t="s">
        <v>1289</v>
      </c>
      <c r="J95" s="47" t="s">
        <v>26</v>
      </c>
    </row>
    <row r="96" ht="54" customHeight="1" spans="1:10">
      <c r="A96" s="48" t="s">
        <v>52</v>
      </c>
      <c r="B96" s="48" t="s">
        <v>1303</v>
      </c>
      <c r="C96" s="47" t="s">
        <v>971</v>
      </c>
      <c r="D96" s="48" t="s">
        <v>965</v>
      </c>
      <c r="E96" s="48" t="s">
        <v>966</v>
      </c>
      <c r="F96" s="48" t="s">
        <v>972</v>
      </c>
      <c r="G96" s="48" t="s">
        <v>973</v>
      </c>
      <c r="H96" s="47" t="s">
        <v>974</v>
      </c>
      <c r="I96" s="47" t="s">
        <v>975</v>
      </c>
      <c r="J96" s="47" t="s">
        <v>26</v>
      </c>
    </row>
    <row r="97" ht="54" customHeight="1" spans="1:10">
      <c r="A97" s="48" t="s">
        <v>52</v>
      </c>
      <c r="B97" s="48" t="s">
        <v>1304</v>
      </c>
      <c r="C97" s="47" t="s">
        <v>1305</v>
      </c>
      <c r="D97" s="48" t="s">
        <v>1306</v>
      </c>
      <c r="E97" s="48" t="s">
        <v>1307</v>
      </c>
      <c r="F97" s="48" t="s">
        <v>1308</v>
      </c>
      <c r="G97" s="48" t="s">
        <v>1309</v>
      </c>
      <c r="H97" s="47" t="s">
        <v>1310</v>
      </c>
      <c r="I97" s="47" t="s">
        <v>1311</v>
      </c>
      <c r="J97" s="47" t="s">
        <v>26</v>
      </c>
    </row>
    <row r="98" ht="54" customHeight="1" spans="1:10">
      <c r="A98" s="48" t="s">
        <v>52</v>
      </c>
      <c r="B98" s="48" t="s">
        <v>1312</v>
      </c>
      <c r="C98" s="47" t="s">
        <v>1313</v>
      </c>
      <c r="D98" s="48" t="s">
        <v>1037</v>
      </c>
      <c r="E98" s="48" t="s">
        <v>1038</v>
      </c>
      <c r="F98" s="48" t="s">
        <v>1314</v>
      </c>
      <c r="G98" s="48" t="s">
        <v>1315</v>
      </c>
      <c r="H98" s="47" t="s">
        <v>1316</v>
      </c>
      <c r="I98" s="47" t="s">
        <v>1317</v>
      </c>
      <c r="J98" s="47" t="s">
        <v>26</v>
      </c>
    </row>
    <row r="99" ht="54" customHeight="1" spans="1:10">
      <c r="A99" s="48" t="s">
        <v>52</v>
      </c>
      <c r="B99" s="48" t="s">
        <v>1318</v>
      </c>
      <c r="C99" s="47" t="s">
        <v>1145</v>
      </c>
      <c r="D99" s="48" t="s">
        <v>1146</v>
      </c>
      <c r="E99" s="48" t="s">
        <v>1147</v>
      </c>
      <c r="F99" s="48" t="s">
        <v>1148</v>
      </c>
      <c r="G99" s="48" t="s">
        <v>1149</v>
      </c>
      <c r="H99" s="47" t="s">
        <v>1150</v>
      </c>
      <c r="I99" s="47" t="s">
        <v>1151</v>
      </c>
      <c r="J99" s="47" t="s">
        <v>26</v>
      </c>
    </row>
    <row r="100" ht="54" customHeight="1" spans="1:10">
      <c r="A100" s="48" t="s">
        <v>52</v>
      </c>
      <c r="B100" s="48" t="s">
        <v>1319</v>
      </c>
      <c r="C100" s="47" t="s">
        <v>1196</v>
      </c>
      <c r="D100" s="48" t="s">
        <v>1118</v>
      </c>
      <c r="E100" s="48" t="s">
        <v>1119</v>
      </c>
      <c r="F100" s="48" t="s">
        <v>1197</v>
      </c>
      <c r="G100" s="48" t="s">
        <v>1198</v>
      </c>
      <c r="H100" s="47" t="s">
        <v>1199</v>
      </c>
      <c r="I100" s="47" t="s">
        <v>1200</v>
      </c>
      <c r="J100" s="47" t="s">
        <v>26</v>
      </c>
    </row>
    <row r="101" ht="54" customHeight="1" spans="1:10">
      <c r="A101" s="48" t="s">
        <v>54</v>
      </c>
      <c r="B101" s="48" t="s">
        <v>1320</v>
      </c>
      <c r="C101" s="47" t="s">
        <v>942</v>
      </c>
      <c r="D101" s="48" t="s">
        <v>943</v>
      </c>
      <c r="E101" s="48" t="s">
        <v>944</v>
      </c>
      <c r="F101" s="48" t="s">
        <v>945</v>
      </c>
      <c r="G101" s="48" t="s">
        <v>946</v>
      </c>
      <c r="H101" s="47" t="s">
        <v>947</v>
      </c>
      <c r="I101" s="47" t="s">
        <v>948</v>
      </c>
      <c r="J101" s="47" t="s">
        <v>26</v>
      </c>
    </row>
    <row r="102" ht="54" customHeight="1" spans="1:10">
      <c r="A102" s="48" t="s">
        <v>54</v>
      </c>
      <c r="B102" s="48" t="s">
        <v>1321</v>
      </c>
      <c r="C102" s="47" t="s">
        <v>971</v>
      </c>
      <c r="D102" s="48" t="s">
        <v>965</v>
      </c>
      <c r="E102" s="48" t="s">
        <v>966</v>
      </c>
      <c r="F102" s="48" t="s">
        <v>972</v>
      </c>
      <c r="G102" s="48" t="s">
        <v>973</v>
      </c>
      <c r="H102" s="47" t="s">
        <v>974</v>
      </c>
      <c r="I102" s="47" t="s">
        <v>975</v>
      </c>
      <c r="J102" s="47" t="s">
        <v>26</v>
      </c>
    </row>
    <row r="103" ht="54" customHeight="1" spans="1:10">
      <c r="A103" s="48" t="s">
        <v>54</v>
      </c>
      <c r="B103" s="48" t="s">
        <v>1322</v>
      </c>
      <c r="C103" s="47" t="s">
        <v>1145</v>
      </c>
      <c r="D103" s="48" t="s">
        <v>1146</v>
      </c>
      <c r="E103" s="48" t="s">
        <v>1147</v>
      </c>
      <c r="F103" s="48" t="s">
        <v>1148</v>
      </c>
      <c r="G103" s="48" t="s">
        <v>1149</v>
      </c>
      <c r="H103" s="47" t="s">
        <v>1150</v>
      </c>
      <c r="I103" s="47" t="s">
        <v>1151</v>
      </c>
      <c r="J103" s="47" t="s">
        <v>26</v>
      </c>
    </row>
    <row r="104" ht="54" customHeight="1" spans="1:10">
      <c r="A104" s="48" t="s">
        <v>54</v>
      </c>
      <c r="B104" s="48" t="s">
        <v>1323</v>
      </c>
      <c r="C104" s="47" t="s">
        <v>1196</v>
      </c>
      <c r="D104" s="48" t="s">
        <v>1118</v>
      </c>
      <c r="E104" s="48" t="s">
        <v>1119</v>
      </c>
      <c r="F104" s="48" t="s">
        <v>1197</v>
      </c>
      <c r="G104" s="48" t="s">
        <v>1198</v>
      </c>
      <c r="H104" s="47" t="s">
        <v>1199</v>
      </c>
      <c r="I104" s="47" t="s">
        <v>1200</v>
      </c>
      <c r="J104" s="47" t="s">
        <v>26</v>
      </c>
    </row>
    <row r="105" ht="54" customHeight="1" spans="1:10">
      <c r="A105" s="48" t="s">
        <v>56</v>
      </c>
      <c r="B105" s="48" t="s">
        <v>1324</v>
      </c>
      <c r="C105" s="47" t="s">
        <v>1325</v>
      </c>
      <c r="D105" s="48" t="s">
        <v>1278</v>
      </c>
      <c r="E105" s="48" t="s">
        <v>1279</v>
      </c>
      <c r="F105" s="48" t="s">
        <v>1326</v>
      </c>
      <c r="G105" s="48" t="s">
        <v>1327</v>
      </c>
      <c r="H105" s="47" t="s">
        <v>1328</v>
      </c>
      <c r="I105" s="47" t="s">
        <v>1329</v>
      </c>
      <c r="J105" s="47" t="s">
        <v>29</v>
      </c>
    </row>
    <row r="106" ht="54" customHeight="1" spans="1:10">
      <c r="A106" s="48" t="s">
        <v>56</v>
      </c>
      <c r="B106" s="48" t="s">
        <v>1330</v>
      </c>
      <c r="C106" s="47" t="s">
        <v>1159</v>
      </c>
      <c r="D106" s="48" t="s">
        <v>1146</v>
      </c>
      <c r="E106" s="48" t="s">
        <v>1147</v>
      </c>
      <c r="F106" s="48" t="s">
        <v>1160</v>
      </c>
      <c r="G106" s="48" t="s">
        <v>1161</v>
      </c>
      <c r="H106" s="47" t="s">
        <v>1162</v>
      </c>
      <c r="I106" s="47" t="s">
        <v>1151</v>
      </c>
      <c r="J106" s="47" t="s">
        <v>29</v>
      </c>
    </row>
    <row r="107" ht="54" customHeight="1" spans="1:10">
      <c r="A107" s="48" t="s">
        <v>56</v>
      </c>
      <c r="B107" s="48" t="s">
        <v>1331</v>
      </c>
      <c r="C107" s="47" t="s">
        <v>1216</v>
      </c>
      <c r="D107" s="48" t="s">
        <v>993</v>
      </c>
      <c r="E107" s="48" t="s">
        <v>994</v>
      </c>
      <c r="F107" s="48" t="s">
        <v>1217</v>
      </c>
      <c r="G107" s="48" t="s">
        <v>1218</v>
      </c>
      <c r="H107" s="47" t="s">
        <v>1219</v>
      </c>
      <c r="I107" s="47" t="s">
        <v>1220</v>
      </c>
      <c r="J107" s="47" t="s">
        <v>29</v>
      </c>
    </row>
    <row r="108" ht="54" customHeight="1" spans="1:10">
      <c r="A108" s="48" t="s">
        <v>56</v>
      </c>
      <c r="B108" s="48" t="s">
        <v>1332</v>
      </c>
      <c r="C108" s="47" t="s">
        <v>1245</v>
      </c>
      <c r="D108" s="48" t="s">
        <v>1171</v>
      </c>
      <c r="E108" s="48" t="s">
        <v>1172</v>
      </c>
      <c r="F108" s="48" t="s">
        <v>1246</v>
      </c>
      <c r="G108" s="48" t="s">
        <v>1247</v>
      </c>
      <c r="H108" s="47" t="s">
        <v>1248</v>
      </c>
      <c r="I108" s="47" t="s">
        <v>1176</v>
      </c>
      <c r="J108" s="47" t="s">
        <v>29</v>
      </c>
    </row>
    <row r="109" ht="54" customHeight="1" spans="1:10">
      <c r="A109" s="48" t="s">
        <v>56</v>
      </c>
      <c r="B109" s="48" t="s">
        <v>1333</v>
      </c>
      <c r="C109" s="47" t="s">
        <v>1196</v>
      </c>
      <c r="D109" s="48" t="s">
        <v>1118</v>
      </c>
      <c r="E109" s="48" t="s">
        <v>1119</v>
      </c>
      <c r="F109" s="48" t="s">
        <v>1197</v>
      </c>
      <c r="G109" s="48" t="s">
        <v>1198</v>
      </c>
      <c r="H109" s="47" t="s">
        <v>1199</v>
      </c>
      <c r="I109" s="47" t="s">
        <v>1200</v>
      </c>
      <c r="J109" s="47" t="s">
        <v>29</v>
      </c>
    </row>
    <row r="110" ht="54" customHeight="1" spans="1:10">
      <c r="A110" s="48" t="s">
        <v>58</v>
      </c>
      <c r="B110" s="48" t="s">
        <v>1334</v>
      </c>
      <c r="C110" s="47" t="s">
        <v>934</v>
      </c>
      <c r="D110" s="48" t="s">
        <v>935</v>
      </c>
      <c r="E110" s="48" t="s">
        <v>936</v>
      </c>
      <c r="F110" s="48" t="s">
        <v>937</v>
      </c>
      <c r="G110" s="48" t="s">
        <v>938</v>
      </c>
      <c r="H110" s="47" t="s">
        <v>939</v>
      </c>
      <c r="I110" s="47" t="s">
        <v>940</v>
      </c>
      <c r="J110" s="47" t="s">
        <v>26</v>
      </c>
    </row>
    <row r="111" ht="54" customHeight="1" spans="1:10">
      <c r="A111" s="48" t="s">
        <v>58</v>
      </c>
      <c r="B111" s="48" t="s">
        <v>1335</v>
      </c>
      <c r="C111" s="47" t="s">
        <v>1008</v>
      </c>
      <c r="D111" s="48" t="s">
        <v>1009</v>
      </c>
      <c r="E111" s="48" t="s">
        <v>1010</v>
      </c>
      <c r="F111" s="48" t="s">
        <v>1011</v>
      </c>
      <c r="G111" s="48" t="s">
        <v>1012</v>
      </c>
      <c r="H111" s="47" t="s">
        <v>1013</v>
      </c>
      <c r="I111" s="47" t="s">
        <v>1014</v>
      </c>
      <c r="J111" s="47" t="s">
        <v>26</v>
      </c>
    </row>
    <row r="112" ht="54" customHeight="1" spans="1:10">
      <c r="A112" s="48" t="s">
        <v>58</v>
      </c>
      <c r="B112" s="48" t="s">
        <v>1336</v>
      </c>
      <c r="C112" s="47" t="s">
        <v>1337</v>
      </c>
      <c r="D112" s="48" t="s">
        <v>1009</v>
      </c>
      <c r="E112" s="48" t="s">
        <v>1010</v>
      </c>
      <c r="F112" s="48" t="s">
        <v>1338</v>
      </c>
      <c r="G112" s="48" t="s">
        <v>1339</v>
      </c>
      <c r="H112" s="47" t="s">
        <v>1340</v>
      </c>
      <c r="I112" s="47" t="s">
        <v>1341</v>
      </c>
      <c r="J112" s="47" t="s">
        <v>26</v>
      </c>
    </row>
    <row r="113" ht="54" customHeight="1" spans="1:10">
      <c r="A113" s="48" t="s">
        <v>58</v>
      </c>
      <c r="B113" s="48" t="s">
        <v>1342</v>
      </c>
      <c r="C113" s="47" t="s">
        <v>1089</v>
      </c>
      <c r="D113" s="48" t="s">
        <v>957</v>
      </c>
      <c r="E113" s="48" t="s">
        <v>958</v>
      </c>
      <c r="F113" s="48" t="s">
        <v>1090</v>
      </c>
      <c r="G113" s="48" t="s">
        <v>1091</v>
      </c>
      <c r="H113" s="47" t="s">
        <v>1092</v>
      </c>
      <c r="I113" s="47" t="s">
        <v>1093</v>
      </c>
      <c r="J113" s="47" t="s">
        <v>26</v>
      </c>
    </row>
    <row r="114" ht="54" customHeight="1" spans="1:10">
      <c r="A114" s="48" t="s">
        <v>58</v>
      </c>
      <c r="B114" s="48" t="s">
        <v>1343</v>
      </c>
      <c r="C114" s="47" t="s">
        <v>950</v>
      </c>
      <c r="D114" s="48" t="s">
        <v>935</v>
      </c>
      <c r="E114" s="48" t="s">
        <v>936</v>
      </c>
      <c r="F114" s="48" t="s">
        <v>951</v>
      </c>
      <c r="G114" s="48" t="s">
        <v>952</v>
      </c>
      <c r="H114" s="47" t="s">
        <v>953</v>
      </c>
      <c r="I114" s="47" t="s">
        <v>954</v>
      </c>
      <c r="J114" s="47" t="s">
        <v>26</v>
      </c>
    </row>
    <row r="115" ht="54" customHeight="1" spans="1:10">
      <c r="A115" s="48" t="s">
        <v>58</v>
      </c>
      <c r="B115" s="48" t="s">
        <v>1344</v>
      </c>
      <c r="C115" s="47" t="s">
        <v>956</v>
      </c>
      <c r="D115" s="48" t="s">
        <v>957</v>
      </c>
      <c r="E115" s="48" t="s">
        <v>958</v>
      </c>
      <c r="F115" s="48" t="s">
        <v>959</v>
      </c>
      <c r="G115" s="48" t="s">
        <v>960</v>
      </c>
      <c r="H115" s="47" t="s">
        <v>961</v>
      </c>
      <c r="I115" s="47" t="s">
        <v>962</v>
      </c>
      <c r="J115" s="47" t="s">
        <v>26</v>
      </c>
    </row>
    <row r="116" ht="54" customHeight="1" spans="1:10">
      <c r="A116" s="48" t="s">
        <v>58</v>
      </c>
      <c r="B116" s="48" t="s">
        <v>1345</v>
      </c>
      <c r="C116" s="47" t="s">
        <v>1105</v>
      </c>
      <c r="D116" s="48" t="s">
        <v>1009</v>
      </c>
      <c r="E116" s="48" t="s">
        <v>1010</v>
      </c>
      <c r="F116" s="48" t="s">
        <v>1106</v>
      </c>
      <c r="G116" s="48" t="s">
        <v>1107</v>
      </c>
      <c r="H116" s="47" t="s">
        <v>1108</v>
      </c>
      <c r="I116" s="47" t="s">
        <v>1109</v>
      </c>
      <c r="J116" s="47" t="s">
        <v>26</v>
      </c>
    </row>
    <row r="117" ht="54" customHeight="1" spans="1:10">
      <c r="A117" s="48" t="s">
        <v>58</v>
      </c>
      <c r="B117" s="48" t="s">
        <v>1346</v>
      </c>
      <c r="C117" s="47" t="s">
        <v>1052</v>
      </c>
      <c r="D117" s="48" t="s">
        <v>1009</v>
      </c>
      <c r="E117" s="48" t="s">
        <v>1010</v>
      </c>
      <c r="F117" s="48" t="s">
        <v>1053</v>
      </c>
      <c r="G117" s="48" t="s">
        <v>1054</v>
      </c>
      <c r="H117" s="47" t="s">
        <v>1055</v>
      </c>
      <c r="I117" s="47" t="s">
        <v>1056</v>
      </c>
      <c r="J117" s="47" t="s">
        <v>26</v>
      </c>
    </row>
    <row r="118" ht="54" customHeight="1" spans="1:10">
      <c r="A118" s="48" t="s">
        <v>58</v>
      </c>
      <c r="B118" s="48" t="s">
        <v>1347</v>
      </c>
      <c r="C118" s="47" t="s">
        <v>1348</v>
      </c>
      <c r="D118" s="48" t="s">
        <v>1082</v>
      </c>
      <c r="E118" s="48" t="s">
        <v>1083</v>
      </c>
      <c r="F118" s="48" t="s">
        <v>1349</v>
      </c>
      <c r="G118" s="48" t="s">
        <v>1350</v>
      </c>
      <c r="H118" s="47" t="s">
        <v>1351</v>
      </c>
      <c r="I118" s="47" t="s">
        <v>1352</v>
      </c>
      <c r="J118" s="47" t="s">
        <v>26</v>
      </c>
    </row>
    <row r="119" ht="54" customHeight="1" spans="1:10">
      <c r="A119" s="48" t="s">
        <v>58</v>
      </c>
      <c r="B119" s="48" t="s">
        <v>1353</v>
      </c>
      <c r="C119" s="47" t="s">
        <v>1097</v>
      </c>
      <c r="D119" s="48" t="s">
        <v>1098</v>
      </c>
      <c r="E119" s="48" t="s">
        <v>1099</v>
      </c>
      <c r="F119" s="48" t="s">
        <v>1100</v>
      </c>
      <c r="G119" s="48" t="s">
        <v>1101</v>
      </c>
      <c r="H119" s="47" t="s">
        <v>1102</v>
      </c>
      <c r="I119" s="47" t="s">
        <v>1103</v>
      </c>
      <c r="J119" s="47" t="s">
        <v>26</v>
      </c>
    </row>
    <row r="120" ht="54" customHeight="1" spans="1:10">
      <c r="A120" s="48" t="s">
        <v>58</v>
      </c>
      <c r="B120" s="48" t="s">
        <v>1354</v>
      </c>
      <c r="C120" s="47" t="s">
        <v>977</v>
      </c>
      <c r="D120" s="48" t="s">
        <v>978</v>
      </c>
      <c r="E120" s="48" t="s">
        <v>979</v>
      </c>
      <c r="F120" s="48" t="s">
        <v>980</v>
      </c>
      <c r="G120" s="48" t="s">
        <v>981</v>
      </c>
      <c r="H120" s="47" t="s">
        <v>982</v>
      </c>
      <c r="I120" s="47" t="s">
        <v>983</v>
      </c>
      <c r="J120" s="47" t="s">
        <v>26</v>
      </c>
    </row>
    <row r="121" ht="54" customHeight="1" spans="1:10">
      <c r="A121" s="48" t="s">
        <v>58</v>
      </c>
      <c r="B121" s="48" t="s">
        <v>1355</v>
      </c>
      <c r="C121" s="47" t="s">
        <v>1356</v>
      </c>
      <c r="D121" s="48" t="s">
        <v>1082</v>
      </c>
      <c r="E121" s="48" t="s">
        <v>1083</v>
      </c>
      <c r="F121" s="48" t="s">
        <v>1357</v>
      </c>
      <c r="G121" s="48" t="s">
        <v>1358</v>
      </c>
      <c r="H121" s="47" t="s">
        <v>1359</v>
      </c>
      <c r="I121" s="47" t="s">
        <v>1360</v>
      </c>
      <c r="J121" s="47" t="s">
        <v>26</v>
      </c>
    </row>
    <row r="122" ht="54" customHeight="1" spans="1:10">
      <c r="A122" s="48" t="s">
        <v>60</v>
      </c>
      <c r="B122" s="48" t="s">
        <v>1361</v>
      </c>
      <c r="C122" s="47" t="s">
        <v>1362</v>
      </c>
      <c r="D122" s="48" t="s">
        <v>1059</v>
      </c>
      <c r="E122" s="48" t="s">
        <v>1060</v>
      </c>
      <c r="F122" s="48" t="s">
        <v>1363</v>
      </c>
      <c r="G122" s="48" t="s">
        <v>1364</v>
      </c>
      <c r="H122" s="47" t="s">
        <v>1365</v>
      </c>
      <c r="I122" s="47" t="s">
        <v>1366</v>
      </c>
      <c r="J122" s="47" t="s">
        <v>26</v>
      </c>
    </row>
    <row r="123" ht="54" customHeight="1" spans="1:10">
      <c r="A123" s="48" t="s">
        <v>60</v>
      </c>
      <c r="B123" s="48" t="s">
        <v>1367</v>
      </c>
      <c r="C123" s="47" t="s">
        <v>1368</v>
      </c>
      <c r="D123" s="48" t="s">
        <v>1082</v>
      </c>
      <c r="E123" s="48" t="s">
        <v>1083</v>
      </c>
      <c r="F123" s="48" t="s">
        <v>1369</v>
      </c>
      <c r="G123" s="48" t="s">
        <v>1370</v>
      </c>
      <c r="H123" s="47" t="s">
        <v>1371</v>
      </c>
      <c r="I123" s="47" t="s">
        <v>1372</v>
      </c>
      <c r="J123" s="47" t="s">
        <v>26</v>
      </c>
    </row>
    <row r="124" ht="54" customHeight="1" spans="1:10">
      <c r="A124" s="48" t="s">
        <v>60</v>
      </c>
      <c r="B124" s="48" t="s">
        <v>1373</v>
      </c>
      <c r="C124" s="47" t="s">
        <v>1097</v>
      </c>
      <c r="D124" s="48" t="s">
        <v>1098</v>
      </c>
      <c r="E124" s="48" t="s">
        <v>1099</v>
      </c>
      <c r="F124" s="48" t="s">
        <v>1100</v>
      </c>
      <c r="G124" s="48" t="s">
        <v>1101</v>
      </c>
      <c r="H124" s="47" t="s">
        <v>1102</v>
      </c>
      <c r="I124" s="47" t="s">
        <v>1103</v>
      </c>
      <c r="J124" s="47" t="s">
        <v>26</v>
      </c>
    </row>
    <row r="125" ht="54" customHeight="1" spans="1:10">
      <c r="A125" s="48" t="s">
        <v>60</v>
      </c>
      <c r="B125" s="48" t="s">
        <v>1374</v>
      </c>
      <c r="C125" s="47" t="s">
        <v>1375</v>
      </c>
      <c r="D125" s="48" t="s">
        <v>1098</v>
      </c>
      <c r="E125" s="48" t="s">
        <v>1099</v>
      </c>
      <c r="F125" s="48" t="s">
        <v>1376</v>
      </c>
      <c r="G125" s="48" t="s">
        <v>1377</v>
      </c>
      <c r="H125" s="47" t="s">
        <v>1378</v>
      </c>
      <c r="I125" s="47" t="s">
        <v>1379</v>
      </c>
      <c r="J125" s="47" t="s">
        <v>26</v>
      </c>
    </row>
    <row r="126" ht="54" customHeight="1" spans="1:10">
      <c r="A126" s="48" t="s">
        <v>60</v>
      </c>
      <c r="B126" s="48" t="s">
        <v>1380</v>
      </c>
      <c r="C126" s="47" t="s">
        <v>1066</v>
      </c>
      <c r="D126" s="48" t="s">
        <v>935</v>
      </c>
      <c r="E126" s="48" t="s">
        <v>936</v>
      </c>
      <c r="F126" s="48" t="s">
        <v>1067</v>
      </c>
      <c r="G126" s="48" t="s">
        <v>1068</v>
      </c>
      <c r="H126" s="47" t="s">
        <v>1069</v>
      </c>
      <c r="I126" s="47" t="s">
        <v>940</v>
      </c>
      <c r="J126" s="47" t="s">
        <v>26</v>
      </c>
    </row>
    <row r="127" ht="54" customHeight="1" spans="1:10">
      <c r="A127" s="48" t="s">
        <v>60</v>
      </c>
      <c r="B127" s="48" t="s">
        <v>1381</v>
      </c>
      <c r="C127" s="47" t="s">
        <v>1111</v>
      </c>
      <c r="D127" s="48" t="s">
        <v>965</v>
      </c>
      <c r="E127" s="48" t="s">
        <v>966</v>
      </c>
      <c r="F127" s="48" t="s">
        <v>1112</v>
      </c>
      <c r="G127" s="48" t="s">
        <v>1113</v>
      </c>
      <c r="H127" s="47" t="s">
        <v>1114</v>
      </c>
      <c r="I127" s="47" t="s">
        <v>1115</v>
      </c>
      <c r="J127" s="47" t="s">
        <v>26</v>
      </c>
    </row>
    <row r="128" ht="54" customHeight="1" spans="1:10">
      <c r="A128" s="48" t="s">
        <v>60</v>
      </c>
      <c r="B128" s="48" t="s">
        <v>1382</v>
      </c>
      <c r="C128" s="47" t="s">
        <v>1137</v>
      </c>
      <c r="D128" s="48" t="s">
        <v>1138</v>
      </c>
      <c r="E128" s="48" t="s">
        <v>1139</v>
      </c>
      <c r="F128" s="48" t="s">
        <v>1140</v>
      </c>
      <c r="G128" s="48" t="s">
        <v>1141</v>
      </c>
      <c r="H128" s="47" t="s">
        <v>1142</v>
      </c>
      <c r="I128" s="47" t="s">
        <v>940</v>
      </c>
      <c r="J128" s="47" t="s">
        <v>26</v>
      </c>
    </row>
    <row r="129" ht="54" customHeight="1" spans="1:10">
      <c r="A129" s="48" t="s">
        <v>60</v>
      </c>
      <c r="B129" s="48" t="s">
        <v>1383</v>
      </c>
      <c r="C129" s="47" t="s">
        <v>977</v>
      </c>
      <c r="D129" s="48" t="s">
        <v>978</v>
      </c>
      <c r="E129" s="48" t="s">
        <v>979</v>
      </c>
      <c r="F129" s="48" t="s">
        <v>980</v>
      </c>
      <c r="G129" s="48" t="s">
        <v>981</v>
      </c>
      <c r="H129" s="47" t="s">
        <v>982</v>
      </c>
      <c r="I129" s="47" t="s">
        <v>983</v>
      </c>
      <c r="J129" s="47" t="s">
        <v>26</v>
      </c>
    </row>
    <row r="130" ht="54" customHeight="1" spans="1:10">
      <c r="A130" s="48" t="s">
        <v>62</v>
      </c>
      <c r="B130" s="48" t="s">
        <v>1384</v>
      </c>
      <c r="C130" s="47" t="s">
        <v>934</v>
      </c>
      <c r="D130" s="48" t="s">
        <v>935</v>
      </c>
      <c r="E130" s="48" t="s">
        <v>936</v>
      </c>
      <c r="F130" s="48" t="s">
        <v>937</v>
      </c>
      <c r="G130" s="48" t="s">
        <v>938</v>
      </c>
      <c r="H130" s="47" t="s">
        <v>939</v>
      </c>
      <c r="I130" s="47" t="s">
        <v>940</v>
      </c>
      <c r="J130" s="47" t="s">
        <v>26</v>
      </c>
    </row>
    <row r="131" ht="54" customHeight="1" spans="1:10">
      <c r="A131" s="48" t="s">
        <v>62</v>
      </c>
      <c r="B131" s="48" t="s">
        <v>1385</v>
      </c>
      <c r="C131" s="47" t="s">
        <v>1348</v>
      </c>
      <c r="D131" s="48" t="s">
        <v>1082</v>
      </c>
      <c r="E131" s="48" t="s">
        <v>1083</v>
      </c>
      <c r="F131" s="48" t="s">
        <v>1349</v>
      </c>
      <c r="G131" s="48" t="s">
        <v>1350</v>
      </c>
      <c r="H131" s="47" t="s">
        <v>1351</v>
      </c>
      <c r="I131" s="47" t="s">
        <v>1352</v>
      </c>
      <c r="J131" s="47" t="s">
        <v>26</v>
      </c>
    </row>
    <row r="132" ht="54" customHeight="1" spans="1:10">
      <c r="A132" s="48" t="s">
        <v>62</v>
      </c>
      <c r="B132" s="48" t="s">
        <v>1386</v>
      </c>
      <c r="C132" s="47" t="s">
        <v>1066</v>
      </c>
      <c r="D132" s="48" t="s">
        <v>935</v>
      </c>
      <c r="E132" s="48" t="s">
        <v>936</v>
      </c>
      <c r="F132" s="48" t="s">
        <v>1067</v>
      </c>
      <c r="G132" s="48" t="s">
        <v>1068</v>
      </c>
      <c r="H132" s="47" t="s">
        <v>1069</v>
      </c>
      <c r="I132" s="47" t="s">
        <v>940</v>
      </c>
      <c r="J132" s="47" t="s">
        <v>26</v>
      </c>
    </row>
    <row r="133" ht="54" customHeight="1" spans="1:10">
      <c r="A133" s="48" t="s">
        <v>62</v>
      </c>
      <c r="B133" s="48" t="s">
        <v>1387</v>
      </c>
      <c r="C133" s="47" t="s">
        <v>1388</v>
      </c>
      <c r="D133" s="48" t="s">
        <v>1037</v>
      </c>
      <c r="E133" s="48" t="s">
        <v>1038</v>
      </c>
      <c r="F133" s="48" t="s">
        <v>1389</v>
      </c>
      <c r="G133" s="48" t="s">
        <v>1390</v>
      </c>
      <c r="H133" s="47" t="s">
        <v>1391</v>
      </c>
      <c r="I133" s="47" t="s">
        <v>1392</v>
      </c>
      <c r="J133" s="47" t="s">
        <v>26</v>
      </c>
    </row>
    <row r="134" ht="54" customHeight="1" spans="1:10">
      <c r="A134" s="48" t="s">
        <v>62</v>
      </c>
      <c r="B134" s="48" t="s">
        <v>1393</v>
      </c>
      <c r="C134" s="47" t="s">
        <v>977</v>
      </c>
      <c r="D134" s="48" t="s">
        <v>978</v>
      </c>
      <c r="E134" s="48" t="s">
        <v>979</v>
      </c>
      <c r="F134" s="48" t="s">
        <v>980</v>
      </c>
      <c r="G134" s="48" t="s">
        <v>981</v>
      </c>
      <c r="H134" s="47" t="s">
        <v>982</v>
      </c>
      <c r="I134" s="47" t="s">
        <v>983</v>
      </c>
      <c r="J134" s="47" t="s">
        <v>26</v>
      </c>
    </row>
    <row r="135" ht="54" customHeight="1" spans="1:10">
      <c r="A135" s="48" t="s">
        <v>64</v>
      </c>
      <c r="B135" s="48" t="s">
        <v>1394</v>
      </c>
      <c r="C135" s="47" t="s">
        <v>934</v>
      </c>
      <c r="D135" s="48" t="s">
        <v>935</v>
      </c>
      <c r="E135" s="48" t="s">
        <v>936</v>
      </c>
      <c r="F135" s="48" t="s">
        <v>937</v>
      </c>
      <c r="G135" s="48" t="s">
        <v>938</v>
      </c>
      <c r="H135" s="47" t="s">
        <v>939</v>
      </c>
      <c r="I135" s="47" t="s">
        <v>940</v>
      </c>
      <c r="J135" s="47" t="s">
        <v>66</v>
      </c>
    </row>
    <row r="136" ht="54" customHeight="1" spans="1:10">
      <c r="A136" s="48" t="s">
        <v>64</v>
      </c>
      <c r="B136" s="48" t="s">
        <v>1395</v>
      </c>
      <c r="C136" s="47" t="s">
        <v>1022</v>
      </c>
      <c r="D136" s="48" t="s">
        <v>957</v>
      </c>
      <c r="E136" s="48" t="s">
        <v>958</v>
      </c>
      <c r="F136" s="48" t="s">
        <v>1023</v>
      </c>
      <c r="G136" s="48" t="s">
        <v>1024</v>
      </c>
      <c r="H136" s="47" t="s">
        <v>1025</v>
      </c>
      <c r="I136" s="47" t="s">
        <v>1026</v>
      </c>
      <c r="J136" s="47" t="s">
        <v>66</v>
      </c>
    </row>
    <row r="137" ht="54" customHeight="1" spans="1:10">
      <c r="A137" s="48" t="s">
        <v>64</v>
      </c>
      <c r="B137" s="48" t="s">
        <v>1396</v>
      </c>
      <c r="C137" s="47" t="s">
        <v>1089</v>
      </c>
      <c r="D137" s="48" t="s">
        <v>957</v>
      </c>
      <c r="E137" s="48" t="s">
        <v>958</v>
      </c>
      <c r="F137" s="48" t="s">
        <v>1090</v>
      </c>
      <c r="G137" s="48" t="s">
        <v>1091</v>
      </c>
      <c r="H137" s="47" t="s">
        <v>1092</v>
      </c>
      <c r="I137" s="47" t="s">
        <v>1093</v>
      </c>
      <c r="J137" s="47" t="s">
        <v>66</v>
      </c>
    </row>
    <row r="138" ht="54" customHeight="1" spans="1:10">
      <c r="A138" s="48" t="s">
        <v>64</v>
      </c>
      <c r="B138" s="48" t="s">
        <v>1397</v>
      </c>
      <c r="C138" s="47" t="s">
        <v>950</v>
      </c>
      <c r="D138" s="48" t="s">
        <v>935</v>
      </c>
      <c r="E138" s="48" t="s">
        <v>936</v>
      </c>
      <c r="F138" s="48" t="s">
        <v>951</v>
      </c>
      <c r="G138" s="48" t="s">
        <v>952</v>
      </c>
      <c r="H138" s="47" t="s">
        <v>953</v>
      </c>
      <c r="I138" s="47" t="s">
        <v>954</v>
      </c>
      <c r="J138" s="47" t="s">
        <v>66</v>
      </c>
    </row>
    <row r="139" ht="54" customHeight="1" spans="1:10">
      <c r="A139" s="48" t="s">
        <v>64</v>
      </c>
      <c r="B139" s="48" t="s">
        <v>1398</v>
      </c>
      <c r="C139" s="47" t="s">
        <v>1399</v>
      </c>
      <c r="D139" s="48" t="s">
        <v>1400</v>
      </c>
      <c r="E139" s="48" t="s">
        <v>1401</v>
      </c>
      <c r="F139" s="48" t="s">
        <v>1402</v>
      </c>
      <c r="G139" s="48" t="s">
        <v>1403</v>
      </c>
      <c r="H139" s="47" t="s">
        <v>1404</v>
      </c>
      <c r="I139" s="47" t="s">
        <v>940</v>
      </c>
      <c r="J139" s="47" t="s">
        <v>66</v>
      </c>
    </row>
    <row r="140" ht="54" customHeight="1" spans="1:10">
      <c r="A140" s="48" t="s">
        <v>64</v>
      </c>
      <c r="B140" s="48" t="s">
        <v>1405</v>
      </c>
      <c r="C140" s="47" t="s">
        <v>1036</v>
      </c>
      <c r="D140" s="48" t="s">
        <v>1037</v>
      </c>
      <c r="E140" s="48" t="s">
        <v>1038</v>
      </c>
      <c r="F140" s="48" t="s">
        <v>1039</v>
      </c>
      <c r="G140" s="48" t="s">
        <v>1040</v>
      </c>
      <c r="H140" s="47" t="s">
        <v>1041</v>
      </c>
      <c r="I140" s="47" t="s">
        <v>1042</v>
      </c>
      <c r="J140" s="47" t="s">
        <v>66</v>
      </c>
    </row>
    <row r="141" ht="54" customHeight="1" spans="1:10">
      <c r="A141" s="48" t="s">
        <v>64</v>
      </c>
      <c r="B141" s="48" t="s">
        <v>1406</v>
      </c>
      <c r="C141" s="47" t="s">
        <v>1297</v>
      </c>
      <c r="D141" s="48" t="s">
        <v>1009</v>
      </c>
      <c r="E141" s="48" t="s">
        <v>1010</v>
      </c>
      <c r="F141" s="48" t="s">
        <v>1298</v>
      </c>
      <c r="G141" s="48" t="s">
        <v>1299</v>
      </c>
      <c r="H141" s="47" t="s">
        <v>1300</v>
      </c>
      <c r="I141" s="47" t="s">
        <v>1301</v>
      </c>
      <c r="J141" s="47" t="s">
        <v>66</v>
      </c>
    </row>
    <row r="142" ht="54" customHeight="1" spans="1:10">
      <c r="A142" s="48" t="s">
        <v>64</v>
      </c>
      <c r="B142" s="48" t="s">
        <v>1407</v>
      </c>
      <c r="C142" s="47" t="s">
        <v>1097</v>
      </c>
      <c r="D142" s="48" t="s">
        <v>1098</v>
      </c>
      <c r="E142" s="48" t="s">
        <v>1099</v>
      </c>
      <c r="F142" s="48" t="s">
        <v>1100</v>
      </c>
      <c r="G142" s="48" t="s">
        <v>1101</v>
      </c>
      <c r="H142" s="47" t="s">
        <v>1102</v>
      </c>
      <c r="I142" s="47" t="s">
        <v>1103</v>
      </c>
      <c r="J142" s="47" t="s">
        <v>66</v>
      </c>
    </row>
    <row r="143" ht="54" customHeight="1" spans="1:10">
      <c r="A143" s="48" t="s">
        <v>64</v>
      </c>
      <c r="B143" s="48" t="s">
        <v>1408</v>
      </c>
      <c r="C143" s="47" t="s">
        <v>1066</v>
      </c>
      <c r="D143" s="48" t="s">
        <v>935</v>
      </c>
      <c r="E143" s="48" t="s">
        <v>936</v>
      </c>
      <c r="F143" s="48" t="s">
        <v>1067</v>
      </c>
      <c r="G143" s="48" t="s">
        <v>1068</v>
      </c>
      <c r="H143" s="47" t="s">
        <v>1069</v>
      </c>
      <c r="I143" s="47" t="s">
        <v>940</v>
      </c>
      <c r="J143" s="47" t="s">
        <v>66</v>
      </c>
    </row>
    <row r="144" ht="54" customHeight="1" spans="1:10">
      <c r="A144" s="48" t="s">
        <v>64</v>
      </c>
      <c r="B144" s="48" t="s">
        <v>1409</v>
      </c>
      <c r="C144" s="47" t="s">
        <v>1388</v>
      </c>
      <c r="D144" s="48" t="s">
        <v>1037</v>
      </c>
      <c r="E144" s="48" t="s">
        <v>1038</v>
      </c>
      <c r="F144" s="48" t="s">
        <v>1389</v>
      </c>
      <c r="G144" s="48" t="s">
        <v>1390</v>
      </c>
      <c r="H144" s="47" t="s">
        <v>1391</v>
      </c>
      <c r="I144" s="47" t="s">
        <v>1392</v>
      </c>
      <c r="J144" s="47" t="s">
        <v>66</v>
      </c>
    </row>
    <row r="145" ht="54" customHeight="1" spans="1:10">
      <c r="A145" s="48" t="s">
        <v>64</v>
      </c>
      <c r="B145" s="48" t="s">
        <v>1410</v>
      </c>
      <c r="C145" s="47" t="s">
        <v>1252</v>
      </c>
      <c r="D145" s="48" t="s">
        <v>1001</v>
      </c>
      <c r="E145" s="48" t="s">
        <v>1002</v>
      </c>
      <c r="F145" s="48" t="s">
        <v>1253</v>
      </c>
      <c r="G145" s="48" t="s">
        <v>1254</v>
      </c>
      <c r="H145" s="47" t="s">
        <v>1255</v>
      </c>
      <c r="I145" s="47" t="s">
        <v>1256</v>
      </c>
      <c r="J145" s="47" t="s">
        <v>66</v>
      </c>
    </row>
    <row r="146" ht="54" customHeight="1" spans="1:10">
      <c r="A146" s="48" t="s">
        <v>64</v>
      </c>
      <c r="B146" s="48" t="s">
        <v>1411</v>
      </c>
      <c r="C146" s="47" t="s">
        <v>1412</v>
      </c>
      <c r="D146" s="48" t="s">
        <v>1413</v>
      </c>
      <c r="E146" s="48" t="s">
        <v>1414</v>
      </c>
      <c r="F146" s="48" t="s">
        <v>1415</v>
      </c>
      <c r="G146" s="48" t="s">
        <v>1416</v>
      </c>
      <c r="H146" s="47" t="s">
        <v>1417</v>
      </c>
      <c r="I146" s="47" t="s">
        <v>1418</v>
      </c>
      <c r="J146" s="47" t="s">
        <v>66</v>
      </c>
    </row>
    <row r="147" ht="54" customHeight="1" spans="1:10">
      <c r="A147" s="48" t="s">
        <v>67</v>
      </c>
      <c r="B147" s="48" t="s">
        <v>1419</v>
      </c>
      <c r="C147" s="47" t="s">
        <v>934</v>
      </c>
      <c r="D147" s="48" t="s">
        <v>935</v>
      </c>
      <c r="E147" s="48" t="s">
        <v>936</v>
      </c>
      <c r="F147" s="48" t="s">
        <v>937</v>
      </c>
      <c r="G147" s="48" t="s">
        <v>938</v>
      </c>
      <c r="H147" s="47" t="s">
        <v>939</v>
      </c>
      <c r="I147" s="47" t="s">
        <v>940</v>
      </c>
      <c r="J147" s="47" t="s">
        <v>26</v>
      </c>
    </row>
    <row r="148" ht="54" customHeight="1" spans="1:10">
      <c r="A148" s="48" t="s">
        <v>67</v>
      </c>
      <c r="B148" s="48" t="s">
        <v>1420</v>
      </c>
      <c r="C148" s="47" t="s">
        <v>1421</v>
      </c>
      <c r="D148" s="48" t="s">
        <v>1422</v>
      </c>
      <c r="E148" s="48" t="s">
        <v>1423</v>
      </c>
      <c r="F148" s="48" t="s">
        <v>1424</v>
      </c>
      <c r="G148" s="48" t="s">
        <v>1423</v>
      </c>
      <c r="H148" s="47" t="s">
        <v>1425</v>
      </c>
      <c r="I148" s="47" t="s">
        <v>1426</v>
      </c>
      <c r="J148" s="47" t="s">
        <v>26</v>
      </c>
    </row>
    <row r="149" ht="54" customHeight="1" spans="1:10">
      <c r="A149" s="48" t="s">
        <v>67</v>
      </c>
      <c r="B149" s="48" t="s">
        <v>1427</v>
      </c>
      <c r="C149" s="47" t="s">
        <v>950</v>
      </c>
      <c r="D149" s="48" t="s">
        <v>935</v>
      </c>
      <c r="E149" s="48" t="s">
        <v>936</v>
      </c>
      <c r="F149" s="48" t="s">
        <v>951</v>
      </c>
      <c r="G149" s="48" t="s">
        <v>952</v>
      </c>
      <c r="H149" s="47" t="s">
        <v>953</v>
      </c>
      <c r="I149" s="47" t="s">
        <v>954</v>
      </c>
      <c r="J149" s="47" t="s">
        <v>26</v>
      </c>
    </row>
    <row r="150" ht="54" customHeight="1" spans="1:10">
      <c r="A150" s="48" t="s">
        <v>67</v>
      </c>
      <c r="B150" s="48" t="s">
        <v>1428</v>
      </c>
      <c r="C150" s="47" t="s">
        <v>1429</v>
      </c>
      <c r="D150" s="48" t="s">
        <v>1430</v>
      </c>
      <c r="E150" s="48" t="s">
        <v>1431</v>
      </c>
      <c r="F150" s="48" t="s">
        <v>1432</v>
      </c>
      <c r="G150" s="48" t="s">
        <v>1433</v>
      </c>
      <c r="H150" s="47" t="s">
        <v>1434</v>
      </c>
      <c r="I150" s="47" t="s">
        <v>1435</v>
      </c>
      <c r="J150" s="47" t="s">
        <v>26</v>
      </c>
    </row>
    <row r="151" ht="54" customHeight="1" spans="1:10">
      <c r="A151" s="48" t="s">
        <v>67</v>
      </c>
      <c r="B151" s="48" t="s">
        <v>1436</v>
      </c>
      <c r="C151" s="47" t="s">
        <v>971</v>
      </c>
      <c r="D151" s="48" t="s">
        <v>965</v>
      </c>
      <c r="E151" s="48" t="s">
        <v>966</v>
      </c>
      <c r="F151" s="48" t="s">
        <v>972</v>
      </c>
      <c r="G151" s="48" t="s">
        <v>973</v>
      </c>
      <c r="H151" s="47" t="s">
        <v>974</v>
      </c>
      <c r="I151" s="47" t="s">
        <v>975</v>
      </c>
      <c r="J151" s="47" t="s">
        <v>26</v>
      </c>
    </row>
    <row r="152" ht="54" customHeight="1" spans="1:10">
      <c r="A152" s="48" t="s">
        <v>67</v>
      </c>
      <c r="B152" s="48" t="s">
        <v>1437</v>
      </c>
      <c r="C152" s="47" t="s">
        <v>1291</v>
      </c>
      <c r="D152" s="48" t="s">
        <v>965</v>
      </c>
      <c r="E152" s="48" t="s">
        <v>966</v>
      </c>
      <c r="F152" s="48" t="s">
        <v>1292</v>
      </c>
      <c r="G152" s="48" t="s">
        <v>1293</v>
      </c>
      <c r="H152" s="47" t="s">
        <v>1294</v>
      </c>
      <c r="I152" s="47" t="s">
        <v>1295</v>
      </c>
      <c r="J152" s="47" t="s">
        <v>26</v>
      </c>
    </row>
    <row r="153" ht="54" customHeight="1" spans="1:10">
      <c r="A153" s="48" t="s">
        <v>67</v>
      </c>
      <c r="B153" s="48" t="s">
        <v>1438</v>
      </c>
      <c r="C153" s="47" t="s">
        <v>1313</v>
      </c>
      <c r="D153" s="48" t="s">
        <v>1037</v>
      </c>
      <c r="E153" s="48" t="s">
        <v>1038</v>
      </c>
      <c r="F153" s="48" t="s">
        <v>1314</v>
      </c>
      <c r="G153" s="48" t="s">
        <v>1315</v>
      </c>
      <c r="H153" s="47" t="s">
        <v>1316</v>
      </c>
      <c r="I153" s="47" t="s">
        <v>1317</v>
      </c>
      <c r="J153" s="47" t="s">
        <v>26</v>
      </c>
    </row>
    <row r="154" ht="54" customHeight="1" spans="1:10">
      <c r="A154" s="48" t="s">
        <v>67</v>
      </c>
      <c r="B154" s="48" t="s">
        <v>1439</v>
      </c>
      <c r="C154" s="47" t="s">
        <v>1145</v>
      </c>
      <c r="D154" s="48" t="s">
        <v>1146</v>
      </c>
      <c r="E154" s="48" t="s">
        <v>1147</v>
      </c>
      <c r="F154" s="48" t="s">
        <v>1148</v>
      </c>
      <c r="G154" s="48" t="s">
        <v>1149</v>
      </c>
      <c r="H154" s="47" t="s">
        <v>1150</v>
      </c>
      <c r="I154" s="47" t="s">
        <v>1151</v>
      </c>
      <c r="J154" s="47" t="s">
        <v>26</v>
      </c>
    </row>
    <row r="155" ht="54" customHeight="1" spans="1:10">
      <c r="A155" s="48" t="s">
        <v>67</v>
      </c>
      <c r="B155" s="48" t="s">
        <v>1440</v>
      </c>
      <c r="C155" s="47" t="s">
        <v>1441</v>
      </c>
      <c r="D155" s="48" t="s">
        <v>1306</v>
      </c>
      <c r="E155" s="48" t="s">
        <v>1307</v>
      </c>
      <c r="F155" s="48" t="s">
        <v>1442</v>
      </c>
      <c r="G155" s="48" t="s">
        <v>1443</v>
      </c>
      <c r="H155" s="47" t="s">
        <v>1444</v>
      </c>
      <c r="I155" s="47" t="s">
        <v>1445</v>
      </c>
      <c r="J155" s="47" t="s">
        <v>26</v>
      </c>
    </row>
    <row r="156" ht="54" customHeight="1" spans="1:10">
      <c r="A156" s="48" t="s">
        <v>67</v>
      </c>
      <c r="B156" s="48" t="s">
        <v>1446</v>
      </c>
      <c r="C156" s="47" t="s">
        <v>1196</v>
      </c>
      <c r="D156" s="48" t="s">
        <v>1118</v>
      </c>
      <c r="E156" s="48" t="s">
        <v>1119</v>
      </c>
      <c r="F156" s="48" t="s">
        <v>1197</v>
      </c>
      <c r="G156" s="48" t="s">
        <v>1198</v>
      </c>
      <c r="H156" s="47" t="s">
        <v>1199</v>
      </c>
      <c r="I156" s="47" t="s">
        <v>1200</v>
      </c>
      <c r="J156" s="47" t="s">
        <v>26</v>
      </c>
    </row>
    <row r="157" ht="54" customHeight="1" spans="1:10">
      <c r="A157" s="48" t="s">
        <v>69</v>
      </c>
      <c r="B157" s="48" t="s">
        <v>1447</v>
      </c>
      <c r="C157" s="47" t="s">
        <v>934</v>
      </c>
      <c r="D157" s="48" t="s">
        <v>935</v>
      </c>
      <c r="E157" s="48" t="s">
        <v>936</v>
      </c>
      <c r="F157" s="48" t="s">
        <v>937</v>
      </c>
      <c r="G157" s="48" t="s">
        <v>938</v>
      </c>
      <c r="H157" s="47" t="s">
        <v>939</v>
      </c>
      <c r="I157" s="47" t="s">
        <v>940</v>
      </c>
      <c r="J157" s="47" t="s">
        <v>29</v>
      </c>
    </row>
    <row r="158" ht="54" customHeight="1" spans="1:10">
      <c r="A158" s="48" t="s">
        <v>69</v>
      </c>
      <c r="B158" s="48" t="s">
        <v>1448</v>
      </c>
      <c r="C158" s="47" t="s">
        <v>1421</v>
      </c>
      <c r="D158" s="48" t="s">
        <v>1422</v>
      </c>
      <c r="E158" s="48" t="s">
        <v>1423</v>
      </c>
      <c r="F158" s="48" t="s">
        <v>1424</v>
      </c>
      <c r="G158" s="48" t="s">
        <v>1423</v>
      </c>
      <c r="H158" s="47" t="s">
        <v>1425</v>
      </c>
      <c r="I158" s="47" t="s">
        <v>1426</v>
      </c>
      <c r="J158" s="47" t="s">
        <v>29</v>
      </c>
    </row>
    <row r="159" ht="54" customHeight="1" spans="1:10">
      <c r="A159" s="48" t="s">
        <v>69</v>
      </c>
      <c r="B159" s="48" t="s">
        <v>1449</v>
      </c>
      <c r="C159" s="47" t="s">
        <v>950</v>
      </c>
      <c r="D159" s="48" t="s">
        <v>935</v>
      </c>
      <c r="E159" s="48" t="s">
        <v>936</v>
      </c>
      <c r="F159" s="48" t="s">
        <v>951</v>
      </c>
      <c r="G159" s="48" t="s">
        <v>952</v>
      </c>
      <c r="H159" s="47" t="s">
        <v>953</v>
      </c>
      <c r="I159" s="47" t="s">
        <v>954</v>
      </c>
      <c r="J159" s="47" t="s">
        <v>29</v>
      </c>
    </row>
    <row r="160" ht="54" customHeight="1" spans="1:10">
      <c r="A160" s="48" t="s">
        <v>69</v>
      </c>
      <c r="B160" s="48" t="s">
        <v>1450</v>
      </c>
      <c r="C160" s="47" t="s">
        <v>956</v>
      </c>
      <c r="D160" s="48" t="s">
        <v>957</v>
      </c>
      <c r="E160" s="48" t="s">
        <v>958</v>
      </c>
      <c r="F160" s="48" t="s">
        <v>959</v>
      </c>
      <c r="G160" s="48" t="s">
        <v>960</v>
      </c>
      <c r="H160" s="47" t="s">
        <v>961</v>
      </c>
      <c r="I160" s="47" t="s">
        <v>962</v>
      </c>
      <c r="J160" s="47" t="s">
        <v>29</v>
      </c>
    </row>
    <row r="161" ht="54" customHeight="1" spans="1:10">
      <c r="A161" s="48" t="s">
        <v>69</v>
      </c>
      <c r="B161" s="48" t="s">
        <v>1451</v>
      </c>
      <c r="C161" s="47" t="s">
        <v>1058</v>
      </c>
      <c r="D161" s="48" t="s">
        <v>1059</v>
      </c>
      <c r="E161" s="48" t="s">
        <v>1060</v>
      </c>
      <c r="F161" s="48" t="s">
        <v>1061</v>
      </c>
      <c r="G161" s="48" t="s">
        <v>1062</v>
      </c>
      <c r="H161" s="47" t="s">
        <v>1063</v>
      </c>
      <c r="I161" s="47" t="s">
        <v>1064</v>
      </c>
      <c r="J161" s="47" t="s">
        <v>29</v>
      </c>
    </row>
    <row r="162" ht="54" customHeight="1" spans="1:10">
      <c r="A162" s="48" t="s">
        <v>69</v>
      </c>
      <c r="B162" s="48" t="s">
        <v>1452</v>
      </c>
      <c r="C162" s="47" t="s">
        <v>1277</v>
      </c>
      <c r="D162" s="48" t="s">
        <v>1278</v>
      </c>
      <c r="E162" s="48" t="s">
        <v>1279</v>
      </c>
      <c r="F162" s="48" t="s">
        <v>1280</v>
      </c>
      <c r="G162" s="48" t="s">
        <v>1281</v>
      </c>
      <c r="H162" s="47" t="s">
        <v>1282</v>
      </c>
      <c r="I162" s="47" t="s">
        <v>1283</v>
      </c>
      <c r="J162" s="47" t="s">
        <v>29</v>
      </c>
    </row>
    <row r="163" ht="54" customHeight="1" spans="1:10">
      <c r="A163" s="48" t="s">
        <v>69</v>
      </c>
      <c r="B163" s="48" t="s">
        <v>1453</v>
      </c>
      <c r="C163" s="47" t="s">
        <v>1375</v>
      </c>
      <c r="D163" s="48" t="s">
        <v>1098</v>
      </c>
      <c r="E163" s="48" t="s">
        <v>1099</v>
      </c>
      <c r="F163" s="48" t="s">
        <v>1376</v>
      </c>
      <c r="G163" s="48" t="s">
        <v>1377</v>
      </c>
      <c r="H163" s="47" t="s">
        <v>1378</v>
      </c>
      <c r="I163" s="47" t="s">
        <v>1379</v>
      </c>
      <c r="J163" s="47" t="s">
        <v>29</v>
      </c>
    </row>
    <row r="164" ht="54" customHeight="1" spans="1:10">
      <c r="A164" s="48" t="s">
        <v>69</v>
      </c>
      <c r="B164" s="48" t="s">
        <v>1454</v>
      </c>
      <c r="C164" s="47" t="s">
        <v>1388</v>
      </c>
      <c r="D164" s="48" t="s">
        <v>1037</v>
      </c>
      <c r="E164" s="48" t="s">
        <v>1038</v>
      </c>
      <c r="F164" s="48" t="s">
        <v>1389</v>
      </c>
      <c r="G164" s="48" t="s">
        <v>1390</v>
      </c>
      <c r="H164" s="47" t="s">
        <v>1391</v>
      </c>
      <c r="I164" s="47" t="s">
        <v>1392</v>
      </c>
      <c r="J164" s="47" t="s">
        <v>29</v>
      </c>
    </row>
    <row r="165" ht="54" customHeight="1" spans="1:10">
      <c r="A165" s="48" t="s">
        <v>69</v>
      </c>
      <c r="B165" s="48" t="s">
        <v>1455</v>
      </c>
      <c r="C165" s="47" t="s">
        <v>1117</v>
      </c>
      <c r="D165" s="48" t="s">
        <v>1118</v>
      </c>
      <c r="E165" s="48" t="s">
        <v>1119</v>
      </c>
      <c r="F165" s="48" t="s">
        <v>1120</v>
      </c>
      <c r="G165" s="48" t="s">
        <v>1121</v>
      </c>
      <c r="H165" s="47" t="s">
        <v>1122</v>
      </c>
      <c r="I165" s="47" t="s">
        <v>1123</v>
      </c>
      <c r="J165" s="47" t="s">
        <v>29</v>
      </c>
    </row>
    <row r="166" ht="54" customHeight="1" spans="1:10">
      <c r="A166" s="48" t="s">
        <v>69</v>
      </c>
      <c r="B166" s="48" t="s">
        <v>1456</v>
      </c>
      <c r="C166" s="47" t="s">
        <v>971</v>
      </c>
      <c r="D166" s="48" t="s">
        <v>965</v>
      </c>
      <c r="E166" s="48" t="s">
        <v>966</v>
      </c>
      <c r="F166" s="48" t="s">
        <v>972</v>
      </c>
      <c r="G166" s="48" t="s">
        <v>973</v>
      </c>
      <c r="H166" s="47" t="s">
        <v>974</v>
      </c>
      <c r="I166" s="47" t="s">
        <v>975</v>
      </c>
      <c r="J166" s="47" t="s">
        <v>29</v>
      </c>
    </row>
    <row r="167" ht="54" customHeight="1" spans="1:10">
      <c r="A167" s="48" t="s">
        <v>71</v>
      </c>
      <c r="B167" s="48" t="s">
        <v>1457</v>
      </c>
      <c r="C167" s="47" t="s">
        <v>1022</v>
      </c>
      <c r="D167" s="48" t="s">
        <v>957</v>
      </c>
      <c r="E167" s="48" t="s">
        <v>958</v>
      </c>
      <c r="F167" s="48" t="s">
        <v>1023</v>
      </c>
      <c r="G167" s="48" t="s">
        <v>1024</v>
      </c>
      <c r="H167" s="47" t="s">
        <v>1025</v>
      </c>
      <c r="I167" s="47" t="s">
        <v>1026</v>
      </c>
      <c r="J167" s="47" t="s">
        <v>26</v>
      </c>
    </row>
    <row r="168" ht="54" customHeight="1" spans="1:10">
      <c r="A168" s="48" t="s">
        <v>71</v>
      </c>
      <c r="B168" s="48" t="s">
        <v>1458</v>
      </c>
      <c r="C168" s="47" t="s">
        <v>1459</v>
      </c>
      <c r="D168" s="48" t="s">
        <v>957</v>
      </c>
      <c r="E168" s="48" t="s">
        <v>958</v>
      </c>
      <c r="F168" s="48" t="s">
        <v>1460</v>
      </c>
      <c r="G168" s="48" t="s">
        <v>1461</v>
      </c>
      <c r="H168" s="47" t="s">
        <v>1462</v>
      </c>
      <c r="I168" s="47" t="s">
        <v>1463</v>
      </c>
      <c r="J168" s="47" t="s">
        <v>26</v>
      </c>
    </row>
    <row r="169" ht="54" customHeight="1" spans="1:10">
      <c r="A169" s="48" t="s">
        <v>71</v>
      </c>
      <c r="B169" s="48" t="s">
        <v>1464</v>
      </c>
      <c r="C169" s="47" t="s">
        <v>1081</v>
      </c>
      <c r="D169" s="48" t="s">
        <v>1082</v>
      </c>
      <c r="E169" s="48" t="s">
        <v>1083</v>
      </c>
      <c r="F169" s="48" t="s">
        <v>1084</v>
      </c>
      <c r="G169" s="48" t="s">
        <v>1085</v>
      </c>
      <c r="H169" s="47" t="s">
        <v>1086</v>
      </c>
      <c r="I169" s="47" t="s">
        <v>1087</v>
      </c>
      <c r="J169" s="47" t="s">
        <v>26</v>
      </c>
    </row>
    <row r="170" ht="54" customHeight="1" spans="1:10">
      <c r="A170" s="48" t="s">
        <v>71</v>
      </c>
      <c r="B170" s="48" t="s">
        <v>1465</v>
      </c>
      <c r="C170" s="47" t="s">
        <v>1089</v>
      </c>
      <c r="D170" s="48" t="s">
        <v>957</v>
      </c>
      <c r="E170" s="48" t="s">
        <v>958</v>
      </c>
      <c r="F170" s="48" t="s">
        <v>1090</v>
      </c>
      <c r="G170" s="48" t="s">
        <v>1091</v>
      </c>
      <c r="H170" s="47" t="s">
        <v>1092</v>
      </c>
      <c r="I170" s="47" t="s">
        <v>1093</v>
      </c>
      <c r="J170" s="47" t="s">
        <v>26</v>
      </c>
    </row>
    <row r="171" ht="54" customHeight="1" spans="1:10">
      <c r="A171" s="48" t="s">
        <v>71</v>
      </c>
      <c r="B171" s="48" t="s">
        <v>1466</v>
      </c>
      <c r="C171" s="47" t="s">
        <v>956</v>
      </c>
      <c r="D171" s="48" t="s">
        <v>957</v>
      </c>
      <c r="E171" s="48" t="s">
        <v>958</v>
      </c>
      <c r="F171" s="48" t="s">
        <v>959</v>
      </c>
      <c r="G171" s="48" t="s">
        <v>960</v>
      </c>
      <c r="H171" s="47" t="s">
        <v>961</v>
      </c>
      <c r="I171" s="47" t="s">
        <v>962</v>
      </c>
      <c r="J171" s="47" t="s">
        <v>26</v>
      </c>
    </row>
    <row r="172" ht="54" customHeight="1" spans="1:10">
      <c r="A172" s="48" t="s">
        <v>71</v>
      </c>
      <c r="B172" s="48" t="s">
        <v>1467</v>
      </c>
      <c r="C172" s="47" t="s">
        <v>1097</v>
      </c>
      <c r="D172" s="48" t="s">
        <v>1098</v>
      </c>
      <c r="E172" s="48" t="s">
        <v>1099</v>
      </c>
      <c r="F172" s="48" t="s">
        <v>1100</v>
      </c>
      <c r="G172" s="48" t="s">
        <v>1101</v>
      </c>
      <c r="H172" s="47" t="s">
        <v>1102</v>
      </c>
      <c r="I172" s="47" t="s">
        <v>1103</v>
      </c>
      <c r="J172" s="47" t="s">
        <v>26</v>
      </c>
    </row>
    <row r="173" ht="54" customHeight="1" spans="1:10">
      <c r="A173" s="48" t="s">
        <v>71</v>
      </c>
      <c r="B173" s="48" t="s">
        <v>1468</v>
      </c>
      <c r="C173" s="47" t="s">
        <v>1469</v>
      </c>
      <c r="D173" s="48" t="s">
        <v>957</v>
      </c>
      <c r="E173" s="48" t="s">
        <v>958</v>
      </c>
      <c r="F173" s="48" t="s">
        <v>1470</v>
      </c>
      <c r="G173" s="48" t="s">
        <v>1471</v>
      </c>
      <c r="H173" s="47" t="s">
        <v>1472</v>
      </c>
      <c r="I173" s="47" t="s">
        <v>1473</v>
      </c>
      <c r="J173" s="47" t="s">
        <v>26</v>
      </c>
    </row>
    <row r="174" ht="54" customHeight="1" spans="1:10">
      <c r="A174" s="48" t="s">
        <v>71</v>
      </c>
      <c r="B174" s="48" t="s">
        <v>1474</v>
      </c>
      <c r="C174" s="47" t="s">
        <v>1277</v>
      </c>
      <c r="D174" s="48" t="s">
        <v>1278</v>
      </c>
      <c r="E174" s="48" t="s">
        <v>1279</v>
      </c>
      <c r="F174" s="48" t="s">
        <v>1280</v>
      </c>
      <c r="G174" s="48" t="s">
        <v>1281</v>
      </c>
      <c r="H174" s="47" t="s">
        <v>1282</v>
      </c>
      <c r="I174" s="47" t="s">
        <v>1283</v>
      </c>
      <c r="J174" s="47" t="s">
        <v>26</v>
      </c>
    </row>
    <row r="175" ht="54" customHeight="1" spans="1:10">
      <c r="A175" s="48" t="s">
        <v>71</v>
      </c>
      <c r="B175" s="48" t="s">
        <v>1475</v>
      </c>
      <c r="C175" s="47" t="s">
        <v>1066</v>
      </c>
      <c r="D175" s="48" t="s">
        <v>935</v>
      </c>
      <c r="E175" s="48" t="s">
        <v>936</v>
      </c>
      <c r="F175" s="48" t="s">
        <v>1067</v>
      </c>
      <c r="G175" s="48" t="s">
        <v>1068</v>
      </c>
      <c r="H175" s="47" t="s">
        <v>1069</v>
      </c>
      <c r="I175" s="47" t="s">
        <v>940</v>
      </c>
      <c r="J175" s="47" t="s">
        <v>26</v>
      </c>
    </row>
    <row r="176" ht="54" customHeight="1" spans="1:10">
      <c r="A176" s="48" t="s">
        <v>71</v>
      </c>
      <c r="B176" s="48" t="s">
        <v>1476</v>
      </c>
      <c r="C176" s="47" t="s">
        <v>1252</v>
      </c>
      <c r="D176" s="48" t="s">
        <v>1001</v>
      </c>
      <c r="E176" s="48" t="s">
        <v>1002</v>
      </c>
      <c r="F176" s="48" t="s">
        <v>1253</v>
      </c>
      <c r="G176" s="48" t="s">
        <v>1254</v>
      </c>
      <c r="H176" s="47" t="s">
        <v>1255</v>
      </c>
      <c r="I176" s="47" t="s">
        <v>1256</v>
      </c>
      <c r="J176" s="47" t="s">
        <v>26</v>
      </c>
    </row>
    <row r="177" ht="54" customHeight="1" spans="1:10">
      <c r="A177" s="48" t="s">
        <v>73</v>
      </c>
      <c r="B177" s="48" t="s">
        <v>1477</v>
      </c>
      <c r="C177" s="47" t="s">
        <v>985</v>
      </c>
      <c r="D177" s="48" t="s">
        <v>986</v>
      </c>
      <c r="E177" s="48" t="s">
        <v>987</v>
      </c>
      <c r="F177" s="48" t="s">
        <v>988</v>
      </c>
      <c r="G177" s="48" t="s">
        <v>987</v>
      </c>
      <c r="H177" s="47" t="s">
        <v>989</v>
      </c>
      <c r="I177" s="47" t="s">
        <v>990</v>
      </c>
      <c r="J177" s="47" t="s">
        <v>26</v>
      </c>
    </row>
    <row r="178" ht="54" customHeight="1" spans="1:10">
      <c r="A178" s="48" t="s">
        <v>73</v>
      </c>
      <c r="B178" s="48" t="s">
        <v>1478</v>
      </c>
      <c r="C178" s="47" t="s">
        <v>934</v>
      </c>
      <c r="D178" s="48" t="s">
        <v>935</v>
      </c>
      <c r="E178" s="48" t="s">
        <v>936</v>
      </c>
      <c r="F178" s="48" t="s">
        <v>937</v>
      </c>
      <c r="G178" s="48" t="s">
        <v>938</v>
      </c>
      <c r="H178" s="47" t="s">
        <v>939</v>
      </c>
      <c r="I178" s="47" t="s">
        <v>940</v>
      </c>
      <c r="J178" s="47" t="s">
        <v>26</v>
      </c>
    </row>
    <row r="179" ht="54" customHeight="1" spans="1:10">
      <c r="A179" s="48" t="s">
        <v>73</v>
      </c>
      <c r="B179" s="48" t="s">
        <v>1479</v>
      </c>
      <c r="C179" s="47" t="s">
        <v>1480</v>
      </c>
      <c r="D179" s="48" t="s">
        <v>1001</v>
      </c>
      <c r="E179" s="48" t="s">
        <v>1002</v>
      </c>
      <c r="F179" s="48" t="s">
        <v>1481</v>
      </c>
      <c r="G179" s="48" t="s">
        <v>1482</v>
      </c>
      <c r="H179" s="47" t="s">
        <v>1483</v>
      </c>
      <c r="I179" s="47" t="s">
        <v>1484</v>
      </c>
      <c r="J179" s="47" t="s">
        <v>26</v>
      </c>
    </row>
    <row r="180" ht="54" customHeight="1" spans="1:10">
      <c r="A180" s="48" t="s">
        <v>73</v>
      </c>
      <c r="B180" s="48" t="s">
        <v>1485</v>
      </c>
      <c r="C180" s="47" t="s">
        <v>1022</v>
      </c>
      <c r="D180" s="48" t="s">
        <v>957</v>
      </c>
      <c r="E180" s="48" t="s">
        <v>958</v>
      </c>
      <c r="F180" s="48" t="s">
        <v>1023</v>
      </c>
      <c r="G180" s="48" t="s">
        <v>1024</v>
      </c>
      <c r="H180" s="47" t="s">
        <v>1025</v>
      </c>
      <c r="I180" s="47" t="s">
        <v>1026</v>
      </c>
      <c r="J180" s="47" t="s">
        <v>26</v>
      </c>
    </row>
    <row r="181" ht="54" customHeight="1" spans="1:10">
      <c r="A181" s="48" t="s">
        <v>73</v>
      </c>
      <c r="B181" s="48" t="s">
        <v>1486</v>
      </c>
      <c r="C181" s="47" t="s">
        <v>1089</v>
      </c>
      <c r="D181" s="48" t="s">
        <v>957</v>
      </c>
      <c r="E181" s="48" t="s">
        <v>958</v>
      </c>
      <c r="F181" s="48" t="s">
        <v>1090</v>
      </c>
      <c r="G181" s="48" t="s">
        <v>1091</v>
      </c>
      <c r="H181" s="47" t="s">
        <v>1092</v>
      </c>
      <c r="I181" s="47" t="s">
        <v>1093</v>
      </c>
      <c r="J181" s="47" t="s">
        <v>26</v>
      </c>
    </row>
    <row r="182" ht="54" customHeight="1" spans="1:10">
      <c r="A182" s="48" t="s">
        <v>73</v>
      </c>
      <c r="B182" s="48" t="s">
        <v>1487</v>
      </c>
      <c r="C182" s="47" t="s">
        <v>950</v>
      </c>
      <c r="D182" s="48" t="s">
        <v>935</v>
      </c>
      <c r="E182" s="48" t="s">
        <v>936</v>
      </c>
      <c r="F182" s="48" t="s">
        <v>951</v>
      </c>
      <c r="G182" s="48" t="s">
        <v>952</v>
      </c>
      <c r="H182" s="47" t="s">
        <v>953</v>
      </c>
      <c r="I182" s="47" t="s">
        <v>954</v>
      </c>
      <c r="J182" s="47" t="s">
        <v>26</v>
      </c>
    </row>
    <row r="183" ht="54" customHeight="1" spans="1:10">
      <c r="A183" s="48" t="s">
        <v>73</v>
      </c>
      <c r="B183" s="48" t="s">
        <v>1488</v>
      </c>
      <c r="C183" s="47" t="s">
        <v>956</v>
      </c>
      <c r="D183" s="48" t="s">
        <v>957</v>
      </c>
      <c r="E183" s="48" t="s">
        <v>958</v>
      </c>
      <c r="F183" s="48" t="s">
        <v>959</v>
      </c>
      <c r="G183" s="48" t="s">
        <v>960</v>
      </c>
      <c r="H183" s="47" t="s">
        <v>961</v>
      </c>
      <c r="I183" s="47" t="s">
        <v>962</v>
      </c>
      <c r="J183" s="47" t="s">
        <v>26</v>
      </c>
    </row>
    <row r="184" ht="54" customHeight="1" spans="1:10">
      <c r="A184" s="48" t="s">
        <v>73</v>
      </c>
      <c r="B184" s="48" t="s">
        <v>1489</v>
      </c>
      <c r="C184" s="47" t="s">
        <v>1052</v>
      </c>
      <c r="D184" s="48" t="s">
        <v>1009</v>
      </c>
      <c r="E184" s="48" t="s">
        <v>1010</v>
      </c>
      <c r="F184" s="48" t="s">
        <v>1053</v>
      </c>
      <c r="G184" s="48" t="s">
        <v>1054</v>
      </c>
      <c r="H184" s="47" t="s">
        <v>1055</v>
      </c>
      <c r="I184" s="47" t="s">
        <v>1056</v>
      </c>
      <c r="J184" s="47" t="s">
        <v>26</v>
      </c>
    </row>
    <row r="185" ht="54" customHeight="1" spans="1:10">
      <c r="A185" s="48" t="s">
        <v>73</v>
      </c>
      <c r="B185" s="48" t="s">
        <v>1490</v>
      </c>
      <c r="C185" s="47" t="s">
        <v>1297</v>
      </c>
      <c r="D185" s="48" t="s">
        <v>1009</v>
      </c>
      <c r="E185" s="48" t="s">
        <v>1010</v>
      </c>
      <c r="F185" s="48" t="s">
        <v>1298</v>
      </c>
      <c r="G185" s="48" t="s">
        <v>1299</v>
      </c>
      <c r="H185" s="47" t="s">
        <v>1300</v>
      </c>
      <c r="I185" s="47" t="s">
        <v>1301</v>
      </c>
      <c r="J185" s="47" t="s">
        <v>26</v>
      </c>
    </row>
    <row r="186" ht="54" customHeight="1" spans="1:10">
      <c r="A186" s="48" t="s">
        <v>73</v>
      </c>
      <c r="B186" s="48" t="s">
        <v>1491</v>
      </c>
      <c r="C186" s="47" t="s">
        <v>1097</v>
      </c>
      <c r="D186" s="48" t="s">
        <v>1098</v>
      </c>
      <c r="E186" s="48" t="s">
        <v>1099</v>
      </c>
      <c r="F186" s="48" t="s">
        <v>1100</v>
      </c>
      <c r="G186" s="48" t="s">
        <v>1101</v>
      </c>
      <c r="H186" s="47" t="s">
        <v>1102</v>
      </c>
      <c r="I186" s="47" t="s">
        <v>1103</v>
      </c>
      <c r="J186" s="47" t="s">
        <v>26</v>
      </c>
    </row>
    <row r="187" ht="54" customHeight="1" spans="1:10">
      <c r="A187" s="48" t="s">
        <v>75</v>
      </c>
      <c r="B187" s="48" t="s">
        <v>1492</v>
      </c>
      <c r="C187" s="47" t="s">
        <v>934</v>
      </c>
      <c r="D187" s="48" t="s">
        <v>935</v>
      </c>
      <c r="E187" s="48" t="s">
        <v>936</v>
      </c>
      <c r="F187" s="48" t="s">
        <v>937</v>
      </c>
      <c r="G187" s="48" t="s">
        <v>938</v>
      </c>
      <c r="H187" s="47" t="s">
        <v>939</v>
      </c>
      <c r="I187" s="47" t="s">
        <v>940</v>
      </c>
      <c r="J187" s="47" t="s">
        <v>26</v>
      </c>
    </row>
    <row r="188" ht="54" customHeight="1" spans="1:10">
      <c r="A188" s="48" t="s">
        <v>75</v>
      </c>
      <c r="B188" s="48" t="s">
        <v>1493</v>
      </c>
      <c r="C188" s="47" t="s">
        <v>992</v>
      </c>
      <c r="D188" s="48" t="s">
        <v>993</v>
      </c>
      <c r="E188" s="48" t="s">
        <v>994</v>
      </c>
      <c r="F188" s="48" t="s">
        <v>995</v>
      </c>
      <c r="G188" s="48" t="s">
        <v>996</v>
      </c>
      <c r="H188" s="47" t="s">
        <v>997</v>
      </c>
      <c r="I188" s="47" t="s">
        <v>998</v>
      </c>
      <c r="J188" s="47" t="s">
        <v>26</v>
      </c>
    </row>
    <row r="189" ht="54" customHeight="1" spans="1:10">
      <c r="A189" s="48" t="s">
        <v>75</v>
      </c>
      <c r="B189" s="48" t="s">
        <v>1494</v>
      </c>
      <c r="C189" s="47" t="s">
        <v>950</v>
      </c>
      <c r="D189" s="48" t="s">
        <v>935</v>
      </c>
      <c r="E189" s="48" t="s">
        <v>936</v>
      </c>
      <c r="F189" s="48" t="s">
        <v>951</v>
      </c>
      <c r="G189" s="48" t="s">
        <v>952</v>
      </c>
      <c r="H189" s="47" t="s">
        <v>953</v>
      </c>
      <c r="I189" s="47" t="s">
        <v>954</v>
      </c>
      <c r="J189" s="47" t="s">
        <v>26</v>
      </c>
    </row>
    <row r="190" ht="54" customHeight="1" spans="1:10">
      <c r="A190" s="48" t="s">
        <v>75</v>
      </c>
      <c r="B190" s="48" t="s">
        <v>1495</v>
      </c>
      <c r="C190" s="47" t="s">
        <v>1388</v>
      </c>
      <c r="D190" s="48" t="s">
        <v>1037</v>
      </c>
      <c r="E190" s="48" t="s">
        <v>1038</v>
      </c>
      <c r="F190" s="48" t="s">
        <v>1389</v>
      </c>
      <c r="G190" s="48" t="s">
        <v>1390</v>
      </c>
      <c r="H190" s="47" t="s">
        <v>1391</v>
      </c>
      <c r="I190" s="47" t="s">
        <v>1392</v>
      </c>
      <c r="J190" s="47" t="s">
        <v>26</v>
      </c>
    </row>
    <row r="191" ht="54" customHeight="1" spans="1:10">
      <c r="A191" s="48" t="s">
        <v>75</v>
      </c>
      <c r="B191" s="48" t="s">
        <v>1496</v>
      </c>
      <c r="C191" s="47" t="s">
        <v>1252</v>
      </c>
      <c r="D191" s="48" t="s">
        <v>1001</v>
      </c>
      <c r="E191" s="48" t="s">
        <v>1002</v>
      </c>
      <c r="F191" s="48" t="s">
        <v>1253</v>
      </c>
      <c r="G191" s="48" t="s">
        <v>1254</v>
      </c>
      <c r="H191" s="47" t="s">
        <v>1255</v>
      </c>
      <c r="I191" s="47" t="s">
        <v>1256</v>
      </c>
      <c r="J191" s="47" t="s">
        <v>26</v>
      </c>
    </row>
    <row r="192" ht="54" customHeight="1" spans="1:10">
      <c r="A192" s="48" t="s">
        <v>75</v>
      </c>
      <c r="B192" s="48" t="s">
        <v>1497</v>
      </c>
      <c r="C192" s="47" t="s">
        <v>1285</v>
      </c>
      <c r="D192" s="48" t="s">
        <v>965</v>
      </c>
      <c r="E192" s="48" t="s">
        <v>966</v>
      </c>
      <c r="F192" s="48" t="s">
        <v>1286</v>
      </c>
      <c r="G192" s="48" t="s">
        <v>1287</v>
      </c>
      <c r="H192" s="47" t="s">
        <v>1288</v>
      </c>
      <c r="I192" s="47" t="s">
        <v>1289</v>
      </c>
      <c r="J192" s="47" t="s">
        <v>26</v>
      </c>
    </row>
    <row r="193" ht="54" customHeight="1" spans="1:10">
      <c r="A193" s="48" t="s">
        <v>75</v>
      </c>
      <c r="B193" s="48" t="s">
        <v>1498</v>
      </c>
      <c r="C193" s="47" t="s">
        <v>971</v>
      </c>
      <c r="D193" s="48" t="s">
        <v>965</v>
      </c>
      <c r="E193" s="48" t="s">
        <v>966</v>
      </c>
      <c r="F193" s="48" t="s">
        <v>972</v>
      </c>
      <c r="G193" s="48" t="s">
        <v>973</v>
      </c>
      <c r="H193" s="47" t="s">
        <v>974</v>
      </c>
      <c r="I193" s="47" t="s">
        <v>975</v>
      </c>
      <c r="J193" s="47" t="s">
        <v>26</v>
      </c>
    </row>
    <row r="194" ht="54" customHeight="1" spans="1:10">
      <c r="A194" s="48" t="s">
        <v>75</v>
      </c>
      <c r="B194" s="48" t="s">
        <v>1499</v>
      </c>
      <c r="C194" s="47" t="s">
        <v>1291</v>
      </c>
      <c r="D194" s="48" t="s">
        <v>965</v>
      </c>
      <c r="E194" s="48" t="s">
        <v>966</v>
      </c>
      <c r="F194" s="48" t="s">
        <v>1292</v>
      </c>
      <c r="G194" s="48" t="s">
        <v>1293</v>
      </c>
      <c r="H194" s="47" t="s">
        <v>1294</v>
      </c>
      <c r="I194" s="47" t="s">
        <v>1295</v>
      </c>
      <c r="J194" s="47" t="s">
        <v>26</v>
      </c>
    </row>
    <row r="195" ht="54" customHeight="1" spans="1:10">
      <c r="A195" s="48" t="s">
        <v>75</v>
      </c>
      <c r="B195" s="48" t="s">
        <v>1500</v>
      </c>
      <c r="C195" s="47" t="s">
        <v>1305</v>
      </c>
      <c r="D195" s="48" t="s">
        <v>1306</v>
      </c>
      <c r="E195" s="48" t="s">
        <v>1307</v>
      </c>
      <c r="F195" s="48" t="s">
        <v>1308</v>
      </c>
      <c r="G195" s="48" t="s">
        <v>1309</v>
      </c>
      <c r="H195" s="47" t="s">
        <v>1310</v>
      </c>
      <c r="I195" s="47" t="s">
        <v>1311</v>
      </c>
      <c r="J195" s="47" t="s">
        <v>26</v>
      </c>
    </row>
    <row r="196" ht="54" customHeight="1" spans="1:10">
      <c r="A196" s="48" t="s">
        <v>75</v>
      </c>
      <c r="B196" s="48" t="s">
        <v>1501</v>
      </c>
      <c r="C196" s="47" t="s">
        <v>1313</v>
      </c>
      <c r="D196" s="48" t="s">
        <v>1037</v>
      </c>
      <c r="E196" s="48" t="s">
        <v>1038</v>
      </c>
      <c r="F196" s="48" t="s">
        <v>1314</v>
      </c>
      <c r="G196" s="48" t="s">
        <v>1315</v>
      </c>
      <c r="H196" s="47" t="s">
        <v>1316</v>
      </c>
      <c r="I196" s="47" t="s">
        <v>1317</v>
      </c>
      <c r="J196" s="47" t="s">
        <v>26</v>
      </c>
    </row>
    <row r="197" ht="54" customHeight="1" spans="1:10">
      <c r="A197" s="48" t="s">
        <v>75</v>
      </c>
      <c r="B197" s="48" t="s">
        <v>1502</v>
      </c>
      <c r="C197" s="47" t="s">
        <v>1159</v>
      </c>
      <c r="D197" s="48" t="s">
        <v>1146</v>
      </c>
      <c r="E197" s="48" t="s">
        <v>1147</v>
      </c>
      <c r="F197" s="48" t="s">
        <v>1160</v>
      </c>
      <c r="G197" s="48" t="s">
        <v>1161</v>
      </c>
      <c r="H197" s="47" t="s">
        <v>1162</v>
      </c>
      <c r="I197" s="47" t="s">
        <v>1151</v>
      </c>
      <c r="J197" s="47" t="s">
        <v>26</v>
      </c>
    </row>
    <row r="198" ht="54" customHeight="1" spans="1:10">
      <c r="A198" s="48" t="s">
        <v>75</v>
      </c>
      <c r="B198" s="48" t="s">
        <v>1503</v>
      </c>
      <c r="C198" s="47" t="s">
        <v>1235</v>
      </c>
      <c r="D198" s="48" t="s">
        <v>1118</v>
      </c>
      <c r="E198" s="48" t="s">
        <v>1119</v>
      </c>
      <c r="F198" s="48" t="s">
        <v>1236</v>
      </c>
      <c r="G198" s="48" t="s">
        <v>1237</v>
      </c>
      <c r="H198" s="47" t="s">
        <v>1238</v>
      </c>
      <c r="I198" s="47" t="s">
        <v>1239</v>
      </c>
      <c r="J198" s="47" t="s">
        <v>26</v>
      </c>
    </row>
    <row r="199" ht="54" customHeight="1" spans="1:10">
      <c r="A199" s="48" t="s">
        <v>77</v>
      </c>
      <c r="B199" s="48" t="s">
        <v>1504</v>
      </c>
      <c r="C199" s="47" t="s">
        <v>1505</v>
      </c>
      <c r="D199" s="48" t="s">
        <v>1506</v>
      </c>
      <c r="E199" s="48" t="s">
        <v>1507</v>
      </c>
      <c r="F199" s="48" t="s">
        <v>1508</v>
      </c>
      <c r="G199" s="48" t="s">
        <v>1507</v>
      </c>
      <c r="H199" s="47" t="s">
        <v>1509</v>
      </c>
      <c r="I199" s="47" t="s">
        <v>1510</v>
      </c>
      <c r="J199" s="47" t="s">
        <v>26</v>
      </c>
    </row>
    <row r="200" ht="54" customHeight="1" spans="1:10">
      <c r="A200" s="48" t="s">
        <v>77</v>
      </c>
      <c r="B200" s="48" t="s">
        <v>1511</v>
      </c>
      <c r="C200" s="47" t="s">
        <v>1362</v>
      </c>
      <c r="D200" s="48" t="s">
        <v>1059</v>
      </c>
      <c r="E200" s="48" t="s">
        <v>1060</v>
      </c>
      <c r="F200" s="48" t="s">
        <v>1363</v>
      </c>
      <c r="G200" s="48" t="s">
        <v>1364</v>
      </c>
      <c r="H200" s="47" t="s">
        <v>1365</v>
      </c>
      <c r="I200" s="47" t="s">
        <v>1366</v>
      </c>
      <c r="J200" s="47" t="s">
        <v>26</v>
      </c>
    </row>
    <row r="201" ht="54" customHeight="1" spans="1:10">
      <c r="A201" s="48" t="s">
        <v>77</v>
      </c>
      <c r="B201" s="48" t="s">
        <v>1512</v>
      </c>
      <c r="C201" s="47" t="s">
        <v>1216</v>
      </c>
      <c r="D201" s="48" t="s">
        <v>993</v>
      </c>
      <c r="E201" s="48" t="s">
        <v>994</v>
      </c>
      <c r="F201" s="48" t="s">
        <v>1217</v>
      </c>
      <c r="G201" s="48" t="s">
        <v>1218</v>
      </c>
      <c r="H201" s="47" t="s">
        <v>1219</v>
      </c>
      <c r="I201" s="47" t="s">
        <v>1220</v>
      </c>
      <c r="J201" s="47" t="s">
        <v>26</v>
      </c>
    </row>
    <row r="202" ht="54" customHeight="1" spans="1:10">
      <c r="A202" s="48" t="s">
        <v>77</v>
      </c>
      <c r="B202" s="48" t="s">
        <v>1513</v>
      </c>
      <c r="C202" s="47" t="s">
        <v>1145</v>
      </c>
      <c r="D202" s="48" t="s">
        <v>1146</v>
      </c>
      <c r="E202" s="48" t="s">
        <v>1147</v>
      </c>
      <c r="F202" s="48" t="s">
        <v>1148</v>
      </c>
      <c r="G202" s="48" t="s">
        <v>1149</v>
      </c>
      <c r="H202" s="47" t="s">
        <v>1150</v>
      </c>
      <c r="I202" s="47" t="s">
        <v>1151</v>
      </c>
      <c r="J202" s="47" t="s">
        <v>26</v>
      </c>
    </row>
    <row r="203" ht="54" customHeight="1" spans="1:10">
      <c r="A203" s="48" t="s">
        <v>77</v>
      </c>
      <c r="B203" s="48" t="s">
        <v>1514</v>
      </c>
      <c r="C203" s="47" t="s">
        <v>1196</v>
      </c>
      <c r="D203" s="48" t="s">
        <v>1118</v>
      </c>
      <c r="E203" s="48" t="s">
        <v>1119</v>
      </c>
      <c r="F203" s="48" t="s">
        <v>1197</v>
      </c>
      <c r="G203" s="48" t="s">
        <v>1198</v>
      </c>
      <c r="H203" s="47" t="s">
        <v>1199</v>
      </c>
      <c r="I203" s="47" t="s">
        <v>1200</v>
      </c>
      <c r="J203" s="47" t="s">
        <v>26</v>
      </c>
    </row>
    <row r="204" ht="54" customHeight="1" spans="1:10">
      <c r="A204" s="48" t="s">
        <v>79</v>
      </c>
      <c r="B204" s="48" t="s">
        <v>1515</v>
      </c>
      <c r="C204" s="47" t="s">
        <v>1516</v>
      </c>
      <c r="D204" s="48" t="s">
        <v>1073</v>
      </c>
      <c r="E204" s="48" t="s">
        <v>1074</v>
      </c>
      <c r="F204" s="48" t="s">
        <v>1517</v>
      </c>
      <c r="G204" s="48" t="s">
        <v>1518</v>
      </c>
      <c r="H204" s="47" t="s">
        <v>1519</v>
      </c>
      <c r="I204" s="47" t="s">
        <v>1520</v>
      </c>
      <c r="J204" s="47" t="s">
        <v>26</v>
      </c>
    </row>
    <row r="205" ht="54" customHeight="1" spans="1:10">
      <c r="A205" s="48" t="s">
        <v>79</v>
      </c>
      <c r="B205" s="48" t="s">
        <v>1521</v>
      </c>
      <c r="C205" s="47" t="s">
        <v>934</v>
      </c>
      <c r="D205" s="48" t="s">
        <v>935</v>
      </c>
      <c r="E205" s="48" t="s">
        <v>936</v>
      </c>
      <c r="F205" s="48" t="s">
        <v>937</v>
      </c>
      <c r="G205" s="48" t="s">
        <v>938</v>
      </c>
      <c r="H205" s="47" t="s">
        <v>939</v>
      </c>
      <c r="I205" s="47" t="s">
        <v>940</v>
      </c>
      <c r="J205" s="47" t="s">
        <v>26</v>
      </c>
    </row>
    <row r="206" ht="54" customHeight="1" spans="1:10">
      <c r="A206" s="48" t="s">
        <v>79</v>
      </c>
      <c r="B206" s="48" t="s">
        <v>1522</v>
      </c>
      <c r="C206" s="47" t="s">
        <v>1368</v>
      </c>
      <c r="D206" s="48" t="s">
        <v>1082</v>
      </c>
      <c r="E206" s="48" t="s">
        <v>1083</v>
      </c>
      <c r="F206" s="48" t="s">
        <v>1369</v>
      </c>
      <c r="G206" s="48" t="s">
        <v>1370</v>
      </c>
      <c r="H206" s="47" t="s">
        <v>1371</v>
      </c>
      <c r="I206" s="47" t="s">
        <v>1372</v>
      </c>
      <c r="J206" s="47" t="s">
        <v>26</v>
      </c>
    </row>
    <row r="207" ht="54" customHeight="1" spans="1:10">
      <c r="A207" s="48" t="s">
        <v>79</v>
      </c>
      <c r="B207" s="48" t="s">
        <v>1523</v>
      </c>
      <c r="C207" s="47" t="s">
        <v>1066</v>
      </c>
      <c r="D207" s="48" t="s">
        <v>935</v>
      </c>
      <c r="E207" s="48" t="s">
        <v>936</v>
      </c>
      <c r="F207" s="48" t="s">
        <v>1067</v>
      </c>
      <c r="G207" s="48" t="s">
        <v>1068</v>
      </c>
      <c r="H207" s="47" t="s">
        <v>1069</v>
      </c>
      <c r="I207" s="47" t="s">
        <v>940</v>
      </c>
      <c r="J207" s="47" t="s">
        <v>26</v>
      </c>
    </row>
    <row r="208" ht="54" customHeight="1" spans="1:10">
      <c r="A208" s="48" t="s">
        <v>79</v>
      </c>
      <c r="B208" s="48" t="s">
        <v>1524</v>
      </c>
      <c r="C208" s="47" t="s">
        <v>1252</v>
      </c>
      <c r="D208" s="48" t="s">
        <v>1001</v>
      </c>
      <c r="E208" s="48" t="s">
        <v>1002</v>
      </c>
      <c r="F208" s="48" t="s">
        <v>1253</v>
      </c>
      <c r="G208" s="48" t="s">
        <v>1254</v>
      </c>
      <c r="H208" s="47" t="s">
        <v>1255</v>
      </c>
      <c r="I208" s="47" t="s">
        <v>1256</v>
      </c>
      <c r="J208" s="47" t="s">
        <v>26</v>
      </c>
    </row>
    <row r="209" ht="54" customHeight="1" spans="1:10">
      <c r="A209" s="48" t="s">
        <v>79</v>
      </c>
      <c r="B209" s="48" t="s">
        <v>1525</v>
      </c>
      <c r="C209" s="47" t="s">
        <v>971</v>
      </c>
      <c r="D209" s="48" t="s">
        <v>965</v>
      </c>
      <c r="E209" s="48" t="s">
        <v>966</v>
      </c>
      <c r="F209" s="48" t="s">
        <v>972</v>
      </c>
      <c r="G209" s="48" t="s">
        <v>973</v>
      </c>
      <c r="H209" s="47" t="s">
        <v>974</v>
      </c>
      <c r="I209" s="47" t="s">
        <v>975</v>
      </c>
      <c r="J209" s="47" t="s">
        <v>26</v>
      </c>
    </row>
    <row r="210" ht="54" customHeight="1" spans="1:10">
      <c r="A210" s="48" t="s">
        <v>79</v>
      </c>
      <c r="B210" s="48" t="s">
        <v>1526</v>
      </c>
      <c r="C210" s="47" t="s">
        <v>1291</v>
      </c>
      <c r="D210" s="48" t="s">
        <v>965</v>
      </c>
      <c r="E210" s="48" t="s">
        <v>966</v>
      </c>
      <c r="F210" s="48" t="s">
        <v>1292</v>
      </c>
      <c r="G210" s="48" t="s">
        <v>1293</v>
      </c>
      <c r="H210" s="47" t="s">
        <v>1294</v>
      </c>
      <c r="I210" s="47" t="s">
        <v>1295</v>
      </c>
      <c r="J210" s="47" t="s">
        <v>26</v>
      </c>
    </row>
    <row r="211" ht="54" customHeight="1" spans="1:10">
      <c r="A211" s="48" t="s">
        <v>79</v>
      </c>
      <c r="B211" s="48" t="s">
        <v>1527</v>
      </c>
      <c r="C211" s="47" t="s">
        <v>977</v>
      </c>
      <c r="D211" s="48" t="s">
        <v>978</v>
      </c>
      <c r="E211" s="48" t="s">
        <v>979</v>
      </c>
      <c r="F211" s="48" t="s">
        <v>980</v>
      </c>
      <c r="G211" s="48" t="s">
        <v>981</v>
      </c>
      <c r="H211" s="47" t="s">
        <v>982</v>
      </c>
      <c r="I211" s="47" t="s">
        <v>983</v>
      </c>
      <c r="J211" s="47" t="s">
        <v>26</v>
      </c>
    </row>
    <row r="212" ht="54" customHeight="1" spans="1:10">
      <c r="A212" s="48" t="s">
        <v>81</v>
      </c>
      <c r="B212" s="48" t="s">
        <v>1528</v>
      </c>
      <c r="C212" s="47" t="s">
        <v>934</v>
      </c>
      <c r="D212" s="48" t="s">
        <v>935</v>
      </c>
      <c r="E212" s="48" t="s">
        <v>936</v>
      </c>
      <c r="F212" s="48" t="s">
        <v>937</v>
      </c>
      <c r="G212" s="48" t="s">
        <v>938</v>
      </c>
      <c r="H212" s="47" t="s">
        <v>939</v>
      </c>
      <c r="I212" s="47" t="s">
        <v>940</v>
      </c>
      <c r="J212" s="47" t="s">
        <v>26</v>
      </c>
    </row>
    <row r="213" ht="54" customHeight="1" spans="1:10">
      <c r="A213" s="48" t="s">
        <v>81</v>
      </c>
      <c r="B213" s="48" t="s">
        <v>1529</v>
      </c>
      <c r="C213" s="47" t="s">
        <v>992</v>
      </c>
      <c r="D213" s="48" t="s">
        <v>993</v>
      </c>
      <c r="E213" s="48" t="s">
        <v>994</v>
      </c>
      <c r="F213" s="48" t="s">
        <v>995</v>
      </c>
      <c r="G213" s="48" t="s">
        <v>996</v>
      </c>
      <c r="H213" s="47" t="s">
        <v>997</v>
      </c>
      <c r="I213" s="47" t="s">
        <v>998</v>
      </c>
      <c r="J213" s="47" t="s">
        <v>26</v>
      </c>
    </row>
    <row r="214" ht="54" customHeight="1" spans="1:10">
      <c r="A214" s="48" t="s">
        <v>81</v>
      </c>
      <c r="B214" s="48" t="s">
        <v>1530</v>
      </c>
      <c r="C214" s="47" t="s">
        <v>1125</v>
      </c>
      <c r="D214" s="48" t="s">
        <v>1059</v>
      </c>
      <c r="E214" s="48" t="s">
        <v>1060</v>
      </c>
      <c r="F214" s="48" t="s">
        <v>1126</v>
      </c>
      <c r="G214" s="48" t="s">
        <v>1127</v>
      </c>
      <c r="H214" s="47" t="s">
        <v>1128</v>
      </c>
      <c r="I214" s="47" t="s">
        <v>1129</v>
      </c>
      <c r="J214" s="47" t="s">
        <v>26</v>
      </c>
    </row>
    <row r="215" ht="54" customHeight="1" spans="1:10">
      <c r="A215" s="48" t="s">
        <v>81</v>
      </c>
      <c r="B215" s="48" t="s">
        <v>1531</v>
      </c>
      <c r="C215" s="47" t="s">
        <v>1145</v>
      </c>
      <c r="D215" s="48" t="s">
        <v>1146</v>
      </c>
      <c r="E215" s="48" t="s">
        <v>1147</v>
      </c>
      <c r="F215" s="48" t="s">
        <v>1148</v>
      </c>
      <c r="G215" s="48" t="s">
        <v>1149</v>
      </c>
      <c r="H215" s="47" t="s">
        <v>1150</v>
      </c>
      <c r="I215" s="47" t="s">
        <v>1151</v>
      </c>
      <c r="J215" s="47" t="s">
        <v>26</v>
      </c>
    </row>
    <row r="216" ht="54" customHeight="1" spans="1:10">
      <c r="A216" s="48" t="s">
        <v>81</v>
      </c>
      <c r="B216" s="48" t="s">
        <v>1532</v>
      </c>
      <c r="C216" s="47" t="s">
        <v>1196</v>
      </c>
      <c r="D216" s="48" t="s">
        <v>1118</v>
      </c>
      <c r="E216" s="48" t="s">
        <v>1119</v>
      </c>
      <c r="F216" s="48" t="s">
        <v>1197</v>
      </c>
      <c r="G216" s="48" t="s">
        <v>1198</v>
      </c>
      <c r="H216" s="47" t="s">
        <v>1199</v>
      </c>
      <c r="I216" s="47" t="s">
        <v>1200</v>
      </c>
      <c r="J216" s="47" t="s">
        <v>26</v>
      </c>
    </row>
    <row r="217" ht="54" customHeight="1" spans="1:10">
      <c r="A217" s="48" t="s">
        <v>83</v>
      </c>
      <c r="B217" s="48" t="s">
        <v>1533</v>
      </c>
      <c r="C217" s="47" t="s">
        <v>1534</v>
      </c>
      <c r="D217" s="48" t="s">
        <v>935</v>
      </c>
      <c r="E217" s="48" t="s">
        <v>936</v>
      </c>
      <c r="F217" s="48" t="s">
        <v>1535</v>
      </c>
      <c r="G217" s="48" t="s">
        <v>1536</v>
      </c>
      <c r="H217" s="47" t="s">
        <v>1537</v>
      </c>
      <c r="I217" s="47" t="s">
        <v>940</v>
      </c>
      <c r="J217" s="47" t="s">
        <v>26</v>
      </c>
    </row>
    <row r="218" ht="54" customHeight="1" spans="1:10">
      <c r="A218" s="48" t="s">
        <v>83</v>
      </c>
      <c r="B218" s="48" t="s">
        <v>1538</v>
      </c>
      <c r="C218" s="47" t="s">
        <v>1008</v>
      </c>
      <c r="D218" s="48" t="s">
        <v>1009</v>
      </c>
      <c r="E218" s="48" t="s">
        <v>1010</v>
      </c>
      <c r="F218" s="48" t="s">
        <v>1011</v>
      </c>
      <c r="G218" s="48" t="s">
        <v>1012</v>
      </c>
      <c r="H218" s="47" t="s">
        <v>1013</v>
      </c>
      <c r="I218" s="47" t="s">
        <v>1014</v>
      </c>
      <c r="J218" s="47" t="s">
        <v>26</v>
      </c>
    </row>
    <row r="219" ht="54" customHeight="1" spans="1:10">
      <c r="A219" s="48" t="s">
        <v>83</v>
      </c>
      <c r="B219" s="48" t="s">
        <v>1539</v>
      </c>
      <c r="C219" s="47" t="s">
        <v>956</v>
      </c>
      <c r="D219" s="48" t="s">
        <v>957</v>
      </c>
      <c r="E219" s="48" t="s">
        <v>958</v>
      </c>
      <c r="F219" s="48" t="s">
        <v>959</v>
      </c>
      <c r="G219" s="48" t="s">
        <v>960</v>
      </c>
      <c r="H219" s="47" t="s">
        <v>961</v>
      </c>
      <c r="I219" s="47" t="s">
        <v>962</v>
      </c>
      <c r="J219" s="47" t="s">
        <v>26</v>
      </c>
    </row>
    <row r="220" ht="54" customHeight="1" spans="1:10">
      <c r="A220" s="48" t="s">
        <v>83</v>
      </c>
      <c r="B220" s="48" t="s">
        <v>1540</v>
      </c>
      <c r="C220" s="47" t="s">
        <v>1036</v>
      </c>
      <c r="D220" s="48" t="s">
        <v>1037</v>
      </c>
      <c r="E220" s="48" t="s">
        <v>1038</v>
      </c>
      <c r="F220" s="48" t="s">
        <v>1039</v>
      </c>
      <c r="G220" s="48" t="s">
        <v>1040</v>
      </c>
      <c r="H220" s="47" t="s">
        <v>1041</v>
      </c>
      <c r="I220" s="47" t="s">
        <v>1042</v>
      </c>
      <c r="J220" s="47" t="s">
        <v>26</v>
      </c>
    </row>
    <row r="221" ht="54" customHeight="1" spans="1:10">
      <c r="A221" s="48" t="s">
        <v>83</v>
      </c>
      <c r="B221" s="48" t="s">
        <v>1541</v>
      </c>
      <c r="C221" s="47" t="s">
        <v>1052</v>
      </c>
      <c r="D221" s="48" t="s">
        <v>1009</v>
      </c>
      <c r="E221" s="48" t="s">
        <v>1010</v>
      </c>
      <c r="F221" s="48" t="s">
        <v>1053</v>
      </c>
      <c r="G221" s="48" t="s">
        <v>1054</v>
      </c>
      <c r="H221" s="47" t="s">
        <v>1055</v>
      </c>
      <c r="I221" s="47" t="s">
        <v>1056</v>
      </c>
      <c r="J221" s="47" t="s">
        <v>26</v>
      </c>
    </row>
    <row r="222" ht="54" customHeight="1" spans="1:10">
      <c r="A222" s="48" t="s">
        <v>83</v>
      </c>
      <c r="B222" s="48" t="s">
        <v>1542</v>
      </c>
      <c r="C222" s="47" t="s">
        <v>1066</v>
      </c>
      <c r="D222" s="48" t="s">
        <v>935</v>
      </c>
      <c r="E222" s="48" t="s">
        <v>936</v>
      </c>
      <c r="F222" s="48" t="s">
        <v>1067</v>
      </c>
      <c r="G222" s="48" t="s">
        <v>1068</v>
      </c>
      <c r="H222" s="47" t="s">
        <v>1069</v>
      </c>
      <c r="I222" s="47" t="s">
        <v>940</v>
      </c>
      <c r="J222" s="47" t="s">
        <v>26</v>
      </c>
    </row>
    <row r="223" ht="54" customHeight="1" spans="1:10">
      <c r="A223" s="48" t="s">
        <v>83</v>
      </c>
      <c r="B223" s="48" t="s">
        <v>1543</v>
      </c>
      <c r="C223" s="47" t="s">
        <v>1388</v>
      </c>
      <c r="D223" s="48" t="s">
        <v>1037</v>
      </c>
      <c r="E223" s="48" t="s">
        <v>1038</v>
      </c>
      <c r="F223" s="48" t="s">
        <v>1389</v>
      </c>
      <c r="G223" s="48" t="s">
        <v>1390</v>
      </c>
      <c r="H223" s="47" t="s">
        <v>1391</v>
      </c>
      <c r="I223" s="47" t="s">
        <v>1392</v>
      </c>
      <c r="J223" s="47" t="s">
        <v>26</v>
      </c>
    </row>
    <row r="224" ht="54" customHeight="1" spans="1:10">
      <c r="A224" s="48" t="s">
        <v>83</v>
      </c>
      <c r="B224" s="48" t="s">
        <v>1544</v>
      </c>
      <c r="C224" s="47" t="s">
        <v>1545</v>
      </c>
      <c r="D224" s="48" t="s">
        <v>1138</v>
      </c>
      <c r="E224" s="48" t="s">
        <v>1139</v>
      </c>
      <c r="F224" s="48" t="s">
        <v>1546</v>
      </c>
      <c r="G224" s="48" t="s">
        <v>1547</v>
      </c>
      <c r="H224" s="47" t="s">
        <v>1548</v>
      </c>
      <c r="I224" s="47" t="s">
        <v>940</v>
      </c>
      <c r="J224" s="47" t="s">
        <v>26</v>
      </c>
    </row>
    <row r="225" ht="54" customHeight="1" spans="1:10">
      <c r="A225" s="48" t="s">
        <v>83</v>
      </c>
      <c r="B225" s="48" t="s">
        <v>1549</v>
      </c>
      <c r="C225" s="47" t="s">
        <v>1429</v>
      </c>
      <c r="D225" s="48" t="s">
        <v>1430</v>
      </c>
      <c r="E225" s="48" t="s">
        <v>1431</v>
      </c>
      <c r="F225" s="48" t="s">
        <v>1432</v>
      </c>
      <c r="G225" s="48" t="s">
        <v>1433</v>
      </c>
      <c r="H225" s="47" t="s">
        <v>1434</v>
      </c>
      <c r="I225" s="47" t="s">
        <v>1435</v>
      </c>
      <c r="J225" s="47" t="s">
        <v>26</v>
      </c>
    </row>
    <row r="226" ht="54" customHeight="1" spans="1:10">
      <c r="A226" s="48" t="s">
        <v>83</v>
      </c>
      <c r="B226" s="48" t="s">
        <v>1550</v>
      </c>
      <c r="C226" s="47" t="s">
        <v>1226</v>
      </c>
      <c r="D226" s="48" t="s">
        <v>965</v>
      </c>
      <c r="E226" s="48" t="s">
        <v>966</v>
      </c>
      <c r="F226" s="48" t="s">
        <v>1227</v>
      </c>
      <c r="G226" s="48" t="s">
        <v>1228</v>
      </c>
      <c r="H226" s="47" t="s">
        <v>1229</v>
      </c>
      <c r="I226" s="47" t="s">
        <v>940</v>
      </c>
      <c r="J226" s="47" t="s">
        <v>26</v>
      </c>
    </row>
    <row r="227" ht="54" customHeight="1" spans="1:10">
      <c r="A227" s="48" t="s">
        <v>85</v>
      </c>
      <c r="B227" s="48" t="s">
        <v>1551</v>
      </c>
      <c r="C227" s="47" t="s">
        <v>934</v>
      </c>
      <c r="D227" s="48" t="s">
        <v>935</v>
      </c>
      <c r="E227" s="48" t="s">
        <v>936</v>
      </c>
      <c r="F227" s="48" t="s">
        <v>937</v>
      </c>
      <c r="G227" s="48" t="s">
        <v>938</v>
      </c>
      <c r="H227" s="47" t="s">
        <v>939</v>
      </c>
      <c r="I227" s="47" t="s">
        <v>940</v>
      </c>
      <c r="J227" s="47" t="s">
        <v>29</v>
      </c>
    </row>
    <row r="228" ht="54" customHeight="1" spans="1:10">
      <c r="A228" s="48" t="s">
        <v>85</v>
      </c>
      <c r="B228" s="48" t="s">
        <v>1552</v>
      </c>
      <c r="C228" s="47" t="s">
        <v>1016</v>
      </c>
      <c r="D228" s="48" t="s">
        <v>935</v>
      </c>
      <c r="E228" s="48" t="s">
        <v>936</v>
      </c>
      <c r="F228" s="48" t="s">
        <v>1017</v>
      </c>
      <c r="G228" s="48" t="s">
        <v>1018</v>
      </c>
      <c r="H228" s="47" t="s">
        <v>1019</v>
      </c>
      <c r="I228" s="47" t="s">
        <v>1020</v>
      </c>
      <c r="J228" s="47" t="s">
        <v>29</v>
      </c>
    </row>
    <row r="229" ht="54" customHeight="1" spans="1:10">
      <c r="A229" s="48" t="s">
        <v>85</v>
      </c>
      <c r="B229" s="48" t="s">
        <v>1553</v>
      </c>
      <c r="C229" s="47" t="s">
        <v>1022</v>
      </c>
      <c r="D229" s="48" t="s">
        <v>957</v>
      </c>
      <c r="E229" s="48" t="s">
        <v>958</v>
      </c>
      <c r="F229" s="48" t="s">
        <v>1023</v>
      </c>
      <c r="G229" s="48" t="s">
        <v>1024</v>
      </c>
      <c r="H229" s="47" t="s">
        <v>1025</v>
      </c>
      <c r="I229" s="47" t="s">
        <v>1026</v>
      </c>
      <c r="J229" s="47" t="s">
        <v>29</v>
      </c>
    </row>
    <row r="230" ht="54" customHeight="1" spans="1:10">
      <c r="A230" s="48" t="s">
        <v>85</v>
      </c>
      <c r="B230" s="48" t="s">
        <v>1554</v>
      </c>
      <c r="C230" s="47" t="s">
        <v>1089</v>
      </c>
      <c r="D230" s="48" t="s">
        <v>957</v>
      </c>
      <c r="E230" s="48" t="s">
        <v>958</v>
      </c>
      <c r="F230" s="48" t="s">
        <v>1090</v>
      </c>
      <c r="G230" s="48" t="s">
        <v>1091</v>
      </c>
      <c r="H230" s="47" t="s">
        <v>1092</v>
      </c>
      <c r="I230" s="47" t="s">
        <v>1093</v>
      </c>
      <c r="J230" s="47" t="s">
        <v>29</v>
      </c>
    </row>
    <row r="231" ht="54" customHeight="1" spans="1:10">
      <c r="A231" s="48" t="s">
        <v>85</v>
      </c>
      <c r="B231" s="48" t="s">
        <v>1555</v>
      </c>
      <c r="C231" s="47" t="s">
        <v>950</v>
      </c>
      <c r="D231" s="48" t="s">
        <v>935</v>
      </c>
      <c r="E231" s="48" t="s">
        <v>936</v>
      </c>
      <c r="F231" s="48" t="s">
        <v>951</v>
      </c>
      <c r="G231" s="48" t="s">
        <v>952</v>
      </c>
      <c r="H231" s="47" t="s">
        <v>953</v>
      </c>
      <c r="I231" s="47" t="s">
        <v>954</v>
      </c>
      <c r="J231" s="47" t="s">
        <v>29</v>
      </c>
    </row>
    <row r="232" ht="54" customHeight="1" spans="1:10">
      <c r="A232" s="48" t="s">
        <v>85</v>
      </c>
      <c r="B232" s="48" t="s">
        <v>1556</v>
      </c>
      <c r="C232" s="47" t="s">
        <v>1044</v>
      </c>
      <c r="D232" s="48" t="s">
        <v>1045</v>
      </c>
      <c r="E232" s="48" t="s">
        <v>1046</v>
      </c>
      <c r="F232" s="48" t="s">
        <v>1047</v>
      </c>
      <c r="G232" s="48" t="s">
        <v>1048</v>
      </c>
      <c r="H232" s="47" t="s">
        <v>1049</v>
      </c>
      <c r="I232" s="47" t="s">
        <v>1050</v>
      </c>
      <c r="J232" s="47" t="s">
        <v>29</v>
      </c>
    </row>
    <row r="233" ht="54" customHeight="1" spans="1:10">
      <c r="A233" s="48" t="s">
        <v>85</v>
      </c>
      <c r="B233" s="48" t="s">
        <v>1557</v>
      </c>
      <c r="C233" s="47" t="s">
        <v>1052</v>
      </c>
      <c r="D233" s="48" t="s">
        <v>1009</v>
      </c>
      <c r="E233" s="48" t="s">
        <v>1010</v>
      </c>
      <c r="F233" s="48" t="s">
        <v>1053</v>
      </c>
      <c r="G233" s="48" t="s">
        <v>1054</v>
      </c>
      <c r="H233" s="47" t="s">
        <v>1055</v>
      </c>
      <c r="I233" s="47" t="s">
        <v>1056</v>
      </c>
      <c r="J233" s="47" t="s">
        <v>29</v>
      </c>
    </row>
    <row r="234" ht="54" customHeight="1" spans="1:10">
      <c r="A234" s="48" t="s">
        <v>85</v>
      </c>
      <c r="B234" s="48" t="s">
        <v>1558</v>
      </c>
      <c r="C234" s="47" t="s">
        <v>1097</v>
      </c>
      <c r="D234" s="48" t="s">
        <v>1098</v>
      </c>
      <c r="E234" s="48" t="s">
        <v>1099</v>
      </c>
      <c r="F234" s="48" t="s">
        <v>1100</v>
      </c>
      <c r="G234" s="48" t="s">
        <v>1101</v>
      </c>
      <c r="H234" s="47" t="s">
        <v>1102</v>
      </c>
      <c r="I234" s="47" t="s">
        <v>1103</v>
      </c>
      <c r="J234" s="47" t="s">
        <v>29</v>
      </c>
    </row>
    <row r="235" ht="54" customHeight="1" spans="1:10">
      <c r="A235" s="48" t="s">
        <v>85</v>
      </c>
      <c r="B235" s="48" t="s">
        <v>1559</v>
      </c>
      <c r="C235" s="47" t="s">
        <v>1066</v>
      </c>
      <c r="D235" s="48" t="s">
        <v>935</v>
      </c>
      <c r="E235" s="48" t="s">
        <v>936</v>
      </c>
      <c r="F235" s="48" t="s">
        <v>1067</v>
      </c>
      <c r="G235" s="48" t="s">
        <v>1068</v>
      </c>
      <c r="H235" s="47" t="s">
        <v>1069</v>
      </c>
      <c r="I235" s="47" t="s">
        <v>940</v>
      </c>
      <c r="J235" s="47" t="s">
        <v>29</v>
      </c>
    </row>
    <row r="236" ht="54" customHeight="1" spans="1:10">
      <c r="A236" s="48" t="s">
        <v>85</v>
      </c>
      <c r="B236" s="48" t="s">
        <v>1560</v>
      </c>
      <c r="C236" s="47" t="s">
        <v>1117</v>
      </c>
      <c r="D236" s="48" t="s">
        <v>1118</v>
      </c>
      <c r="E236" s="48" t="s">
        <v>1119</v>
      </c>
      <c r="F236" s="48" t="s">
        <v>1120</v>
      </c>
      <c r="G236" s="48" t="s">
        <v>1121</v>
      </c>
      <c r="H236" s="47" t="s">
        <v>1122</v>
      </c>
      <c r="I236" s="47" t="s">
        <v>1123</v>
      </c>
      <c r="J236" s="47" t="s">
        <v>29</v>
      </c>
    </row>
    <row r="237" ht="54" customHeight="1" spans="1:10">
      <c r="A237" s="48" t="s">
        <v>87</v>
      </c>
      <c r="B237" s="48" t="s">
        <v>1561</v>
      </c>
      <c r="C237" s="47" t="s">
        <v>934</v>
      </c>
      <c r="D237" s="48" t="s">
        <v>935</v>
      </c>
      <c r="E237" s="48" t="s">
        <v>936</v>
      </c>
      <c r="F237" s="48" t="s">
        <v>937</v>
      </c>
      <c r="G237" s="48" t="s">
        <v>938</v>
      </c>
      <c r="H237" s="47" t="s">
        <v>939</v>
      </c>
      <c r="I237" s="47" t="s">
        <v>940</v>
      </c>
      <c r="J237" s="47" t="s">
        <v>26</v>
      </c>
    </row>
    <row r="238" ht="54" customHeight="1" spans="1:10">
      <c r="A238" s="48" t="s">
        <v>87</v>
      </c>
      <c r="B238" s="48" t="s">
        <v>1562</v>
      </c>
      <c r="C238" s="47" t="s">
        <v>1081</v>
      </c>
      <c r="D238" s="48" t="s">
        <v>1082</v>
      </c>
      <c r="E238" s="48" t="s">
        <v>1083</v>
      </c>
      <c r="F238" s="48" t="s">
        <v>1084</v>
      </c>
      <c r="G238" s="48" t="s">
        <v>1085</v>
      </c>
      <c r="H238" s="47" t="s">
        <v>1086</v>
      </c>
      <c r="I238" s="47" t="s">
        <v>1087</v>
      </c>
      <c r="J238" s="47" t="s">
        <v>26</v>
      </c>
    </row>
    <row r="239" ht="54" customHeight="1" spans="1:10">
      <c r="A239" s="48" t="s">
        <v>87</v>
      </c>
      <c r="B239" s="48" t="s">
        <v>1563</v>
      </c>
      <c r="C239" s="47" t="s">
        <v>956</v>
      </c>
      <c r="D239" s="48" t="s">
        <v>957</v>
      </c>
      <c r="E239" s="48" t="s">
        <v>958</v>
      </c>
      <c r="F239" s="48" t="s">
        <v>959</v>
      </c>
      <c r="G239" s="48" t="s">
        <v>960</v>
      </c>
      <c r="H239" s="47" t="s">
        <v>961</v>
      </c>
      <c r="I239" s="47" t="s">
        <v>962</v>
      </c>
      <c r="J239" s="47" t="s">
        <v>26</v>
      </c>
    </row>
    <row r="240" ht="54" customHeight="1" spans="1:10">
      <c r="A240" s="48" t="s">
        <v>87</v>
      </c>
      <c r="B240" s="48" t="s">
        <v>1564</v>
      </c>
      <c r="C240" s="47" t="s">
        <v>1097</v>
      </c>
      <c r="D240" s="48" t="s">
        <v>1098</v>
      </c>
      <c r="E240" s="48" t="s">
        <v>1099</v>
      </c>
      <c r="F240" s="48" t="s">
        <v>1100</v>
      </c>
      <c r="G240" s="48" t="s">
        <v>1101</v>
      </c>
      <c r="H240" s="47" t="s">
        <v>1102</v>
      </c>
      <c r="I240" s="47" t="s">
        <v>1103</v>
      </c>
      <c r="J240" s="47" t="s">
        <v>26</v>
      </c>
    </row>
    <row r="241" ht="54" customHeight="1" spans="1:10">
      <c r="A241" s="48" t="s">
        <v>87</v>
      </c>
      <c r="B241" s="48" t="s">
        <v>1565</v>
      </c>
      <c r="C241" s="47" t="s">
        <v>1111</v>
      </c>
      <c r="D241" s="48" t="s">
        <v>965</v>
      </c>
      <c r="E241" s="48" t="s">
        <v>966</v>
      </c>
      <c r="F241" s="48" t="s">
        <v>1112</v>
      </c>
      <c r="G241" s="48" t="s">
        <v>1113</v>
      </c>
      <c r="H241" s="47" t="s">
        <v>1114</v>
      </c>
      <c r="I241" s="47" t="s">
        <v>1115</v>
      </c>
      <c r="J241" s="47" t="s">
        <v>26</v>
      </c>
    </row>
    <row r="242" ht="54" customHeight="1" spans="1:10">
      <c r="A242" s="48" t="s">
        <v>87</v>
      </c>
      <c r="B242" s="48" t="s">
        <v>1566</v>
      </c>
      <c r="C242" s="47" t="s">
        <v>971</v>
      </c>
      <c r="D242" s="48" t="s">
        <v>965</v>
      </c>
      <c r="E242" s="48" t="s">
        <v>966</v>
      </c>
      <c r="F242" s="48" t="s">
        <v>972</v>
      </c>
      <c r="G242" s="48" t="s">
        <v>973</v>
      </c>
      <c r="H242" s="47" t="s">
        <v>974</v>
      </c>
      <c r="I242" s="47" t="s">
        <v>975</v>
      </c>
      <c r="J242" s="47" t="s">
        <v>26</v>
      </c>
    </row>
    <row r="243" ht="54" customHeight="1" spans="1:10">
      <c r="A243" s="48" t="s">
        <v>87</v>
      </c>
      <c r="B243" s="48" t="s">
        <v>1567</v>
      </c>
      <c r="C243" s="47" t="s">
        <v>1291</v>
      </c>
      <c r="D243" s="48" t="s">
        <v>965</v>
      </c>
      <c r="E243" s="48" t="s">
        <v>966</v>
      </c>
      <c r="F243" s="48" t="s">
        <v>1292</v>
      </c>
      <c r="G243" s="48" t="s">
        <v>1293</v>
      </c>
      <c r="H243" s="47" t="s">
        <v>1294</v>
      </c>
      <c r="I243" s="47" t="s">
        <v>1295</v>
      </c>
      <c r="J243" s="47" t="s">
        <v>26</v>
      </c>
    </row>
    <row r="244" ht="54" customHeight="1" spans="1:10">
      <c r="A244" s="48" t="s">
        <v>87</v>
      </c>
      <c r="B244" s="48" t="s">
        <v>1568</v>
      </c>
      <c r="C244" s="47" t="s">
        <v>1205</v>
      </c>
      <c r="D244" s="48" t="s">
        <v>978</v>
      </c>
      <c r="E244" s="48" t="s">
        <v>979</v>
      </c>
      <c r="F244" s="48" t="s">
        <v>1206</v>
      </c>
      <c r="G244" s="48" t="s">
        <v>1207</v>
      </c>
      <c r="H244" s="47" t="s">
        <v>1208</v>
      </c>
      <c r="I244" s="47" t="s">
        <v>1209</v>
      </c>
      <c r="J244" s="47" t="s">
        <v>26</v>
      </c>
    </row>
    <row r="245" ht="54" customHeight="1" spans="1:10">
      <c r="A245" s="48" t="s">
        <v>89</v>
      </c>
      <c r="B245" s="48" t="s">
        <v>1569</v>
      </c>
      <c r="C245" s="47" t="s">
        <v>1153</v>
      </c>
      <c r="D245" s="48" t="s">
        <v>943</v>
      </c>
      <c r="E245" s="48" t="s">
        <v>944</v>
      </c>
      <c r="F245" s="48" t="s">
        <v>1154</v>
      </c>
      <c r="G245" s="48" t="s">
        <v>1155</v>
      </c>
      <c r="H245" s="47" t="s">
        <v>1156</v>
      </c>
      <c r="I245" s="47" t="s">
        <v>1157</v>
      </c>
      <c r="J245" s="47" t="s">
        <v>26</v>
      </c>
    </row>
    <row r="246" ht="54" customHeight="1" spans="1:10">
      <c r="A246" s="48" t="s">
        <v>89</v>
      </c>
      <c r="B246" s="48" t="s">
        <v>1570</v>
      </c>
      <c r="C246" s="47" t="s">
        <v>1008</v>
      </c>
      <c r="D246" s="48" t="s">
        <v>1009</v>
      </c>
      <c r="E246" s="48" t="s">
        <v>1010</v>
      </c>
      <c r="F246" s="48" t="s">
        <v>1011</v>
      </c>
      <c r="G246" s="48" t="s">
        <v>1012</v>
      </c>
      <c r="H246" s="47" t="s">
        <v>1013</v>
      </c>
      <c r="I246" s="47" t="s">
        <v>1014</v>
      </c>
      <c r="J246" s="47" t="s">
        <v>26</v>
      </c>
    </row>
    <row r="247" ht="54" customHeight="1" spans="1:10">
      <c r="A247" s="48" t="s">
        <v>89</v>
      </c>
      <c r="B247" s="48" t="s">
        <v>1571</v>
      </c>
      <c r="C247" s="47" t="s">
        <v>1572</v>
      </c>
      <c r="D247" s="48" t="s">
        <v>1098</v>
      </c>
      <c r="E247" s="48" t="s">
        <v>1099</v>
      </c>
      <c r="F247" s="48" t="s">
        <v>1573</v>
      </c>
      <c r="G247" s="48" t="s">
        <v>1574</v>
      </c>
      <c r="H247" s="47" t="s">
        <v>1575</v>
      </c>
      <c r="I247" s="47" t="s">
        <v>1576</v>
      </c>
      <c r="J247" s="47" t="s">
        <v>26</v>
      </c>
    </row>
    <row r="248" ht="54" customHeight="1" spans="1:10">
      <c r="A248" s="48" t="s">
        <v>89</v>
      </c>
      <c r="B248" s="48" t="s">
        <v>1577</v>
      </c>
      <c r="C248" s="47" t="s">
        <v>1459</v>
      </c>
      <c r="D248" s="48" t="s">
        <v>957</v>
      </c>
      <c r="E248" s="48" t="s">
        <v>958</v>
      </c>
      <c r="F248" s="48" t="s">
        <v>1460</v>
      </c>
      <c r="G248" s="48" t="s">
        <v>1461</v>
      </c>
      <c r="H248" s="47" t="s">
        <v>1462</v>
      </c>
      <c r="I248" s="47" t="s">
        <v>1463</v>
      </c>
      <c r="J248" s="47" t="s">
        <v>26</v>
      </c>
    </row>
    <row r="249" ht="54" customHeight="1" spans="1:10">
      <c r="A249" s="48" t="s">
        <v>89</v>
      </c>
      <c r="B249" s="48" t="s">
        <v>1578</v>
      </c>
      <c r="C249" s="47" t="s">
        <v>1097</v>
      </c>
      <c r="D249" s="48" t="s">
        <v>1098</v>
      </c>
      <c r="E249" s="48" t="s">
        <v>1099</v>
      </c>
      <c r="F249" s="48" t="s">
        <v>1100</v>
      </c>
      <c r="G249" s="48" t="s">
        <v>1101</v>
      </c>
      <c r="H249" s="47" t="s">
        <v>1102</v>
      </c>
      <c r="I249" s="47" t="s">
        <v>1103</v>
      </c>
      <c r="J249" s="47" t="s">
        <v>26</v>
      </c>
    </row>
    <row r="250" ht="54" customHeight="1" spans="1:10">
      <c r="A250" s="48" t="s">
        <v>89</v>
      </c>
      <c r="B250" s="48" t="s">
        <v>1579</v>
      </c>
      <c r="C250" s="47" t="s">
        <v>971</v>
      </c>
      <c r="D250" s="48" t="s">
        <v>965</v>
      </c>
      <c r="E250" s="48" t="s">
        <v>966</v>
      </c>
      <c r="F250" s="48" t="s">
        <v>972</v>
      </c>
      <c r="G250" s="48" t="s">
        <v>973</v>
      </c>
      <c r="H250" s="47" t="s">
        <v>974</v>
      </c>
      <c r="I250" s="47" t="s">
        <v>975</v>
      </c>
      <c r="J250" s="47" t="s">
        <v>26</v>
      </c>
    </row>
    <row r="251" ht="54" customHeight="1" spans="1:10">
      <c r="A251" s="48" t="s">
        <v>89</v>
      </c>
      <c r="B251" s="48" t="s">
        <v>1580</v>
      </c>
      <c r="C251" s="47" t="s">
        <v>1291</v>
      </c>
      <c r="D251" s="48" t="s">
        <v>965</v>
      </c>
      <c r="E251" s="48" t="s">
        <v>966</v>
      </c>
      <c r="F251" s="48" t="s">
        <v>1292</v>
      </c>
      <c r="G251" s="48" t="s">
        <v>1293</v>
      </c>
      <c r="H251" s="47" t="s">
        <v>1294</v>
      </c>
      <c r="I251" s="47" t="s">
        <v>1295</v>
      </c>
      <c r="J251" s="47" t="s">
        <v>26</v>
      </c>
    </row>
    <row r="252" ht="54" customHeight="1" spans="1:10">
      <c r="A252" s="48" t="s">
        <v>89</v>
      </c>
      <c r="B252" s="48" t="s">
        <v>1581</v>
      </c>
      <c r="C252" s="47" t="s">
        <v>977</v>
      </c>
      <c r="D252" s="48" t="s">
        <v>978</v>
      </c>
      <c r="E252" s="48" t="s">
        <v>979</v>
      </c>
      <c r="F252" s="48" t="s">
        <v>980</v>
      </c>
      <c r="G252" s="48" t="s">
        <v>981</v>
      </c>
      <c r="H252" s="47" t="s">
        <v>982</v>
      </c>
      <c r="I252" s="47" t="s">
        <v>983</v>
      </c>
      <c r="J252" s="47" t="s">
        <v>26</v>
      </c>
    </row>
    <row r="253" ht="54" customHeight="1" spans="1:10">
      <c r="A253" s="48" t="s">
        <v>91</v>
      </c>
      <c r="B253" s="48" t="s">
        <v>1582</v>
      </c>
      <c r="C253" s="47" t="s">
        <v>1052</v>
      </c>
      <c r="D253" s="48" t="s">
        <v>1009</v>
      </c>
      <c r="E253" s="48" t="s">
        <v>1010</v>
      </c>
      <c r="F253" s="48" t="s">
        <v>1053</v>
      </c>
      <c r="G253" s="48" t="s">
        <v>1054</v>
      </c>
      <c r="H253" s="47" t="s">
        <v>1055</v>
      </c>
      <c r="I253" s="47" t="s">
        <v>1056</v>
      </c>
      <c r="J253" s="47" t="s">
        <v>26</v>
      </c>
    </row>
    <row r="254" ht="54" customHeight="1" spans="1:10">
      <c r="A254" s="48" t="s">
        <v>91</v>
      </c>
      <c r="B254" s="48" t="s">
        <v>1583</v>
      </c>
      <c r="C254" s="47" t="s">
        <v>1097</v>
      </c>
      <c r="D254" s="48" t="s">
        <v>1098</v>
      </c>
      <c r="E254" s="48" t="s">
        <v>1099</v>
      </c>
      <c r="F254" s="48" t="s">
        <v>1100</v>
      </c>
      <c r="G254" s="48" t="s">
        <v>1101</v>
      </c>
      <c r="H254" s="47" t="s">
        <v>1102</v>
      </c>
      <c r="I254" s="47" t="s">
        <v>1103</v>
      </c>
      <c r="J254" s="47" t="s">
        <v>26</v>
      </c>
    </row>
    <row r="255" ht="54" customHeight="1" spans="1:10">
      <c r="A255" s="48" t="s">
        <v>91</v>
      </c>
      <c r="B255" s="48" t="s">
        <v>1584</v>
      </c>
      <c r="C255" s="47" t="s">
        <v>1245</v>
      </c>
      <c r="D255" s="48" t="s">
        <v>1171</v>
      </c>
      <c r="E255" s="48" t="s">
        <v>1172</v>
      </c>
      <c r="F255" s="48" t="s">
        <v>1246</v>
      </c>
      <c r="G255" s="48" t="s">
        <v>1247</v>
      </c>
      <c r="H255" s="47" t="s">
        <v>1248</v>
      </c>
      <c r="I255" s="47" t="s">
        <v>1176</v>
      </c>
      <c r="J255" s="47" t="s">
        <v>26</v>
      </c>
    </row>
    <row r="256" ht="54" customHeight="1" spans="1:10">
      <c r="A256" s="48" t="s">
        <v>93</v>
      </c>
      <c r="B256" s="48" t="s">
        <v>1585</v>
      </c>
      <c r="C256" s="47" t="s">
        <v>956</v>
      </c>
      <c r="D256" s="48" t="s">
        <v>957</v>
      </c>
      <c r="E256" s="48" t="s">
        <v>958</v>
      </c>
      <c r="F256" s="48" t="s">
        <v>959</v>
      </c>
      <c r="G256" s="48" t="s">
        <v>960</v>
      </c>
      <c r="H256" s="47" t="s">
        <v>961</v>
      </c>
      <c r="I256" s="47" t="s">
        <v>962</v>
      </c>
      <c r="J256" s="47" t="s">
        <v>26</v>
      </c>
    </row>
    <row r="257" ht="54" customHeight="1" spans="1:10">
      <c r="A257" s="48" t="s">
        <v>93</v>
      </c>
      <c r="B257" s="48" t="s">
        <v>1586</v>
      </c>
      <c r="C257" s="47" t="s">
        <v>1105</v>
      </c>
      <c r="D257" s="48" t="s">
        <v>1009</v>
      </c>
      <c r="E257" s="48" t="s">
        <v>1010</v>
      </c>
      <c r="F257" s="48" t="s">
        <v>1106</v>
      </c>
      <c r="G257" s="48" t="s">
        <v>1107</v>
      </c>
      <c r="H257" s="47" t="s">
        <v>1108</v>
      </c>
      <c r="I257" s="47" t="s">
        <v>1109</v>
      </c>
      <c r="J257" s="47" t="s">
        <v>26</v>
      </c>
    </row>
    <row r="258" ht="54" customHeight="1" spans="1:10">
      <c r="A258" s="48" t="s">
        <v>93</v>
      </c>
      <c r="B258" s="48" t="s">
        <v>1587</v>
      </c>
      <c r="C258" s="47" t="s">
        <v>1036</v>
      </c>
      <c r="D258" s="48" t="s">
        <v>1037</v>
      </c>
      <c r="E258" s="48" t="s">
        <v>1038</v>
      </c>
      <c r="F258" s="48" t="s">
        <v>1039</v>
      </c>
      <c r="G258" s="48" t="s">
        <v>1040</v>
      </c>
      <c r="H258" s="47" t="s">
        <v>1041</v>
      </c>
      <c r="I258" s="47" t="s">
        <v>1042</v>
      </c>
      <c r="J258" s="47" t="s">
        <v>26</v>
      </c>
    </row>
    <row r="259" ht="54" customHeight="1" spans="1:10">
      <c r="A259" s="48" t="s">
        <v>93</v>
      </c>
      <c r="B259" s="48" t="s">
        <v>1588</v>
      </c>
      <c r="C259" s="47" t="s">
        <v>1589</v>
      </c>
      <c r="D259" s="48" t="s">
        <v>943</v>
      </c>
      <c r="E259" s="48" t="s">
        <v>944</v>
      </c>
      <c r="F259" s="48" t="s">
        <v>1590</v>
      </c>
      <c r="G259" s="48" t="s">
        <v>1591</v>
      </c>
      <c r="H259" s="47" t="s">
        <v>1592</v>
      </c>
      <c r="I259" s="47" t="s">
        <v>1593</v>
      </c>
      <c r="J259" s="47" t="s">
        <v>26</v>
      </c>
    </row>
    <row r="260" ht="54" customHeight="1" spans="1:10">
      <c r="A260" s="48" t="s">
        <v>95</v>
      </c>
      <c r="B260" s="48" t="s">
        <v>1594</v>
      </c>
      <c r="C260" s="47" t="s">
        <v>956</v>
      </c>
      <c r="D260" s="48" t="s">
        <v>957</v>
      </c>
      <c r="E260" s="48" t="s">
        <v>958</v>
      </c>
      <c r="F260" s="48" t="s">
        <v>959</v>
      </c>
      <c r="G260" s="48" t="s">
        <v>960</v>
      </c>
      <c r="H260" s="47" t="s">
        <v>961</v>
      </c>
      <c r="I260" s="47" t="s">
        <v>962</v>
      </c>
      <c r="J260" s="47" t="s">
        <v>26</v>
      </c>
    </row>
    <row r="261" ht="54" customHeight="1" spans="1:10">
      <c r="A261" s="48" t="s">
        <v>95</v>
      </c>
      <c r="B261" s="48" t="s">
        <v>1595</v>
      </c>
      <c r="C261" s="47" t="s">
        <v>977</v>
      </c>
      <c r="D261" s="48" t="s">
        <v>978</v>
      </c>
      <c r="E261" s="48" t="s">
        <v>979</v>
      </c>
      <c r="F261" s="48" t="s">
        <v>980</v>
      </c>
      <c r="G261" s="48" t="s">
        <v>981</v>
      </c>
      <c r="H261" s="47" t="s">
        <v>982</v>
      </c>
      <c r="I261" s="47" t="s">
        <v>983</v>
      </c>
      <c r="J261" s="47" t="s">
        <v>26</v>
      </c>
    </row>
    <row r="262" ht="54" customHeight="1" spans="1:10">
      <c r="A262" s="48" t="s">
        <v>95</v>
      </c>
      <c r="B262" s="48" t="s">
        <v>1596</v>
      </c>
      <c r="C262" s="47" t="s">
        <v>1205</v>
      </c>
      <c r="D262" s="48" t="s">
        <v>978</v>
      </c>
      <c r="E262" s="48" t="s">
        <v>979</v>
      </c>
      <c r="F262" s="48" t="s">
        <v>1206</v>
      </c>
      <c r="G262" s="48" t="s">
        <v>1207</v>
      </c>
      <c r="H262" s="47" t="s">
        <v>1208</v>
      </c>
      <c r="I262" s="47" t="s">
        <v>1209</v>
      </c>
      <c r="J262" s="47" t="s">
        <v>26</v>
      </c>
    </row>
    <row r="263" ht="54" customHeight="1" spans="1:10">
      <c r="A263" s="48" t="s">
        <v>95</v>
      </c>
      <c r="B263" s="48" t="s">
        <v>1597</v>
      </c>
      <c r="C263" s="47" t="s">
        <v>1216</v>
      </c>
      <c r="D263" s="48" t="s">
        <v>993</v>
      </c>
      <c r="E263" s="48" t="s">
        <v>994</v>
      </c>
      <c r="F263" s="48" t="s">
        <v>1217</v>
      </c>
      <c r="G263" s="48" t="s">
        <v>1218</v>
      </c>
      <c r="H263" s="47" t="s">
        <v>1219</v>
      </c>
      <c r="I263" s="47" t="s">
        <v>1220</v>
      </c>
      <c r="J263" s="47" t="s">
        <v>26</v>
      </c>
    </row>
    <row r="264" ht="54" customHeight="1" spans="1:10">
      <c r="A264" s="48" t="s">
        <v>97</v>
      </c>
      <c r="B264" s="48" t="s">
        <v>1598</v>
      </c>
      <c r="C264" s="47" t="s">
        <v>1153</v>
      </c>
      <c r="D264" s="48" t="s">
        <v>943</v>
      </c>
      <c r="E264" s="48" t="s">
        <v>944</v>
      </c>
      <c r="F264" s="48" t="s">
        <v>1154</v>
      </c>
      <c r="G264" s="48" t="s">
        <v>1155</v>
      </c>
      <c r="H264" s="47" t="s">
        <v>1156</v>
      </c>
      <c r="I264" s="47" t="s">
        <v>1157</v>
      </c>
      <c r="J264" s="47" t="s">
        <v>29</v>
      </c>
    </row>
    <row r="265" ht="54" customHeight="1" spans="1:10">
      <c r="A265" s="48" t="s">
        <v>97</v>
      </c>
      <c r="B265" s="48" t="s">
        <v>1599</v>
      </c>
      <c r="C265" s="47" t="s">
        <v>1421</v>
      </c>
      <c r="D265" s="48" t="s">
        <v>1422</v>
      </c>
      <c r="E265" s="48" t="s">
        <v>1423</v>
      </c>
      <c r="F265" s="48" t="s">
        <v>1424</v>
      </c>
      <c r="G265" s="48" t="s">
        <v>1423</v>
      </c>
      <c r="H265" s="47" t="s">
        <v>1425</v>
      </c>
      <c r="I265" s="47" t="s">
        <v>1426</v>
      </c>
      <c r="J265" s="47" t="s">
        <v>29</v>
      </c>
    </row>
    <row r="266" ht="54" customHeight="1" spans="1:10">
      <c r="A266" s="48" t="s">
        <v>97</v>
      </c>
      <c r="B266" s="48" t="s">
        <v>1600</v>
      </c>
      <c r="C266" s="47" t="s">
        <v>1601</v>
      </c>
      <c r="D266" s="48" t="s">
        <v>1184</v>
      </c>
      <c r="E266" s="48" t="s">
        <v>1185</v>
      </c>
      <c r="F266" s="48" t="s">
        <v>1602</v>
      </c>
      <c r="G266" s="48" t="s">
        <v>1603</v>
      </c>
      <c r="H266" s="47" t="s">
        <v>1604</v>
      </c>
      <c r="I266" s="47" t="s">
        <v>1605</v>
      </c>
      <c r="J266" s="47" t="s">
        <v>29</v>
      </c>
    </row>
    <row r="267" ht="54" customHeight="1" spans="1:10">
      <c r="A267" s="48" t="s">
        <v>97</v>
      </c>
      <c r="B267" s="48" t="s">
        <v>1606</v>
      </c>
      <c r="C267" s="47" t="s">
        <v>956</v>
      </c>
      <c r="D267" s="48" t="s">
        <v>957</v>
      </c>
      <c r="E267" s="48" t="s">
        <v>958</v>
      </c>
      <c r="F267" s="48" t="s">
        <v>959</v>
      </c>
      <c r="G267" s="48" t="s">
        <v>960</v>
      </c>
      <c r="H267" s="47" t="s">
        <v>961</v>
      </c>
      <c r="I267" s="47" t="s">
        <v>962</v>
      </c>
      <c r="J267" s="47" t="s">
        <v>29</v>
      </c>
    </row>
    <row r="268" ht="54" customHeight="1" spans="1:10">
      <c r="A268" s="48" t="s">
        <v>97</v>
      </c>
      <c r="B268" s="48" t="s">
        <v>1607</v>
      </c>
      <c r="C268" s="47" t="s">
        <v>1036</v>
      </c>
      <c r="D268" s="48" t="s">
        <v>1037</v>
      </c>
      <c r="E268" s="48" t="s">
        <v>1038</v>
      </c>
      <c r="F268" s="48" t="s">
        <v>1039</v>
      </c>
      <c r="G268" s="48" t="s">
        <v>1040</v>
      </c>
      <c r="H268" s="47" t="s">
        <v>1041</v>
      </c>
      <c r="I268" s="47" t="s">
        <v>1042</v>
      </c>
      <c r="J268" s="47" t="s">
        <v>29</v>
      </c>
    </row>
    <row r="269" ht="54" customHeight="1" spans="1:10">
      <c r="A269" s="48" t="s">
        <v>97</v>
      </c>
      <c r="B269" s="48" t="s">
        <v>1608</v>
      </c>
      <c r="C269" s="47" t="s">
        <v>1052</v>
      </c>
      <c r="D269" s="48" t="s">
        <v>1009</v>
      </c>
      <c r="E269" s="48" t="s">
        <v>1010</v>
      </c>
      <c r="F269" s="48" t="s">
        <v>1053</v>
      </c>
      <c r="G269" s="48" t="s">
        <v>1054</v>
      </c>
      <c r="H269" s="47" t="s">
        <v>1055</v>
      </c>
      <c r="I269" s="47" t="s">
        <v>1056</v>
      </c>
      <c r="J269" s="47" t="s">
        <v>29</v>
      </c>
    </row>
    <row r="270" ht="54" customHeight="1" spans="1:10">
      <c r="A270" s="48" t="s">
        <v>97</v>
      </c>
      <c r="B270" s="48" t="s">
        <v>1609</v>
      </c>
      <c r="C270" s="47" t="s">
        <v>1610</v>
      </c>
      <c r="D270" s="48" t="s">
        <v>1098</v>
      </c>
      <c r="E270" s="48" t="s">
        <v>1099</v>
      </c>
      <c r="F270" s="48" t="s">
        <v>1611</v>
      </c>
      <c r="G270" s="48" t="s">
        <v>1612</v>
      </c>
      <c r="H270" s="47" t="s">
        <v>1613</v>
      </c>
      <c r="I270" s="47" t="s">
        <v>1614</v>
      </c>
      <c r="J270" s="47" t="s">
        <v>29</v>
      </c>
    </row>
    <row r="271" ht="54" customHeight="1" spans="1:10">
      <c r="A271" s="48" t="s">
        <v>97</v>
      </c>
      <c r="B271" s="48" t="s">
        <v>1615</v>
      </c>
      <c r="C271" s="47" t="s">
        <v>1388</v>
      </c>
      <c r="D271" s="48" t="s">
        <v>1037</v>
      </c>
      <c r="E271" s="48" t="s">
        <v>1038</v>
      </c>
      <c r="F271" s="48" t="s">
        <v>1389</v>
      </c>
      <c r="G271" s="48" t="s">
        <v>1390</v>
      </c>
      <c r="H271" s="47" t="s">
        <v>1391</v>
      </c>
      <c r="I271" s="47" t="s">
        <v>1392</v>
      </c>
      <c r="J271" s="47" t="s">
        <v>29</v>
      </c>
    </row>
    <row r="272" ht="54" customHeight="1" spans="1:10">
      <c r="A272" s="48" t="s">
        <v>99</v>
      </c>
      <c r="B272" s="48" t="s">
        <v>1616</v>
      </c>
      <c r="C272" s="47" t="s">
        <v>934</v>
      </c>
      <c r="D272" s="48" t="s">
        <v>935</v>
      </c>
      <c r="E272" s="48" t="s">
        <v>936</v>
      </c>
      <c r="F272" s="48" t="s">
        <v>937</v>
      </c>
      <c r="G272" s="48" t="s">
        <v>938</v>
      </c>
      <c r="H272" s="47" t="s">
        <v>939</v>
      </c>
      <c r="I272" s="47" t="s">
        <v>940</v>
      </c>
      <c r="J272" s="47" t="s">
        <v>26</v>
      </c>
    </row>
    <row r="273" ht="54" customHeight="1" spans="1:10">
      <c r="A273" s="48" t="s">
        <v>99</v>
      </c>
      <c r="B273" s="48" t="s">
        <v>1617</v>
      </c>
      <c r="C273" s="47" t="s">
        <v>1022</v>
      </c>
      <c r="D273" s="48" t="s">
        <v>957</v>
      </c>
      <c r="E273" s="48" t="s">
        <v>958</v>
      </c>
      <c r="F273" s="48" t="s">
        <v>1023</v>
      </c>
      <c r="G273" s="48" t="s">
        <v>1024</v>
      </c>
      <c r="H273" s="47" t="s">
        <v>1025</v>
      </c>
      <c r="I273" s="47" t="s">
        <v>1026</v>
      </c>
      <c r="J273" s="47" t="s">
        <v>26</v>
      </c>
    </row>
    <row r="274" ht="54" customHeight="1" spans="1:10">
      <c r="A274" s="48" t="s">
        <v>99</v>
      </c>
      <c r="B274" s="48" t="s">
        <v>1618</v>
      </c>
      <c r="C274" s="47" t="s">
        <v>1081</v>
      </c>
      <c r="D274" s="48" t="s">
        <v>1082</v>
      </c>
      <c r="E274" s="48" t="s">
        <v>1083</v>
      </c>
      <c r="F274" s="48" t="s">
        <v>1084</v>
      </c>
      <c r="G274" s="48" t="s">
        <v>1085</v>
      </c>
      <c r="H274" s="47" t="s">
        <v>1086</v>
      </c>
      <c r="I274" s="47" t="s">
        <v>1087</v>
      </c>
      <c r="J274" s="47" t="s">
        <v>26</v>
      </c>
    </row>
    <row r="275" ht="54" customHeight="1" spans="1:10">
      <c r="A275" s="48" t="s">
        <v>99</v>
      </c>
      <c r="B275" s="48" t="s">
        <v>1619</v>
      </c>
      <c r="C275" s="47" t="s">
        <v>1089</v>
      </c>
      <c r="D275" s="48" t="s">
        <v>957</v>
      </c>
      <c r="E275" s="48" t="s">
        <v>958</v>
      </c>
      <c r="F275" s="48" t="s">
        <v>1090</v>
      </c>
      <c r="G275" s="48" t="s">
        <v>1091</v>
      </c>
      <c r="H275" s="47" t="s">
        <v>1092</v>
      </c>
      <c r="I275" s="47" t="s">
        <v>1093</v>
      </c>
      <c r="J275" s="47" t="s">
        <v>26</v>
      </c>
    </row>
    <row r="276" ht="54" customHeight="1" spans="1:10">
      <c r="A276" s="48" t="s">
        <v>99</v>
      </c>
      <c r="B276" s="48" t="s">
        <v>1620</v>
      </c>
      <c r="C276" s="47" t="s">
        <v>950</v>
      </c>
      <c r="D276" s="48" t="s">
        <v>935</v>
      </c>
      <c r="E276" s="48" t="s">
        <v>936</v>
      </c>
      <c r="F276" s="48" t="s">
        <v>951</v>
      </c>
      <c r="G276" s="48" t="s">
        <v>952</v>
      </c>
      <c r="H276" s="47" t="s">
        <v>953</v>
      </c>
      <c r="I276" s="47" t="s">
        <v>954</v>
      </c>
      <c r="J276" s="47" t="s">
        <v>26</v>
      </c>
    </row>
    <row r="277" ht="54" customHeight="1" spans="1:10">
      <c r="A277" s="48" t="s">
        <v>99</v>
      </c>
      <c r="B277" s="48" t="s">
        <v>1621</v>
      </c>
      <c r="C277" s="47" t="s">
        <v>1105</v>
      </c>
      <c r="D277" s="48" t="s">
        <v>1009</v>
      </c>
      <c r="E277" s="48" t="s">
        <v>1010</v>
      </c>
      <c r="F277" s="48" t="s">
        <v>1106</v>
      </c>
      <c r="G277" s="48" t="s">
        <v>1107</v>
      </c>
      <c r="H277" s="47" t="s">
        <v>1108</v>
      </c>
      <c r="I277" s="47" t="s">
        <v>1109</v>
      </c>
      <c r="J277" s="47" t="s">
        <v>26</v>
      </c>
    </row>
    <row r="278" ht="54" customHeight="1" spans="1:10">
      <c r="A278" s="48" t="s">
        <v>99</v>
      </c>
      <c r="B278" s="48" t="s">
        <v>1622</v>
      </c>
      <c r="C278" s="47" t="s">
        <v>1058</v>
      </c>
      <c r="D278" s="48" t="s">
        <v>1059</v>
      </c>
      <c r="E278" s="48" t="s">
        <v>1060</v>
      </c>
      <c r="F278" s="48" t="s">
        <v>1061</v>
      </c>
      <c r="G278" s="48" t="s">
        <v>1062</v>
      </c>
      <c r="H278" s="47" t="s">
        <v>1063</v>
      </c>
      <c r="I278" s="47" t="s">
        <v>1064</v>
      </c>
      <c r="J278" s="47" t="s">
        <v>26</v>
      </c>
    </row>
    <row r="279" ht="54" customHeight="1" spans="1:10">
      <c r="A279" s="48" t="s">
        <v>99</v>
      </c>
      <c r="B279" s="48" t="s">
        <v>1623</v>
      </c>
      <c r="C279" s="47" t="s">
        <v>1375</v>
      </c>
      <c r="D279" s="48" t="s">
        <v>1098</v>
      </c>
      <c r="E279" s="48" t="s">
        <v>1099</v>
      </c>
      <c r="F279" s="48" t="s">
        <v>1376</v>
      </c>
      <c r="G279" s="48" t="s">
        <v>1377</v>
      </c>
      <c r="H279" s="47" t="s">
        <v>1378</v>
      </c>
      <c r="I279" s="47" t="s">
        <v>1379</v>
      </c>
      <c r="J279" s="47" t="s">
        <v>26</v>
      </c>
    </row>
    <row r="280" ht="54" customHeight="1" spans="1:10">
      <c r="A280" s="48" t="s">
        <v>101</v>
      </c>
      <c r="B280" s="48" t="s">
        <v>1624</v>
      </c>
      <c r="C280" s="47" t="s">
        <v>1022</v>
      </c>
      <c r="D280" s="48" t="s">
        <v>957</v>
      </c>
      <c r="E280" s="48" t="s">
        <v>958</v>
      </c>
      <c r="F280" s="48" t="s">
        <v>1023</v>
      </c>
      <c r="G280" s="48" t="s">
        <v>1024</v>
      </c>
      <c r="H280" s="47" t="s">
        <v>1025</v>
      </c>
      <c r="I280" s="47" t="s">
        <v>1026</v>
      </c>
      <c r="J280" s="47" t="s">
        <v>26</v>
      </c>
    </row>
    <row r="281" ht="54" customHeight="1" spans="1:10">
      <c r="A281" s="48" t="s">
        <v>101</v>
      </c>
      <c r="B281" s="48" t="s">
        <v>1625</v>
      </c>
      <c r="C281" s="47" t="s">
        <v>1117</v>
      </c>
      <c r="D281" s="48" t="s">
        <v>1118</v>
      </c>
      <c r="E281" s="48" t="s">
        <v>1119</v>
      </c>
      <c r="F281" s="48" t="s">
        <v>1120</v>
      </c>
      <c r="G281" s="48" t="s">
        <v>1121</v>
      </c>
      <c r="H281" s="47" t="s">
        <v>1122</v>
      </c>
      <c r="I281" s="47" t="s">
        <v>1123</v>
      </c>
      <c r="J281" s="47" t="s">
        <v>26</v>
      </c>
    </row>
    <row r="282" ht="54" customHeight="1" spans="1:10">
      <c r="A282" s="48" t="s">
        <v>101</v>
      </c>
      <c r="B282" s="48" t="s">
        <v>1626</v>
      </c>
      <c r="C282" s="47" t="s">
        <v>1285</v>
      </c>
      <c r="D282" s="48" t="s">
        <v>965</v>
      </c>
      <c r="E282" s="48" t="s">
        <v>966</v>
      </c>
      <c r="F282" s="48" t="s">
        <v>1286</v>
      </c>
      <c r="G282" s="48" t="s">
        <v>1287</v>
      </c>
      <c r="H282" s="47" t="s">
        <v>1288</v>
      </c>
      <c r="I282" s="47" t="s">
        <v>1289</v>
      </c>
      <c r="J282" s="47" t="s">
        <v>26</v>
      </c>
    </row>
    <row r="283" ht="54" customHeight="1" spans="1:10">
      <c r="A283" s="48" t="s">
        <v>101</v>
      </c>
      <c r="B283" s="48" t="s">
        <v>1627</v>
      </c>
      <c r="C283" s="47" t="s">
        <v>1291</v>
      </c>
      <c r="D283" s="48" t="s">
        <v>965</v>
      </c>
      <c r="E283" s="48" t="s">
        <v>966</v>
      </c>
      <c r="F283" s="48" t="s">
        <v>1292</v>
      </c>
      <c r="G283" s="48" t="s">
        <v>1293</v>
      </c>
      <c r="H283" s="47" t="s">
        <v>1294</v>
      </c>
      <c r="I283" s="47" t="s">
        <v>1295</v>
      </c>
      <c r="J283" s="47" t="s">
        <v>26</v>
      </c>
    </row>
    <row r="284" ht="54" customHeight="1" spans="1:10">
      <c r="A284" s="48" t="s">
        <v>101</v>
      </c>
      <c r="B284" s="48" t="s">
        <v>1628</v>
      </c>
      <c r="C284" s="47" t="s">
        <v>1356</v>
      </c>
      <c r="D284" s="48" t="s">
        <v>1082</v>
      </c>
      <c r="E284" s="48" t="s">
        <v>1083</v>
      </c>
      <c r="F284" s="48" t="s">
        <v>1357</v>
      </c>
      <c r="G284" s="48" t="s">
        <v>1358</v>
      </c>
      <c r="H284" s="47" t="s">
        <v>1359</v>
      </c>
      <c r="I284" s="47" t="s">
        <v>1360</v>
      </c>
      <c r="J284" s="47" t="s">
        <v>26</v>
      </c>
    </row>
    <row r="285" ht="54" customHeight="1" spans="1:10">
      <c r="A285" s="48" t="s">
        <v>101</v>
      </c>
      <c r="B285" s="48" t="s">
        <v>1629</v>
      </c>
      <c r="C285" s="47" t="s">
        <v>1145</v>
      </c>
      <c r="D285" s="48" t="s">
        <v>1146</v>
      </c>
      <c r="E285" s="48" t="s">
        <v>1147</v>
      </c>
      <c r="F285" s="48" t="s">
        <v>1148</v>
      </c>
      <c r="G285" s="48" t="s">
        <v>1149</v>
      </c>
      <c r="H285" s="47" t="s">
        <v>1150</v>
      </c>
      <c r="I285" s="47" t="s">
        <v>1151</v>
      </c>
      <c r="J285" s="47" t="s">
        <v>26</v>
      </c>
    </row>
    <row r="286" ht="54" customHeight="1" spans="1:10">
      <c r="A286" s="48" t="s">
        <v>103</v>
      </c>
      <c r="B286" s="48" t="s">
        <v>1630</v>
      </c>
      <c r="C286" s="47" t="s">
        <v>1480</v>
      </c>
      <c r="D286" s="48" t="s">
        <v>1001</v>
      </c>
      <c r="E286" s="48" t="s">
        <v>1002</v>
      </c>
      <c r="F286" s="48" t="s">
        <v>1481</v>
      </c>
      <c r="G286" s="48" t="s">
        <v>1482</v>
      </c>
      <c r="H286" s="47" t="s">
        <v>1483</v>
      </c>
      <c r="I286" s="47" t="s">
        <v>1484</v>
      </c>
      <c r="J286" s="47" t="s">
        <v>26</v>
      </c>
    </row>
    <row r="287" ht="54" customHeight="1" spans="1:10">
      <c r="A287" s="48" t="s">
        <v>103</v>
      </c>
      <c r="B287" s="48" t="s">
        <v>1631</v>
      </c>
      <c r="C287" s="47" t="s">
        <v>1081</v>
      </c>
      <c r="D287" s="48" t="s">
        <v>1082</v>
      </c>
      <c r="E287" s="48" t="s">
        <v>1083</v>
      </c>
      <c r="F287" s="48" t="s">
        <v>1084</v>
      </c>
      <c r="G287" s="48" t="s">
        <v>1085</v>
      </c>
      <c r="H287" s="47" t="s">
        <v>1086</v>
      </c>
      <c r="I287" s="47" t="s">
        <v>1087</v>
      </c>
      <c r="J287" s="47" t="s">
        <v>26</v>
      </c>
    </row>
    <row r="288" ht="54" customHeight="1" spans="1:10">
      <c r="A288" s="48" t="s">
        <v>103</v>
      </c>
      <c r="B288" s="48" t="s">
        <v>1632</v>
      </c>
      <c r="C288" s="47" t="s">
        <v>956</v>
      </c>
      <c r="D288" s="48" t="s">
        <v>957</v>
      </c>
      <c r="E288" s="48" t="s">
        <v>958</v>
      </c>
      <c r="F288" s="48" t="s">
        <v>959</v>
      </c>
      <c r="G288" s="48" t="s">
        <v>960</v>
      </c>
      <c r="H288" s="47" t="s">
        <v>961</v>
      </c>
      <c r="I288" s="47" t="s">
        <v>962</v>
      </c>
      <c r="J288" s="47" t="s">
        <v>26</v>
      </c>
    </row>
    <row r="289" ht="54" customHeight="1" spans="1:10">
      <c r="A289" s="48" t="s">
        <v>103</v>
      </c>
      <c r="B289" s="48" t="s">
        <v>1633</v>
      </c>
      <c r="C289" s="47" t="s">
        <v>1105</v>
      </c>
      <c r="D289" s="48" t="s">
        <v>1009</v>
      </c>
      <c r="E289" s="48" t="s">
        <v>1010</v>
      </c>
      <c r="F289" s="48" t="s">
        <v>1106</v>
      </c>
      <c r="G289" s="48" t="s">
        <v>1107</v>
      </c>
      <c r="H289" s="47" t="s">
        <v>1108</v>
      </c>
      <c r="I289" s="47" t="s">
        <v>1109</v>
      </c>
      <c r="J289" s="47" t="s">
        <v>26</v>
      </c>
    </row>
    <row r="290" ht="54" customHeight="1" spans="1:10">
      <c r="A290" s="48" t="s">
        <v>103</v>
      </c>
      <c r="B290" s="48" t="s">
        <v>1634</v>
      </c>
      <c r="C290" s="47" t="s">
        <v>1044</v>
      </c>
      <c r="D290" s="48" t="s">
        <v>1045</v>
      </c>
      <c r="E290" s="48" t="s">
        <v>1046</v>
      </c>
      <c r="F290" s="48" t="s">
        <v>1047</v>
      </c>
      <c r="G290" s="48" t="s">
        <v>1048</v>
      </c>
      <c r="H290" s="47" t="s">
        <v>1049</v>
      </c>
      <c r="I290" s="47" t="s">
        <v>1050</v>
      </c>
      <c r="J290" s="47" t="s">
        <v>26</v>
      </c>
    </row>
    <row r="291" ht="54" customHeight="1" spans="1:10">
      <c r="A291" s="48" t="s">
        <v>103</v>
      </c>
      <c r="B291" s="48" t="s">
        <v>1635</v>
      </c>
      <c r="C291" s="47" t="s">
        <v>1052</v>
      </c>
      <c r="D291" s="48" t="s">
        <v>1009</v>
      </c>
      <c r="E291" s="48" t="s">
        <v>1010</v>
      </c>
      <c r="F291" s="48" t="s">
        <v>1053</v>
      </c>
      <c r="G291" s="48" t="s">
        <v>1054</v>
      </c>
      <c r="H291" s="47" t="s">
        <v>1055</v>
      </c>
      <c r="I291" s="47" t="s">
        <v>1056</v>
      </c>
      <c r="J291" s="47" t="s">
        <v>26</v>
      </c>
    </row>
    <row r="292" ht="54" customHeight="1" spans="1:10">
      <c r="A292" s="48" t="s">
        <v>103</v>
      </c>
      <c r="B292" s="48" t="s">
        <v>1636</v>
      </c>
      <c r="C292" s="47" t="s">
        <v>1097</v>
      </c>
      <c r="D292" s="48" t="s">
        <v>1098</v>
      </c>
      <c r="E292" s="48" t="s">
        <v>1099</v>
      </c>
      <c r="F292" s="48" t="s">
        <v>1100</v>
      </c>
      <c r="G292" s="48" t="s">
        <v>1101</v>
      </c>
      <c r="H292" s="47" t="s">
        <v>1102</v>
      </c>
      <c r="I292" s="47" t="s">
        <v>1103</v>
      </c>
      <c r="J292" s="47" t="s">
        <v>26</v>
      </c>
    </row>
    <row r="293" ht="54" customHeight="1" spans="1:10">
      <c r="A293" s="48" t="s">
        <v>103</v>
      </c>
      <c r="B293" s="48" t="s">
        <v>1637</v>
      </c>
      <c r="C293" s="47" t="s">
        <v>1638</v>
      </c>
      <c r="D293" s="48" t="s">
        <v>1118</v>
      </c>
      <c r="E293" s="48" t="s">
        <v>1119</v>
      </c>
      <c r="F293" s="48" t="s">
        <v>1639</v>
      </c>
      <c r="G293" s="48" t="s">
        <v>1640</v>
      </c>
      <c r="H293" s="47" t="s">
        <v>1641</v>
      </c>
      <c r="I293" s="47" t="s">
        <v>1642</v>
      </c>
      <c r="J293" s="47" t="s">
        <v>26</v>
      </c>
    </row>
    <row r="294" ht="54" customHeight="1" spans="1:10">
      <c r="A294" s="48" t="s">
        <v>103</v>
      </c>
      <c r="B294" s="48" t="s">
        <v>1643</v>
      </c>
      <c r="C294" s="47" t="s">
        <v>1388</v>
      </c>
      <c r="D294" s="48" t="s">
        <v>1037</v>
      </c>
      <c r="E294" s="48" t="s">
        <v>1038</v>
      </c>
      <c r="F294" s="48" t="s">
        <v>1389</v>
      </c>
      <c r="G294" s="48" t="s">
        <v>1390</v>
      </c>
      <c r="H294" s="47" t="s">
        <v>1391</v>
      </c>
      <c r="I294" s="47" t="s">
        <v>1392</v>
      </c>
      <c r="J294" s="47" t="s">
        <v>26</v>
      </c>
    </row>
    <row r="295" ht="54" customHeight="1" spans="1:10">
      <c r="A295" s="48" t="s">
        <v>103</v>
      </c>
      <c r="B295" s="48" t="s">
        <v>1644</v>
      </c>
      <c r="C295" s="47" t="s">
        <v>1285</v>
      </c>
      <c r="D295" s="48" t="s">
        <v>965</v>
      </c>
      <c r="E295" s="48" t="s">
        <v>966</v>
      </c>
      <c r="F295" s="48" t="s">
        <v>1286</v>
      </c>
      <c r="G295" s="48" t="s">
        <v>1287</v>
      </c>
      <c r="H295" s="47" t="s">
        <v>1288</v>
      </c>
      <c r="I295" s="47" t="s">
        <v>1289</v>
      </c>
      <c r="J295" s="47" t="s">
        <v>26</v>
      </c>
    </row>
    <row r="296" ht="54" customHeight="1" spans="1:10">
      <c r="A296" s="48" t="s">
        <v>103</v>
      </c>
      <c r="B296" s="48" t="s">
        <v>1645</v>
      </c>
      <c r="C296" s="47" t="s">
        <v>1137</v>
      </c>
      <c r="D296" s="48" t="s">
        <v>1138</v>
      </c>
      <c r="E296" s="48" t="s">
        <v>1139</v>
      </c>
      <c r="F296" s="48" t="s">
        <v>1140</v>
      </c>
      <c r="G296" s="48" t="s">
        <v>1141</v>
      </c>
      <c r="H296" s="47" t="s">
        <v>1142</v>
      </c>
      <c r="I296" s="47" t="s">
        <v>940</v>
      </c>
      <c r="J296" s="47" t="s">
        <v>26</v>
      </c>
    </row>
    <row r="297" ht="54" customHeight="1" spans="1:10">
      <c r="A297" s="48" t="s">
        <v>103</v>
      </c>
      <c r="B297" s="48" t="s">
        <v>1646</v>
      </c>
      <c r="C297" s="47" t="s">
        <v>1313</v>
      </c>
      <c r="D297" s="48" t="s">
        <v>1037</v>
      </c>
      <c r="E297" s="48" t="s">
        <v>1038</v>
      </c>
      <c r="F297" s="48" t="s">
        <v>1314</v>
      </c>
      <c r="G297" s="48" t="s">
        <v>1315</v>
      </c>
      <c r="H297" s="47" t="s">
        <v>1316</v>
      </c>
      <c r="I297" s="47" t="s">
        <v>1317</v>
      </c>
      <c r="J297" s="47" t="s">
        <v>26</v>
      </c>
    </row>
    <row r="298" ht="54" customHeight="1" spans="1:10">
      <c r="A298" s="48" t="s">
        <v>105</v>
      </c>
      <c r="B298" s="48" t="s">
        <v>1647</v>
      </c>
      <c r="C298" s="47" t="s">
        <v>1480</v>
      </c>
      <c r="D298" s="48" t="s">
        <v>1001</v>
      </c>
      <c r="E298" s="48" t="s">
        <v>1002</v>
      </c>
      <c r="F298" s="48" t="s">
        <v>1481</v>
      </c>
      <c r="G298" s="48" t="s">
        <v>1482</v>
      </c>
      <c r="H298" s="47" t="s">
        <v>1483</v>
      </c>
      <c r="I298" s="47" t="s">
        <v>1484</v>
      </c>
      <c r="J298" s="47" t="s">
        <v>29</v>
      </c>
    </row>
    <row r="299" ht="54" customHeight="1" spans="1:10">
      <c r="A299" s="48" t="s">
        <v>105</v>
      </c>
      <c r="B299" s="48" t="s">
        <v>1648</v>
      </c>
      <c r="C299" s="47" t="s">
        <v>956</v>
      </c>
      <c r="D299" s="48" t="s">
        <v>957</v>
      </c>
      <c r="E299" s="48" t="s">
        <v>958</v>
      </c>
      <c r="F299" s="48" t="s">
        <v>959</v>
      </c>
      <c r="G299" s="48" t="s">
        <v>960</v>
      </c>
      <c r="H299" s="47" t="s">
        <v>961</v>
      </c>
      <c r="I299" s="47" t="s">
        <v>962</v>
      </c>
      <c r="J299" s="47" t="s">
        <v>29</v>
      </c>
    </row>
    <row r="300" ht="54" customHeight="1" spans="1:10">
      <c r="A300" s="48" t="s">
        <v>105</v>
      </c>
      <c r="B300" s="48" t="s">
        <v>1649</v>
      </c>
      <c r="C300" s="47" t="s">
        <v>1362</v>
      </c>
      <c r="D300" s="48" t="s">
        <v>1059</v>
      </c>
      <c r="E300" s="48" t="s">
        <v>1060</v>
      </c>
      <c r="F300" s="48" t="s">
        <v>1363</v>
      </c>
      <c r="G300" s="48" t="s">
        <v>1364</v>
      </c>
      <c r="H300" s="47" t="s">
        <v>1365</v>
      </c>
      <c r="I300" s="47" t="s">
        <v>1366</v>
      </c>
      <c r="J300" s="47" t="s">
        <v>29</v>
      </c>
    </row>
    <row r="301" ht="54" customHeight="1" spans="1:10">
      <c r="A301" s="48" t="s">
        <v>105</v>
      </c>
      <c r="B301" s="48" t="s">
        <v>1650</v>
      </c>
      <c r="C301" s="47" t="s">
        <v>1651</v>
      </c>
      <c r="D301" s="48" t="s">
        <v>1082</v>
      </c>
      <c r="E301" s="48" t="s">
        <v>1083</v>
      </c>
      <c r="F301" s="48" t="s">
        <v>1652</v>
      </c>
      <c r="G301" s="48" t="s">
        <v>1653</v>
      </c>
      <c r="H301" s="47" t="s">
        <v>1654</v>
      </c>
      <c r="I301" s="47" t="s">
        <v>1655</v>
      </c>
      <c r="J301" s="47" t="s">
        <v>29</v>
      </c>
    </row>
    <row r="302" ht="54" customHeight="1" spans="1:10">
      <c r="A302" s="48" t="s">
        <v>105</v>
      </c>
      <c r="B302" s="48" t="s">
        <v>1656</v>
      </c>
      <c r="C302" s="47" t="s">
        <v>1097</v>
      </c>
      <c r="D302" s="48" t="s">
        <v>1098</v>
      </c>
      <c r="E302" s="48" t="s">
        <v>1099</v>
      </c>
      <c r="F302" s="48" t="s">
        <v>1100</v>
      </c>
      <c r="G302" s="48" t="s">
        <v>1101</v>
      </c>
      <c r="H302" s="47" t="s">
        <v>1102</v>
      </c>
      <c r="I302" s="47" t="s">
        <v>1103</v>
      </c>
      <c r="J302" s="47" t="s">
        <v>29</v>
      </c>
    </row>
    <row r="303" ht="54" customHeight="1" spans="1:10">
      <c r="A303" s="48" t="s">
        <v>105</v>
      </c>
      <c r="B303" s="48" t="s">
        <v>1657</v>
      </c>
      <c r="C303" s="47" t="s">
        <v>1137</v>
      </c>
      <c r="D303" s="48" t="s">
        <v>1138</v>
      </c>
      <c r="E303" s="48" t="s">
        <v>1139</v>
      </c>
      <c r="F303" s="48" t="s">
        <v>1140</v>
      </c>
      <c r="G303" s="48" t="s">
        <v>1141</v>
      </c>
      <c r="H303" s="47" t="s">
        <v>1142</v>
      </c>
      <c r="I303" s="47" t="s">
        <v>940</v>
      </c>
      <c r="J303" s="47" t="s">
        <v>29</v>
      </c>
    </row>
    <row r="304" ht="54" customHeight="1" spans="1:10">
      <c r="A304" s="48" t="s">
        <v>105</v>
      </c>
      <c r="B304" s="48" t="s">
        <v>1658</v>
      </c>
      <c r="C304" s="47" t="s">
        <v>977</v>
      </c>
      <c r="D304" s="48" t="s">
        <v>978</v>
      </c>
      <c r="E304" s="48" t="s">
        <v>979</v>
      </c>
      <c r="F304" s="48" t="s">
        <v>980</v>
      </c>
      <c r="G304" s="48" t="s">
        <v>981</v>
      </c>
      <c r="H304" s="47" t="s">
        <v>982</v>
      </c>
      <c r="I304" s="47" t="s">
        <v>983</v>
      </c>
      <c r="J304" s="47" t="s">
        <v>29</v>
      </c>
    </row>
    <row r="305" ht="54" customHeight="1" spans="1:10">
      <c r="A305" s="48" t="s">
        <v>105</v>
      </c>
      <c r="B305" s="48" t="s">
        <v>1659</v>
      </c>
      <c r="C305" s="47" t="s">
        <v>1245</v>
      </c>
      <c r="D305" s="48" t="s">
        <v>1171</v>
      </c>
      <c r="E305" s="48" t="s">
        <v>1172</v>
      </c>
      <c r="F305" s="48" t="s">
        <v>1246</v>
      </c>
      <c r="G305" s="48" t="s">
        <v>1247</v>
      </c>
      <c r="H305" s="47" t="s">
        <v>1248</v>
      </c>
      <c r="I305" s="47" t="s">
        <v>1176</v>
      </c>
      <c r="J305" s="47" t="s">
        <v>29</v>
      </c>
    </row>
    <row r="306" ht="54" customHeight="1" spans="1:10">
      <c r="A306" s="48" t="s">
        <v>107</v>
      </c>
      <c r="B306" s="48" t="s">
        <v>1660</v>
      </c>
      <c r="C306" s="47" t="s">
        <v>934</v>
      </c>
      <c r="D306" s="48" t="s">
        <v>935</v>
      </c>
      <c r="E306" s="48" t="s">
        <v>936</v>
      </c>
      <c r="F306" s="48" t="s">
        <v>937</v>
      </c>
      <c r="G306" s="48" t="s">
        <v>938</v>
      </c>
      <c r="H306" s="47" t="s">
        <v>939</v>
      </c>
      <c r="I306" s="47" t="s">
        <v>940</v>
      </c>
      <c r="J306" s="47" t="s">
        <v>26</v>
      </c>
    </row>
    <row r="307" ht="54" customHeight="1" spans="1:10">
      <c r="A307" s="48" t="s">
        <v>107</v>
      </c>
      <c r="B307" s="48" t="s">
        <v>1661</v>
      </c>
      <c r="C307" s="47" t="s">
        <v>1089</v>
      </c>
      <c r="D307" s="48" t="s">
        <v>957</v>
      </c>
      <c r="E307" s="48" t="s">
        <v>958</v>
      </c>
      <c r="F307" s="48" t="s">
        <v>1090</v>
      </c>
      <c r="G307" s="48" t="s">
        <v>1091</v>
      </c>
      <c r="H307" s="47" t="s">
        <v>1092</v>
      </c>
      <c r="I307" s="47" t="s">
        <v>1093</v>
      </c>
      <c r="J307" s="47" t="s">
        <v>26</v>
      </c>
    </row>
    <row r="308" ht="54" customHeight="1" spans="1:10">
      <c r="A308" s="48" t="s">
        <v>107</v>
      </c>
      <c r="B308" s="48" t="s">
        <v>1662</v>
      </c>
      <c r="C308" s="47" t="s">
        <v>956</v>
      </c>
      <c r="D308" s="48" t="s">
        <v>957</v>
      </c>
      <c r="E308" s="48" t="s">
        <v>958</v>
      </c>
      <c r="F308" s="48" t="s">
        <v>959</v>
      </c>
      <c r="G308" s="48" t="s">
        <v>960</v>
      </c>
      <c r="H308" s="47" t="s">
        <v>961</v>
      </c>
      <c r="I308" s="47" t="s">
        <v>962</v>
      </c>
      <c r="J308" s="47" t="s">
        <v>26</v>
      </c>
    </row>
    <row r="309" ht="54" customHeight="1" spans="1:10">
      <c r="A309" s="48" t="s">
        <v>107</v>
      </c>
      <c r="B309" s="48" t="s">
        <v>1663</v>
      </c>
      <c r="C309" s="47" t="s">
        <v>1052</v>
      </c>
      <c r="D309" s="48" t="s">
        <v>1009</v>
      </c>
      <c r="E309" s="48" t="s">
        <v>1010</v>
      </c>
      <c r="F309" s="48" t="s">
        <v>1053</v>
      </c>
      <c r="G309" s="48" t="s">
        <v>1054</v>
      </c>
      <c r="H309" s="47" t="s">
        <v>1055</v>
      </c>
      <c r="I309" s="47" t="s">
        <v>1056</v>
      </c>
      <c r="J309" s="47" t="s">
        <v>26</v>
      </c>
    </row>
    <row r="310" ht="54" customHeight="1" spans="1:10">
      <c r="A310" s="48" t="s">
        <v>107</v>
      </c>
      <c r="B310" s="48" t="s">
        <v>1664</v>
      </c>
      <c r="C310" s="47" t="s">
        <v>1097</v>
      </c>
      <c r="D310" s="48" t="s">
        <v>1098</v>
      </c>
      <c r="E310" s="48" t="s">
        <v>1099</v>
      </c>
      <c r="F310" s="48" t="s">
        <v>1100</v>
      </c>
      <c r="G310" s="48" t="s">
        <v>1101</v>
      </c>
      <c r="H310" s="47" t="s">
        <v>1102</v>
      </c>
      <c r="I310" s="47" t="s">
        <v>1103</v>
      </c>
      <c r="J310" s="47" t="s">
        <v>26</v>
      </c>
    </row>
    <row r="311" ht="54" customHeight="1" spans="1:10">
      <c r="A311" s="48" t="s">
        <v>107</v>
      </c>
      <c r="B311" s="48" t="s">
        <v>1665</v>
      </c>
      <c r="C311" s="47" t="s">
        <v>1666</v>
      </c>
      <c r="D311" s="48" t="s">
        <v>1082</v>
      </c>
      <c r="E311" s="48" t="s">
        <v>1083</v>
      </c>
      <c r="F311" s="48" t="s">
        <v>1667</v>
      </c>
      <c r="G311" s="48" t="s">
        <v>1668</v>
      </c>
      <c r="H311" s="47" t="s">
        <v>1669</v>
      </c>
      <c r="I311" s="47" t="s">
        <v>1670</v>
      </c>
      <c r="J311" s="47" t="s">
        <v>26</v>
      </c>
    </row>
    <row r="312" ht="54" customHeight="1" spans="1:10">
      <c r="A312" s="48" t="s">
        <v>109</v>
      </c>
      <c r="B312" s="48" t="s">
        <v>1671</v>
      </c>
      <c r="C312" s="47" t="s">
        <v>934</v>
      </c>
      <c r="D312" s="48" t="s">
        <v>935</v>
      </c>
      <c r="E312" s="48" t="s">
        <v>936</v>
      </c>
      <c r="F312" s="48" t="s">
        <v>937</v>
      </c>
      <c r="G312" s="48" t="s">
        <v>938</v>
      </c>
      <c r="H312" s="47" t="s">
        <v>939</v>
      </c>
      <c r="I312" s="47" t="s">
        <v>940</v>
      </c>
      <c r="J312" s="47" t="s">
        <v>29</v>
      </c>
    </row>
    <row r="313" ht="54" customHeight="1" spans="1:10">
      <c r="A313" s="48" t="s">
        <v>109</v>
      </c>
      <c r="B313" s="48" t="s">
        <v>1672</v>
      </c>
      <c r="C313" s="47" t="s">
        <v>1089</v>
      </c>
      <c r="D313" s="48" t="s">
        <v>957</v>
      </c>
      <c r="E313" s="48" t="s">
        <v>958</v>
      </c>
      <c r="F313" s="48" t="s">
        <v>1090</v>
      </c>
      <c r="G313" s="48" t="s">
        <v>1091</v>
      </c>
      <c r="H313" s="47" t="s">
        <v>1092</v>
      </c>
      <c r="I313" s="47" t="s">
        <v>1093</v>
      </c>
      <c r="J313" s="47" t="s">
        <v>29</v>
      </c>
    </row>
    <row r="314" ht="54" customHeight="1" spans="1:10">
      <c r="A314" s="48" t="s">
        <v>109</v>
      </c>
      <c r="B314" s="48" t="s">
        <v>1673</v>
      </c>
      <c r="C314" s="47" t="s">
        <v>950</v>
      </c>
      <c r="D314" s="48" t="s">
        <v>935</v>
      </c>
      <c r="E314" s="48" t="s">
        <v>936</v>
      </c>
      <c r="F314" s="48" t="s">
        <v>951</v>
      </c>
      <c r="G314" s="48" t="s">
        <v>952</v>
      </c>
      <c r="H314" s="47" t="s">
        <v>953</v>
      </c>
      <c r="I314" s="47" t="s">
        <v>954</v>
      </c>
      <c r="J314" s="47" t="s">
        <v>29</v>
      </c>
    </row>
    <row r="315" ht="54" customHeight="1" spans="1:10">
      <c r="A315" s="48" t="s">
        <v>109</v>
      </c>
      <c r="B315" s="48" t="s">
        <v>1674</v>
      </c>
      <c r="C315" s="47" t="s">
        <v>1105</v>
      </c>
      <c r="D315" s="48" t="s">
        <v>1009</v>
      </c>
      <c r="E315" s="48" t="s">
        <v>1010</v>
      </c>
      <c r="F315" s="48" t="s">
        <v>1106</v>
      </c>
      <c r="G315" s="48" t="s">
        <v>1107</v>
      </c>
      <c r="H315" s="47" t="s">
        <v>1108</v>
      </c>
      <c r="I315" s="47" t="s">
        <v>1109</v>
      </c>
      <c r="J315" s="47" t="s">
        <v>29</v>
      </c>
    </row>
    <row r="316" ht="54" customHeight="1" spans="1:10">
      <c r="A316" s="48" t="s">
        <v>109</v>
      </c>
      <c r="B316" s="48" t="s">
        <v>1675</v>
      </c>
      <c r="C316" s="47" t="s">
        <v>1066</v>
      </c>
      <c r="D316" s="48" t="s">
        <v>935</v>
      </c>
      <c r="E316" s="48" t="s">
        <v>936</v>
      </c>
      <c r="F316" s="48" t="s">
        <v>1067</v>
      </c>
      <c r="G316" s="48" t="s">
        <v>1068</v>
      </c>
      <c r="H316" s="47" t="s">
        <v>1069</v>
      </c>
      <c r="I316" s="47" t="s">
        <v>940</v>
      </c>
      <c r="J316" s="47" t="s">
        <v>29</v>
      </c>
    </row>
    <row r="317" ht="54" customHeight="1" spans="1:10">
      <c r="A317" s="48" t="s">
        <v>109</v>
      </c>
      <c r="B317" s="48" t="s">
        <v>1676</v>
      </c>
      <c r="C317" s="47" t="s">
        <v>1226</v>
      </c>
      <c r="D317" s="48" t="s">
        <v>965</v>
      </c>
      <c r="E317" s="48" t="s">
        <v>966</v>
      </c>
      <c r="F317" s="48" t="s">
        <v>1227</v>
      </c>
      <c r="G317" s="48" t="s">
        <v>1228</v>
      </c>
      <c r="H317" s="47" t="s">
        <v>1229</v>
      </c>
      <c r="I317" s="47" t="s">
        <v>940</v>
      </c>
      <c r="J317" s="47" t="s">
        <v>29</v>
      </c>
    </row>
    <row r="318" ht="54" customHeight="1" spans="1:10">
      <c r="A318" s="48" t="s">
        <v>109</v>
      </c>
      <c r="B318" s="48" t="s">
        <v>1677</v>
      </c>
      <c r="C318" s="47" t="s">
        <v>971</v>
      </c>
      <c r="D318" s="48" t="s">
        <v>965</v>
      </c>
      <c r="E318" s="48" t="s">
        <v>966</v>
      </c>
      <c r="F318" s="48" t="s">
        <v>972</v>
      </c>
      <c r="G318" s="48" t="s">
        <v>973</v>
      </c>
      <c r="H318" s="47" t="s">
        <v>974</v>
      </c>
      <c r="I318" s="47" t="s">
        <v>975</v>
      </c>
      <c r="J318" s="47" t="s">
        <v>29</v>
      </c>
    </row>
    <row r="319" ht="54" customHeight="1" spans="1:10">
      <c r="A319" s="48" t="s">
        <v>109</v>
      </c>
      <c r="B319" s="48" t="s">
        <v>1678</v>
      </c>
      <c r="C319" s="47" t="s">
        <v>1291</v>
      </c>
      <c r="D319" s="48" t="s">
        <v>965</v>
      </c>
      <c r="E319" s="48" t="s">
        <v>966</v>
      </c>
      <c r="F319" s="48" t="s">
        <v>1292</v>
      </c>
      <c r="G319" s="48" t="s">
        <v>1293</v>
      </c>
      <c r="H319" s="47" t="s">
        <v>1294</v>
      </c>
      <c r="I319" s="47" t="s">
        <v>1295</v>
      </c>
      <c r="J319" s="47" t="s">
        <v>29</v>
      </c>
    </row>
    <row r="320" ht="54" customHeight="1" spans="1:10">
      <c r="A320" s="48" t="s">
        <v>111</v>
      </c>
      <c r="B320" s="48" t="s">
        <v>1679</v>
      </c>
      <c r="C320" s="47" t="s">
        <v>1081</v>
      </c>
      <c r="D320" s="48" t="s">
        <v>1082</v>
      </c>
      <c r="E320" s="48" t="s">
        <v>1083</v>
      </c>
      <c r="F320" s="48" t="s">
        <v>1084</v>
      </c>
      <c r="G320" s="48" t="s">
        <v>1085</v>
      </c>
      <c r="H320" s="47" t="s">
        <v>1086</v>
      </c>
      <c r="I320" s="47" t="s">
        <v>1087</v>
      </c>
      <c r="J320" s="47" t="s">
        <v>26</v>
      </c>
    </row>
    <row r="321" ht="54" customHeight="1" spans="1:10">
      <c r="A321" s="48" t="s">
        <v>111</v>
      </c>
      <c r="B321" s="48" t="s">
        <v>1680</v>
      </c>
      <c r="C321" s="47" t="s">
        <v>1681</v>
      </c>
      <c r="D321" s="48" t="s">
        <v>943</v>
      </c>
      <c r="E321" s="48" t="s">
        <v>944</v>
      </c>
      <c r="F321" s="48" t="s">
        <v>1682</v>
      </c>
      <c r="G321" s="48" t="s">
        <v>1683</v>
      </c>
      <c r="H321" s="47" t="s">
        <v>1684</v>
      </c>
      <c r="I321" s="47" t="s">
        <v>1685</v>
      </c>
      <c r="J321" s="47" t="s">
        <v>26</v>
      </c>
    </row>
    <row r="322" ht="54" customHeight="1" spans="1:10">
      <c r="A322" s="48" t="s">
        <v>111</v>
      </c>
      <c r="B322" s="48" t="s">
        <v>1686</v>
      </c>
      <c r="C322" s="47" t="s">
        <v>1089</v>
      </c>
      <c r="D322" s="48" t="s">
        <v>957</v>
      </c>
      <c r="E322" s="48" t="s">
        <v>958</v>
      </c>
      <c r="F322" s="48" t="s">
        <v>1090</v>
      </c>
      <c r="G322" s="48" t="s">
        <v>1091</v>
      </c>
      <c r="H322" s="47" t="s">
        <v>1092</v>
      </c>
      <c r="I322" s="47" t="s">
        <v>1093</v>
      </c>
      <c r="J322" s="47" t="s">
        <v>26</v>
      </c>
    </row>
    <row r="323" ht="54" customHeight="1" spans="1:10">
      <c r="A323" s="48" t="s">
        <v>111</v>
      </c>
      <c r="B323" s="48" t="s">
        <v>1687</v>
      </c>
      <c r="C323" s="47" t="s">
        <v>956</v>
      </c>
      <c r="D323" s="48" t="s">
        <v>957</v>
      </c>
      <c r="E323" s="48" t="s">
        <v>958</v>
      </c>
      <c r="F323" s="48" t="s">
        <v>959</v>
      </c>
      <c r="G323" s="48" t="s">
        <v>960</v>
      </c>
      <c r="H323" s="47" t="s">
        <v>961</v>
      </c>
      <c r="I323" s="47" t="s">
        <v>962</v>
      </c>
      <c r="J323" s="47" t="s">
        <v>26</v>
      </c>
    </row>
    <row r="324" ht="54" customHeight="1" spans="1:10">
      <c r="A324" s="48" t="s">
        <v>111</v>
      </c>
      <c r="B324" s="48" t="s">
        <v>1688</v>
      </c>
      <c r="C324" s="47" t="s">
        <v>1105</v>
      </c>
      <c r="D324" s="48" t="s">
        <v>1009</v>
      </c>
      <c r="E324" s="48" t="s">
        <v>1010</v>
      </c>
      <c r="F324" s="48" t="s">
        <v>1106</v>
      </c>
      <c r="G324" s="48" t="s">
        <v>1107</v>
      </c>
      <c r="H324" s="47" t="s">
        <v>1108</v>
      </c>
      <c r="I324" s="47" t="s">
        <v>1109</v>
      </c>
      <c r="J324" s="47" t="s">
        <v>26</v>
      </c>
    </row>
    <row r="325" ht="54" customHeight="1" spans="1:10">
      <c r="A325" s="48" t="s">
        <v>111</v>
      </c>
      <c r="B325" s="48" t="s">
        <v>1689</v>
      </c>
      <c r="C325" s="47" t="s">
        <v>1044</v>
      </c>
      <c r="D325" s="48" t="s">
        <v>1045</v>
      </c>
      <c r="E325" s="48" t="s">
        <v>1046</v>
      </c>
      <c r="F325" s="48" t="s">
        <v>1047</v>
      </c>
      <c r="G325" s="48" t="s">
        <v>1048</v>
      </c>
      <c r="H325" s="47" t="s">
        <v>1049</v>
      </c>
      <c r="I325" s="47" t="s">
        <v>1050</v>
      </c>
      <c r="J325" s="47" t="s">
        <v>26</v>
      </c>
    </row>
    <row r="326" ht="54" customHeight="1" spans="1:10">
      <c r="A326" s="48" t="s">
        <v>111</v>
      </c>
      <c r="B326" s="48" t="s">
        <v>1690</v>
      </c>
      <c r="C326" s="47" t="s">
        <v>1277</v>
      </c>
      <c r="D326" s="48" t="s">
        <v>1278</v>
      </c>
      <c r="E326" s="48" t="s">
        <v>1279</v>
      </c>
      <c r="F326" s="48" t="s">
        <v>1280</v>
      </c>
      <c r="G326" s="48" t="s">
        <v>1281</v>
      </c>
      <c r="H326" s="47" t="s">
        <v>1282</v>
      </c>
      <c r="I326" s="47" t="s">
        <v>1283</v>
      </c>
      <c r="J326" s="47" t="s">
        <v>26</v>
      </c>
    </row>
    <row r="327" ht="54" customHeight="1" spans="1:10">
      <c r="A327" s="48" t="s">
        <v>111</v>
      </c>
      <c r="B327" s="48" t="s">
        <v>1691</v>
      </c>
      <c r="C327" s="47" t="s">
        <v>1066</v>
      </c>
      <c r="D327" s="48" t="s">
        <v>935</v>
      </c>
      <c r="E327" s="48" t="s">
        <v>936</v>
      </c>
      <c r="F327" s="48" t="s">
        <v>1067</v>
      </c>
      <c r="G327" s="48" t="s">
        <v>1068</v>
      </c>
      <c r="H327" s="47" t="s">
        <v>1069</v>
      </c>
      <c r="I327" s="47" t="s">
        <v>940</v>
      </c>
      <c r="J327" s="47" t="s">
        <v>26</v>
      </c>
    </row>
    <row r="328" ht="54" customHeight="1" spans="1:10">
      <c r="A328" s="48" t="s">
        <v>111</v>
      </c>
      <c r="B328" s="48" t="s">
        <v>1692</v>
      </c>
      <c r="C328" s="47" t="s">
        <v>1111</v>
      </c>
      <c r="D328" s="48" t="s">
        <v>965</v>
      </c>
      <c r="E328" s="48" t="s">
        <v>966</v>
      </c>
      <c r="F328" s="48" t="s">
        <v>1112</v>
      </c>
      <c r="G328" s="48" t="s">
        <v>1113</v>
      </c>
      <c r="H328" s="47" t="s">
        <v>1114</v>
      </c>
      <c r="I328" s="47" t="s">
        <v>1115</v>
      </c>
      <c r="J328" s="47" t="s">
        <v>26</v>
      </c>
    </row>
    <row r="329" ht="54" customHeight="1" spans="1:10">
      <c r="A329" s="48" t="s">
        <v>111</v>
      </c>
      <c r="B329" s="48" t="s">
        <v>1693</v>
      </c>
      <c r="C329" s="47" t="s">
        <v>1137</v>
      </c>
      <c r="D329" s="48" t="s">
        <v>1138</v>
      </c>
      <c r="E329" s="48" t="s">
        <v>1139</v>
      </c>
      <c r="F329" s="48" t="s">
        <v>1140</v>
      </c>
      <c r="G329" s="48" t="s">
        <v>1141</v>
      </c>
      <c r="H329" s="47" t="s">
        <v>1142</v>
      </c>
      <c r="I329" s="47" t="s">
        <v>940</v>
      </c>
      <c r="J329" s="47" t="s">
        <v>26</v>
      </c>
    </row>
    <row r="330" ht="54" customHeight="1" spans="1:10">
      <c r="A330" s="48" t="s">
        <v>111</v>
      </c>
      <c r="B330" s="48" t="s">
        <v>1694</v>
      </c>
      <c r="C330" s="47" t="s">
        <v>1291</v>
      </c>
      <c r="D330" s="48" t="s">
        <v>965</v>
      </c>
      <c r="E330" s="48" t="s">
        <v>966</v>
      </c>
      <c r="F330" s="48" t="s">
        <v>1292</v>
      </c>
      <c r="G330" s="48" t="s">
        <v>1293</v>
      </c>
      <c r="H330" s="47" t="s">
        <v>1294</v>
      </c>
      <c r="I330" s="47" t="s">
        <v>1295</v>
      </c>
      <c r="J330" s="47" t="s">
        <v>26</v>
      </c>
    </row>
    <row r="331" ht="54" customHeight="1" spans="1:10">
      <c r="A331" s="48" t="s">
        <v>111</v>
      </c>
      <c r="B331" s="48" t="s">
        <v>1695</v>
      </c>
      <c r="C331" s="47" t="s">
        <v>1356</v>
      </c>
      <c r="D331" s="48" t="s">
        <v>1082</v>
      </c>
      <c r="E331" s="48" t="s">
        <v>1083</v>
      </c>
      <c r="F331" s="48" t="s">
        <v>1357</v>
      </c>
      <c r="G331" s="48" t="s">
        <v>1358</v>
      </c>
      <c r="H331" s="47" t="s">
        <v>1359</v>
      </c>
      <c r="I331" s="47" t="s">
        <v>1360</v>
      </c>
      <c r="J331" s="47" t="s">
        <v>26</v>
      </c>
    </row>
    <row r="332" ht="54" customHeight="1" spans="1:10">
      <c r="A332" s="48" t="s">
        <v>113</v>
      </c>
      <c r="B332" s="48" t="s">
        <v>1696</v>
      </c>
      <c r="C332" s="47" t="s">
        <v>1105</v>
      </c>
      <c r="D332" s="48" t="s">
        <v>1009</v>
      </c>
      <c r="E332" s="48" t="s">
        <v>1010</v>
      </c>
      <c r="F332" s="48" t="s">
        <v>1106</v>
      </c>
      <c r="G332" s="48" t="s">
        <v>1107</v>
      </c>
      <c r="H332" s="47" t="s">
        <v>1108</v>
      </c>
      <c r="I332" s="47" t="s">
        <v>1109</v>
      </c>
      <c r="J332" s="47" t="s">
        <v>26</v>
      </c>
    </row>
    <row r="333" ht="54" customHeight="1" spans="1:10">
      <c r="A333" s="48" t="s">
        <v>113</v>
      </c>
      <c r="B333" s="48" t="s">
        <v>1697</v>
      </c>
      <c r="C333" s="47" t="s">
        <v>1052</v>
      </c>
      <c r="D333" s="48" t="s">
        <v>1009</v>
      </c>
      <c r="E333" s="48" t="s">
        <v>1010</v>
      </c>
      <c r="F333" s="48" t="s">
        <v>1053</v>
      </c>
      <c r="G333" s="48" t="s">
        <v>1054</v>
      </c>
      <c r="H333" s="47" t="s">
        <v>1055</v>
      </c>
      <c r="I333" s="47" t="s">
        <v>1056</v>
      </c>
      <c r="J333" s="47" t="s">
        <v>26</v>
      </c>
    </row>
    <row r="334" ht="54" customHeight="1" spans="1:10">
      <c r="A334" s="48" t="s">
        <v>113</v>
      </c>
      <c r="B334" s="48" t="s">
        <v>1698</v>
      </c>
      <c r="C334" s="47" t="s">
        <v>1610</v>
      </c>
      <c r="D334" s="48" t="s">
        <v>1098</v>
      </c>
      <c r="E334" s="48" t="s">
        <v>1099</v>
      </c>
      <c r="F334" s="48" t="s">
        <v>1611</v>
      </c>
      <c r="G334" s="48" t="s">
        <v>1612</v>
      </c>
      <c r="H334" s="47" t="s">
        <v>1613</v>
      </c>
      <c r="I334" s="47" t="s">
        <v>1614</v>
      </c>
      <c r="J334" s="47" t="s">
        <v>26</v>
      </c>
    </row>
    <row r="335" ht="54" customHeight="1" spans="1:10">
      <c r="A335" s="48" t="s">
        <v>113</v>
      </c>
      <c r="B335" s="48" t="s">
        <v>1699</v>
      </c>
      <c r="C335" s="47" t="s">
        <v>1111</v>
      </c>
      <c r="D335" s="48" t="s">
        <v>965</v>
      </c>
      <c r="E335" s="48" t="s">
        <v>966</v>
      </c>
      <c r="F335" s="48" t="s">
        <v>1112</v>
      </c>
      <c r="G335" s="48" t="s">
        <v>1113</v>
      </c>
      <c r="H335" s="47" t="s">
        <v>1114</v>
      </c>
      <c r="I335" s="47" t="s">
        <v>1115</v>
      </c>
      <c r="J335" s="47" t="s">
        <v>26</v>
      </c>
    </row>
    <row r="336" ht="54" customHeight="1" spans="1:10">
      <c r="A336" s="48" t="s">
        <v>113</v>
      </c>
      <c r="B336" s="48" t="s">
        <v>1700</v>
      </c>
      <c r="C336" s="47" t="s">
        <v>1137</v>
      </c>
      <c r="D336" s="48" t="s">
        <v>1138</v>
      </c>
      <c r="E336" s="48" t="s">
        <v>1139</v>
      </c>
      <c r="F336" s="48" t="s">
        <v>1140</v>
      </c>
      <c r="G336" s="48" t="s">
        <v>1141</v>
      </c>
      <c r="H336" s="47" t="s">
        <v>1142</v>
      </c>
      <c r="I336" s="47" t="s">
        <v>940</v>
      </c>
      <c r="J336" s="47" t="s">
        <v>26</v>
      </c>
    </row>
    <row r="337" ht="54" customHeight="1" spans="1:10">
      <c r="A337" s="48" t="s">
        <v>113</v>
      </c>
      <c r="B337" s="48" t="s">
        <v>1701</v>
      </c>
      <c r="C337" s="47" t="s">
        <v>1291</v>
      </c>
      <c r="D337" s="48" t="s">
        <v>965</v>
      </c>
      <c r="E337" s="48" t="s">
        <v>966</v>
      </c>
      <c r="F337" s="48" t="s">
        <v>1292</v>
      </c>
      <c r="G337" s="48" t="s">
        <v>1293</v>
      </c>
      <c r="H337" s="47" t="s">
        <v>1294</v>
      </c>
      <c r="I337" s="47" t="s">
        <v>1295</v>
      </c>
      <c r="J337" s="47" t="s">
        <v>26</v>
      </c>
    </row>
    <row r="338" ht="54" customHeight="1" spans="1:10">
      <c r="A338" s="48" t="s">
        <v>113</v>
      </c>
      <c r="B338" s="48" t="s">
        <v>1702</v>
      </c>
      <c r="C338" s="47" t="s">
        <v>1205</v>
      </c>
      <c r="D338" s="48" t="s">
        <v>978</v>
      </c>
      <c r="E338" s="48" t="s">
        <v>979</v>
      </c>
      <c r="F338" s="48" t="s">
        <v>1206</v>
      </c>
      <c r="G338" s="48" t="s">
        <v>1207</v>
      </c>
      <c r="H338" s="47" t="s">
        <v>1208</v>
      </c>
      <c r="I338" s="47" t="s">
        <v>1209</v>
      </c>
      <c r="J338" s="47" t="s">
        <v>26</v>
      </c>
    </row>
    <row r="339" ht="54" customHeight="1" spans="1:10">
      <c r="A339" s="48" t="s">
        <v>113</v>
      </c>
      <c r="B339" s="48" t="s">
        <v>1703</v>
      </c>
      <c r="C339" s="47" t="s">
        <v>1170</v>
      </c>
      <c r="D339" s="48" t="s">
        <v>1171</v>
      </c>
      <c r="E339" s="48" t="s">
        <v>1172</v>
      </c>
      <c r="F339" s="48" t="s">
        <v>1173</v>
      </c>
      <c r="G339" s="48" t="s">
        <v>1174</v>
      </c>
      <c r="H339" s="47" t="s">
        <v>1175</v>
      </c>
      <c r="I339" s="47" t="s">
        <v>1176</v>
      </c>
      <c r="J339" s="47" t="s">
        <v>26</v>
      </c>
    </row>
    <row r="340" ht="54" customHeight="1" spans="1:10">
      <c r="A340" s="48" t="s">
        <v>115</v>
      </c>
      <c r="B340" s="48" t="s">
        <v>1704</v>
      </c>
      <c r="C340" s="47" t="s">
        <v>1534</v>
      </c>
      <c r="D340" s="48" t="s">
        <v>935</v>
      </c>
      <c r="E340" s="48" t="s">
        <v>936</v>
      </c>
      <c r="F340" s="48" t="s">
        <v>1535</v>
      </c>
      <c r="G340" s="48" t="s">
        <v>1536</v>
      </c>
      <c r="H340" s="47" t="s">
        <v>1537</v>
      </c>
      <c r="I340" s="47" t="s">
        <v>940</v>
      </c>
      <c r="J340" s="47" t="s">
        <v>29</v>
      </c>
    </row>
    <row r="341" ht="54" customHeight="1" spans="1:10">
      <c r="A341" s="48" t="s">
        <v>115</v>
      </c>
      <c r="B341" s="48" t="s">
        <v>1705</v>
      </c>
      <c r="C341" s="47" t="s">
        <v>1153</v>
      </c>
      <c r="D341" s="48" t="s">
        <v>943</v>
      </c>
      <c r="E341" s="48" t="s">
        <v>944</v>
      </c>
      <c r="F341" s="48" t="s">
        <v>1154</v>
      </c>
      <c r="G341" s="48" t="s">
        <v>1155</v>
      </c>
      <c r="H341" s="47" t="s">
        <v>1156</v>
      </c>
      <c r="I341" s="47" t="s">
        <v>1157</v>
      </c>
      <c r="J341" s="47" t="s">
        <v>29</v>
      </c>
    </row>
    <row r="342" ht="54" customHeight="1" spans="1:10">
      <c r="A342" s="48" t="s">
        <v>115</v>
      </c>
      <c r="B342" s="48" t="s">
        <v>1706</v>
      </c>
      <c r="C342" s="47" t="s">
        <v>1572</v>
      </c>
      <c r="D342" s="48" t="s">
        <v>1098</v>
      </c>
      <c r="E342" s="48" t="s">
        <v>1099</v>
      </c>
      <c r="F342" s="48" t="s">
        <v>1573</v>
      </c>
      <c r="G342" s="48" t="s">
        <v>1574</v>
      </c>
      <c r="H342" s="47" t="s">
        <v>1575</v>
      </c>
      <c r="I342" s="47" t="s">
        <v>1576</v>
      </c>
      <c r="J342" s="47" t="s">
        <v>29</v>
      </c>
    </row>
    <row r="343" ht="54" customHeight="1" spans="1:10">
      <c r="A343" s="48" t="s">
        <v>115</v>
      </c>
      <c r="B343" s="48" t="s">
        <v>1707</v>
      </c>
      <c r="C343" s="47" t="s">
        <v>1097</v>
      </c>
      <c r="D343" s="48" t="s">
        <v>1098</v>
      </c>
      <c r="E343" s="48" t="s">
        <v>1099</v>
      </c>
      <c r="F343" s="48" t="s">
        <v>1100</v>
      </c>
      <c r="G343" s="48" t="s">
        <v>1101</v>
      </c>
      <c r="H343" s="47" t="s">
        <v>1102</v>
      </c>
      <c r="I343" s="47" t="s">
        <v>1103</v>
      </c>
      <c r="J343" s="47" t="s">
        <v>29</v>
      </c>
    </row>
    <row r="344" ht="54" customHeight="1" spans="1:10">
      <c r="A344" s="48" t="s">
        <v>115</v>
      </c>
      <c r="B344" s="48" t="s">
        <v>1708</v>
      </c>
      <c r="C344" s="47" t="s">
        <v>1388</v>
      </c>
      <c r="D344" s="48" t="s">
        <v>1037</v>
      </c>
      <c r="E344" s="48" t="s">
        <v>1038</v>
      </c>
      <c r="F344" s="48" t="s">
        <v>1389</v>
      </c>
      <c r="G344" s="48" t="s">
        <v>1390</v>
      </c>
      <c r="H344" s="47" t="s">
        <v>1391</v>
      </c>
      <c r="I344" s="47" t="s">
        <v>1392</v>
      </c>
      <c r="J344" s="47" t="s">
        <v>29</v>
      </c>
    </row>
    <row r="345" ht="54" customHeight="1" spans="1:10">
      <c r="A345" s="48" t="s">
        <v>115</v>
      </c>
      <c r="B345" s="48" t="s">
        <v>1709</v>
      </c>
      <c r="C345" s="47" t="s">
        <v>1111</v>
      </c>
      <c r="D345" s="48" t="s">
        <v>965</v>
      </c>
      <c r="E345" s="48" t="s">
        <v>966</v>
      </c>
      <c r="F345" s="48" t="s">
        <v>1112</v>
      </c>
      <c r="G345" s="48" t="s">
        <v>1113</v>
      </c>
      <c r="H345" s="47" t="s">
        <v>1114</v>
      </c>
      <c r="I345" s="47" t="s">
        <v>1115</v>
      </c>
      <c r="J345" s="47" t="s">
        <v>29</v>
      </c>
    </row>
    <row r="346" ht="54" customHeight="1" spans="1:10">
      <c r="A346" s="48" t="s">
        <v>115</v>
      </c>
      <c r="B346" s="48" t="s">
        <v>1710</v>
      </c>
      <c r="C346" s="47" t="s">
        <v>1545</v>
      </c>
      <c r="D346" s="48" t="s">
        <v>1138</v>
      </c>
      <c r="E346" s="48" t="s">
        <v>1139</v>
      </c>
      <c r="F346" s="48" t="s">
        <v>1546</v>
      </c>
      <c r="G346" s="48" t="s">
        <v>1547</v>
      </c>
      <c r="H346" s="47" t="s">
        <v>1548</v>
      </c>
      <c r="I346" s="47" t="s">
        <v>940</v>
      </c>
      <c r="J346" s="47" t="s">
        <v>29</v>
      </c>
    </row>
    <row r="347" ht="54" customHeight="1" spans="1:10">
      <c r="A347" s="48" t="s">
        <v>115</v>
      </c>
      <c r="B347" s="48" t="s">
        <v>1711</v>
      </c>
      <c r="C347" s="47" t="s">
        <v>1137</v>
      </c>
      <c r="D347" s="48" t="s">
        <v>1138</v>
      </c>
      <c r="E347" s="48" t="s">
        <v>1139</v>
      </c>
      <c r="F347" s="48" t="s">
        <v>1140</v>
      </c>
      <c r="G347" s="48" t="s">
        <v>1141</v>
      </c>
      <c r="H347" s="47" t="s">
        <v>1142</v>
      </c>
      <c r="I347" s="47" t="s">
        <v>940</v>
      </c>
      <c r="J347" s="47" t="s">
        <v>29</v>
      </c>
    </row>
    <row r="348" ht="54" customHeight="1" spans="1:10">
      <c r="A348" s="48" t="s">
        <v>115</v>
      </c>
      <c r="B348" s="48" t="s">
        <v>1712</v>
      </c>
      <c r="C348" s="47" t="s">
        <v>1313</v>
      </c>
      <c r="D348" s="48" t="s">
        <v>1037</v>
      </c>
      <c r="E348" s="48" t="s">
        <v>1038</v>
      </c>
      <c r="F348" s="48" t="s">
        <v>1314</v>
      </c>
      <c r="G348" s="48" t="s">
        <v>1315</v>
      </c>
      <c r="H348" s="47" t="s">
        <v>1316</v>
      </c>
      <c r="I348" s="47" t="s">
        <v>1317</v>
      </c>
      <c r="J348" s="47" t="s">
        <v>29</v>
      </c>
    </row>
    <row r="349" ht="54" customHeight="1" spans="1:10">
      <c r="A349" s="48" t="s">
        <v>115</v>
      </c>
      <c r="B349" s="48" t="s">
        <v>1713</v>
      </c>
      <c r="C349" s="47" t="s">
        <v>1211</v>
      </c>
      <c r="D349" s="48" t="s">
        <v>965</v>
      </c>
      <c r="E349" s="48" t="s">
        <v>966</v>
      </c>
      <c r="F349" s="48" t="s">
        <v>1212</v>
      </c>
      <c r="G349" s="48" t="s">
        <v>1213</v>
      </c>
      <c r="H349" s="47" t="s">
        <v>1214</v>
      </c>
      <c r="I349" s="47" t="s">
        <v>940</v>
      </c>
      <c r="J349" s="47" t="s">
        <v>29</v>
      </c>
    </row>
    <row r="350" ht="54" customHeight="1" spans="1:10">
      <c r="A350" s="48" t="s">
        <v>117</v>
      </c>
      <c r="B350" s="48" t="s">
        <v>1714</v>
      </c>
      <c r="C350" s="47" t="s">
        <v>985</v>
      </c>
      <c r="D350" s="48" t="s">
        <v>986</v>
      </c>
      <c r="E350" s="48" t="s">
        <v>987</v>
      </c>
      <c r="F350" s="48" t="s">
        <v>988</v>
      </c>
      <c r="G350" s="48" t="s">
        <v>987</v>
      </c>
      <c r="H350" s="47" t="s">
        <v>989</v>
      </c>
      <c r="I350" s="47" t="s">
        <v>990</v>
      </c>
      <c r="J350" s="47" t="s">
        <v>26</v>
      </c>
    </row>
    <row r="351" ht="54" customHeight="1" spans="1:10">
      <c r="A351" s="48" t="s">
        <v>117</v>
      </c>
      <c r="B351" s="48" t="s">
        <v>1715</v>
      </c>
      <c r="C351" s="47" t="s">
        <v>1516</v>
      </c>
      <c r="D351" s="48" t="s">
        <v>1073</v>
      </c>
      <c r="E351" s="48" t="s">
        <v>1074</v>
      </c>
      <c r="F351" s="48" t="s">
        <v>1517</v>
      </c>
      <c r="G351" s="48" t="s">
        <v>1518</v>
      </c>
      <c r="H351" s="47" t="s">
        <v>1519</v>
      </c>
      <c r="I351" s="47" t="s">
        <v>1520</v>
      </c>
      <c r="J351" s="47" t="s">
        <v>26</v>
      </c>
    </row>
    <row r="352" ht="54" customHeight="1" spans="1:10">
      <c r="A352" s="48" t="s">
        <v>117</v>
      </c>
      <c r="B352" s="48" t="s">
        <v>1716</v>
      </c>
      <c r="C352" s="47" t="s">
        <v>1480</v>
      </c>
      <c r="D352" s="48" t="s">
        <v>1001</v>
      </c>
      <c r="E352" s="48" t="s">
        <v>1002</v>
      </c>
      <c r="F352" s="48" t="s">
        <v>1481</v>
      </c>
      <c r="G352" s="48" t="s">
        <v>1482</v>
      </c>
      <c r="H352" s="47" t="s">
        <v>1483</v>
      </c>
      <c r="I352" s="47" t="s">
        <v>1484</v>
      </c>
      <c r="J352" s="47" t="s">
        <v>26</v>
      </c>
    </row>
    <row r="353" ht="54" customHeight="1" spans="1:10">
      <c r="A353" s="48" t="s">
        <v>117</v>
      </c>
      <c r="B353" s="48" t="s">
        <v>1717</v>
      </c>
      <c r="C353" s="47" t="s">
        <v>1718</v>
      </c>
      <c r="D353" s="48" t="s">
        <v>1719</v>
      </c>
      <c r="E353" s="48" t="s">
        <v>1720</v>
      </c>
      <c r="F353" s="48" t="s">
        <v>1721</v>
      </c>
      <c r="G353" s="48" t="s">
        <v>1722</v>
      </c>
      <c r="H353" s="47" t="s">
        <v>1723</v>
      </c>
      <c r="I353" s="47" t="s">
        <v>1724</v>
      </c>
      <c r="J353" s="47" t="s">
        <v>26</v>
      </c>
    </row>
    <row r="354" ht="54" customHeight="1" spans="1:10">
      <c r="A354" s="48" t="s">
        <v>117</v>
      </c>
      <c r="B354" s="48" t="s">
        <v>1725</v>
      </c>
      <c r="C354" s="47" t="s">
        <v>1097</v>
      </c>
      <c r="D354" s="48" t="s">
        <v>1098</v>
      </c>
      <c r="E354" s="48" t="s">
        <v>1099</v>
      </c>
      <c r="F354" s="48" t="s">
        <v>1100</v>
      </c>
      <c r="G354" s="48" t="s">
        <v>1101</v>
      </c>
      <c r="H354" s="47" t="s">
        <v>1102</v>
      </c>
      <c r="I354" s="47" t="s">
        <v>1103</v>
      </c>
      <c r="J354" s="47" t="s">
        <v>26</v>
      </c>
    </row>
    <row r="355" ht="54" customHeight="1" spans="1:10">
      <c r="A355" s="48" t="s">
        <v>117</v>
      </c>
      <c r="B355" s="48" t="s">
        <v>1726</v>
      </c>
      <c r="C355" s="47" t="s">
        <v>1285</v>
      </c>
      <c r="D355" s="48" t="s">
        <v>965</v>
      </c>
      <c r="E355" s="48" t="s">
        <v>966</v>
      </c>
      <c r="F355" s="48" t="s">
        <v>1286</v>
      </c>
      <c r="G355" s="48" t="s">
        <v>1287</v>
      </c>
      <c r="H355" s="47" t="s">
        <v>1288</v>
      </c>
      <c r="I355" s="47" t="s">
        <v>1289</v>
      </c>
      <c r="J355" s="47" t="s">
        <v>26</v>
      </c>
    </row>
    <row r="356" ht="54" customHeight="1" spans="1:10">
      <c r="A356" s="48" t="s">
        <v>117</v>
      </c>
      <c r="B356" s="48" t="s">
        <v>1727</v>
      </c>
      <c r="C356" s="47" t="s">
        <v>1137</v>
      </c>
      <c r="D356" s="48" t="s">
        <v>1138</v>
      </c>
      <c r="E356" s="48" t="s">
        <v>1139</v>
      </c>
      <c r="F356" s="48" t="s">
        <v>1140</v>
      </c>
      <c r="G356" s="48" t="s">
        <v>1141</v>
      </c>
      <c r="H356" s="47" t="s">
        <v>1142</v>
      </c>
      <c r="I356" s="47" t="s">
        <v>940</v>
      </c>
      <c r="J356" s="47" t="s">
        <v>26</v>
      </c>
    </row>
    <row r="357" ht="54" customHeight="1" spans="1:10">
      <c r="A357" s="48" t="s">
        <v>117</v>
      </c>
      <c r="B357" s="48" t="s">
        <v>1728</v>
      </c>
      <c r="C357" s="47" t="s">
        <v>1313</v>
      </c>
      <c r="D357" s="48" t="s">
        <v>1037</v>
      </c>
      <c r="E357" s="48" t="s">
        <v>1038</v>
      </c>
      <c r="F357" s="48" t="s">
        <v>1314</v>
      </c>
      <c r="G357" s="48" t="s">
        <v>1315</v>
      </c>
      <c r="H357" s="47" t="s">
        <v>1316</v>
      </c>
      <c r="I357" s="47" t="s">
        <v>1317</v>
      </c>
      <c r="J357" s="47" t="s">
        <v>26</v>
      </c>
    </row>
    <row r="358" ht="54" customHeight="1" spans="1:10">
      <c r="A358" s="48" t="s">
        <v>117</v>
      </c>
      <c r="B358" s="48" t="s">
        <v>1729</v>
      </c>
      <c r="C358" s="47" t="s">
        <v>1205</v>
      </c>
      <c r="D358" s="48" t="s">
        <v>978</v>
      </c>
      <c r="E358" s="48" t="s">
        <v>979</v>
      </c>
      <c r="F358" s="48" t="s">
        <v>1206</v>
      </c>
      <c r="G358" s="48" t="s">
        <v>1207</v>
      </c>
      <c r="H358" s="47" t="s">
        <v>1208</v>
      </c>
      <c r="I358" s="47" t="s">
        <v>1209</v>
      </c>
      <c r="J358" s="47" t="s">
        <v>26</v>
      </c>
    </row>
    <row r="359" ht="54" customHeight="1" spans="1:10">
      <c r="A359" s="48" t="s">
        <v>117</v>
      </c>
      <c r="B359" s="48" t="s">
        <v>1730</v>
      </c>
      <c r="C359" s="47" t="s">
        <v>1211</v>
      </c>
      <c r="D359" s="48" t="s">
        <v>965</v>
      </c>
      <c r="E359" s="48" t="s">
        <v>966</v>
      </c>
      <c r="F359" s="48" t="s">
        <v>1212</v>
      </c>
      <c r="G359" s="48" t="s">
        <v>1213</v>
      </c>
      <c r="H359" s="47" t="s">
        <v>1214</v>
      </c>
      <c r="I359" s="47" t="s">
        <v>940</v>
      </c>
      <c r="J359" s="47" t="s">
        <v>26</v>
      </c>
    </row>
    <row r="360" ht="54" customHeight="1" spans="1:10">
      <c r="A360" s="48" t="s">
        <v>119</v>
      </c>
      <c r="B360" s="48" t="s">
        <v>1731</v>
      </c>
      <c r="C360" s="47" t="s">
        <v>1022</v>
      </c>
      <c r="D360" s="48" t="s">
        <v>957</v>
      </c>
      <c r="E360" s="48" t="s">
        <v>958</v>
      </c>
      <c r="F360" s="48" t="s">
        <v>1023</v>
      </c>
      <c r="G360" s="48" t="s">
        <v>1024</v>
      </c>
      <c r="H360" s="47" t="s">
        <v>1025</v>
      </c>
      <c r="I360" s="47" t="s">
        <v>1026</v>
      </c>
      <c r="J360" s="47" t="s">
        <v>26</v>
      </c>
    </row>
    <row r="361" ht="54" customHeight="1" spans="1:10">
      <c r="A361" s="48" t="s">
        <v>119</v>
      </c>
      <c r="B361" s="48" t="s">
        <v>1732</v>
      </c>
      <c r="C361" s="47" t="s">
        <v>1028</v>
      </c>
      <c r="D361" s="48" t="s">
        <v>1029</v>
      </c>
      <c r="E361" s="48" t="s">
        <v>1030</v>
      </c>
      <c r="F361" s="48" t="s">
        <v>1031</v>
      </c>
      <c r="G361" s="48" t="s">
        <v>1032</v>
      </c>
      <c r="H361" s="47" t="s">
        <v>1033</v>
      </c>
      <c r="I361" s="47" t="s">
        <v>1034</v>
      </c>
      <c r="J361" s="47" t="s">
        <v>26</v>
      </c>
    </row>
    <row r="362" ht="54" customHeight="1" spans="1:10">
      <c r="A362" s="48" t="s">
        <v>119</v>
      </c>
      <c r="B362" s="48" t="s">
        <v>1733</v>
      </c>
      <c r="C362" s="47" t="s">
        <v>1268</v>
      </c>
      <c r="D362" s="48" t="s">
        <v>957</v>
      </c>
      <c r="E362" s="48" t="s">
        <v>958</v>
      </c>
      <c r="F362" s="48" t="s">
        <v>1269</v>
      </c>
      <c r="G362" s="48" t="s">
        <v>1270</v>
      </c>
      <c r="H362" s="47" t="s">
        <v>1271</v>
      </c>
      <c r="I362" s="47" t="s">
        <v>1272</v>
      </c>
      <c r="J362" s="47" t="s">
        <v>26</v>
      </c>
    </row>
    <row r="363" ht="54" customHeight="1" spans="1:10">
      <c r="A363" s="48" t="s">
        <v>119</v>
      </c>
      <c r="B363" s="48" t="s">
        <v>1734</v>
      </c>
      <c r="C363" s="47" t="s">
        <v>1097</v>
      </c>
      <c r="D363" s="48" t="s">
        <v>1098</v>
      </c>
      <c r="E363" s="48" t="s">
        <v>1099</v>
      </c>
      <c r="F363" s="48" t="s">
        <v>1100</v>
      </c>
      <c r="G363" s="48" t="s">
        <v>1101</v>
      </c>
      <c r="H363" s="47" t="s">
        <v>1102</v>
      </c>
      <c r="I363" s="47" t="s">
        <v>1103</v>
      </c>
      <c r="J363" s="47" t="s">
        <v>26</v>
      </c>
    </row>
    <row r="364" ht="54" customHeight="1" spans="1:10">
      <c r="A364" s="48" t="s">
        <v>119</v>
      </c>
      <c r="B364" s="48" t="s">
        <v>1735</v>
      </c>
      <c r="C364" s="47" t="s">
        <v>1666</v>
      </c>
      <c r="D364" s="48" t="s">
        <v>1082</v>
      </c>
      <c r="E364" s="48" t="s">
        <v>1083</v>
      </c>
      <c r="F364" s="48" t="s">
        <v>1667</v>
      </c>
      <c r="G364" s="48" t="s">
        <v>1668</v>
      </c>
      <c r="H364" s="47" t="s">
        <v>1669</v>
      </c>
      <c r="I364" s="47" t="s">
        <v>1670</v>
      </c>
      <c r="J364" s="47" t="s">
        <v>26</v>
      </c>
    </row>
    <row r="365" ht="54" customHeight="1" spans="1:10">
      <c r="A365" s="48" t="s">
        <v>119</v>
      </c>
      <c r="B365" s="48" t="s">
        <v>1736</v>
      </c>
      <c r="C365" s="47" t="s">
        <v>1066</v>
      </c>
      <c r="D365" s="48" t="s">
        <v>935</v>
      </c>
      <c r="E365" s="48" t="s">
        <v>936</v>
      </c>
      <c r="F365" s="48" t="s">
        <v>1067</v>
      </c>
      <c r="G365" s="48" t="s">
        <v>1068</v>
      </c>
      <c r="H365" s="47" t="s">
        <v>1069</v>
      </c>
      <c r="I365" s="47" t="s">
        <v>940</v>
      </c>
      <c r="J365" s="47" t="s">
        <v>26</v>
      </c>
    </row>
    <row r="366" ht="54" customHeight="1" spans="1:10">
      <c r="A366" s="48" t="s">
        <v>119</v>
      </c>
      <c r="B366" s="48" t="s">
        <v>1737</v>
      </c>
      <c r="C366" s="47" t="s">
        <v>1252</v>
      </c>
      <c r="D366" s="48" t="s">
        <v>1001</v>
      </c>
      <c r="E366" s="48" t="s">
        <v>1002</v>
      </c>
      <c r="F366" s="48" t="s">
        <v>1253</v>
      </c>
      <c r="G366" s="48" t="s">
        <v>1254</v>
      </c>
      <c r="H366" s="47" t="s">
        <v>1255</v>
      </c>
      <c r="I366" s="47" t="s">
        <v>1256</v>
      </c>
      <c r="J366" s="47" t="s">
        <v>26</v>
      </c>
    </row>
    <row r="367" ht="54" customHeight="1" spans="1:10">
      <c r="A367" s="48" t="s">
        <v>119</v>
      </c>
      <c r="B367" s="48" t="s">
        <v>1738</v>
      </c>
      <c r="C367" s="47" t="s">
        <v>1117</v>
      </c>
      <c r="D367" s="48" t="s">
        <v>1118</v>
      </c>
      <c r="E367" s="48" t="s">
        <v>1119</v>
      </c>
      <c r="F367" s="48" t="s">
        <v>1120</v>
      </c>
      <c r="G367" s="48" t="s">
        <v>1121</v>
      </c>
      <c r="H367" s="47" t="s">
        <v>1122</v>
      </c>
      <c r="I367" s="47" t="s">
        <v>1123</v>
      </c>
      <c r="J367" s="47" t="s">
        <v>26</v>
      </c>
    </row>
    <row r="368" ht="54" customHeight="1" spans="1:10">
      <c r="A368" s="48" t="s">
        <v>119</v>
      </c>
      <c r="B368" s="48" t="s">
        <v>1739</v>
      </c>
      <c r="C368" s="47" t="s">
        <v>1137</v>
      </c>
      <c r="D368" s="48" t="s">
        <v>1138</v>
      </c>
      <c r="E368" s="48" t="s">
        <v>1139</v>
      </c>
      <c r="F368" s="48" t="s">
        <v>1140</v>
      </c>
      <c r="G368" s="48" t="s">
        <v>1141</v>
      </c>
      <c r="H368" s="47" t="s">
        <v>1142</v>
      </c>
      <c r="I368" s="47" t="s">
        <v>940</v>
      </c>
      <c r="J368" s="47" t="s">
        <v>26</v>
      </c>
    </row>
    <row r="369" ht="54" customHeight="1" spans="1:10">
      <c r="A369" s="48" t="s">
        <v>119</v>
      </c>
      <c r="B369" s="48" t="s">
        <v>1740</v>
      </c>
      <c r="C369" s="47" t="s">
        <v>1291</v>
      </c>
      <c r="D369" s="48" t="s">
        <v>965</v>
      </c>
      <c r="E369" s="48" t="s">
        <v>966</v>
      </c>
      <c r="F369" s="48" t="s">
        <v>1292</v>
      </c>
      <c r="G369" s="48" t="s">
        <v>1293</v>
      </c>
      <c r="H369" s="47" t="s">
        <v>1294</v>
      </c>
      <c r="I369" s="47" t="s">
        <v>1295</v>
      </c>
      <c r="J369" s="47" t="s">
        <v>26</v>
      </c>
    </row>
    <row r="370" ht="54" customHeight="1" spans="1:10">
      <c r="A370" s="48" t="s">
        <v>121</v>
      </c>
      <c r="B370" s="48" t="s">
        <v>1741</v>
      </c>
      <c r="C370" s="47" t="s">
        <v>934</v>
      </c>
      <c r="D370" s="48" t="s">
        <v>935</v>
      </c>
      <c r="E370" s="48" t="s">
        <v>936</v>
      </c>
      <c r="F370" s="48" t="s">
        <v>937</v>
      </c>
      <c r="G370" s="48" t="s">
        <v>938</v>
      </c>
      <c r="H370" s="47" t="s">
        <v>939</v>
      </c>
      <c r="I370" s="47" t="s">
        <v>940</v>
      </c>
      <c r="J370" s="47" t="s">
        <v>26</v>
      </c>
    </row>
    <row r="371" ht="54" customHeight="1" spans="1:10">
      <c r="A371" s="48" t="s">
        <v>121</v>
      </c>
      <c r="B371" s="48" t="s">
        <v>1742</v>
      </c>
      <c r="C371" s="47" t="s">
        <v>950</v>
      </c>
      <c r="D371" s="48" t="s">
        <v>935</v>
      </c>
      <c r="E371" s="48" t="s">
        <v>936</v>
      </c>
      <c r="F371" s="48" t="s">
        <v>951</v>
      </c>
      <c r="G371" s="48" t="s">
        <v>952</v>
      </c>
      <c r="H371" s="47" t="s">
        <v>953</v>
      </c>
      <c r="I371" s="47" t="s">
        <v>954</v>
      </c>
      <c r="J371" s="47" t="s">
        <v>26</v>
      </c>
    </row>
    <row r="372" ht="54" customHeight="1" spans="1:10">
      <c r="A372" s="48" t="s">
        <v>121</v>
      </c>
      <c r="B372" s="48" t="s">
        <v>1743</v>
      </c>
      <c r="C372" s="47" t="s">
        <v>1105</v>
      </c>
      <c r="D372" s="48" t="s">
        <v>1009</v>
      </c>
      <c r="E372" s="48" t="s">
        <v>1010</v>
      </c>
      <c r="F372" s="48" t="s">
        <v>1106</v>
      </c>
      <c r="G372" s="48" t="s">
        <v>1107</v>
      </c>
      <c r="H372" s="47" t="s">
        <v>1108</v>
      </c>
      <c r="I372" s="47" t="s">
        <v>1109</v>
      </c>
      <c r="J372" s="47" t="s">
        <v>26</v>
      </c>
    </row>
    <row r="373" ht="54" customHeight="1" spans="1:10">
      <c r="A373" s="48" t="s">
        <v>121</v>
      </c>
      <c r="B373" s="48" t="s">
        <v>1744</v>
      </c>
      <c r="C373" s="47" t="s">
        <v>1469</v>
      </c>
      <c r="D373" s="48" t="s">
        <v>957</v>
      </c>
      <c r="E373" s="48" t="s">
        <v>958</v>
      </c>
      <c r="F373" s="48" t="s">
        <v>1470</v>
      </c>
      <c r="G373" s="48" t="s">
        <v>1471</v>
      </c>
      <c r="H373" s="47" t="s">
        <v>1472</v>
      </c>
      <c r="I373" s="47" t="s">
        <v>1473</v>
      </c>
      <c r="J373" s="47" t="s">
        <v>26</v>
      </c>
    </row>
    <row r="374" ht="54" customHeight="1" spans="1:10">
      <c r="A374" s="48" t="s">
        <v>121</v>
      </c>
      <c r="B374" s="48" t="s">
        <v>1745</v>
      </c>
      <c r="C374" s="47" t="s">
        <v>1277</v>
      </c>
      <c r="D374" s="48" t="s">
        <v>1278</v>
      </c>
      <c r="E374" s="48" t="s">
        <v>1279</v>
      </c>
      <c r="F374" s="48" t="s">
        <v>1280</v>
      </c>
      <c r="G374" s="48" t="s">
        <v>1281</v>
      </c>
      <c r="H374" s="47" t="s">
        <v>1282</v>
      </c>
      <c r="I374" s="47" t="s">
        <v>1283</v>
      </c>
      <c r="J374" s="47" t="s">
        <v>26</v>
      </c>
    </row>
    <row r="375" ht="54" customHeight="1" spans="1:10">
      <c r="A375" s="48" t="s">
        <v>121</v>
      </c>
      <c r="B375" s="48" t="s">
        <v>1746</v>
      </c>
      <c r="C375" s="47" t="s">
        <v>971</v>
      </c>
      <c r="D375" s="48" t="s">
        <v>965</v>
      </c>
      <c r="E375" s="48" t="s">
        <v>966</v>
      </c>
      <c r="F375" s="48" t="s">
        <v>972</v>
      </c>
      <c r="G375" s="48" t="s">
        <v>973</v>
      </c>
      <c r="H375" s="47" t="s">
        <v>974</v>
      </c>
      <c r="I375" s="47" t="s">
        <v>975</v>
      </c>
      <c r="J375" s="47" t="s">
        <v>26</v>
      </c>
    </row>
    <row r="376" ht="54" customHeight="1" spans="1:10">
      <c r="A376" s="48" t="s">
        <v>121</v>
      </c>
      <c r="B376" s="48" t="s">
        <v>1747</v>
      </c>
      <c r="C376" s="47" t="s">
        <v>1291</v>
      </c>
      <c r="D376" s="48" t="s">
        <v>965</v>
      </c>
      <c r="E376" s="48" t="s">
        <v>966</v>
      </c>
      <c r="F376" s="48" t="s">
        <v>1292</v>
      </c>
      <c r="G376" s="48" t="s">
        <v>1293</v>
      </c>
      <c r="H376" s="47" t="s">
        <v>1294</v>
      </c>
      <c r="I376" s="47" t="s">
        <v>1295</v>
      </c>
      <c r="J376" s="47" t="s">
        <v>26</v>
      </c>
    </row>
    <row r="377" ht="54" customHeight="1" spans="1:10">
      <c r="A377" s="48" t="s">
        <v>121</v>
      </c>
      <c r="B377" s="48" t="s">
        <v>1748</v>
      </c>
      <c r="C377" s="47" t="s">
        <v>1313</v>
      </c>
      <c r="D377" s="48" t="s">
        <v>1037</v>
      </c>
      <c r="E377" s="48" t="s">
        <v>1038</v>
      </c>
      <c r="F377" s="48" t="s">
        <v>1314</v>
      </c>
      <c r="G377" s="48" t="s">
        <v>1315</v>
      </c>
      <c r="H377" s="47" t="s">
        <v>1316</v>
      </c>
      <c r="I377" s="47" t="s">
        <v>1317</v>
      </c>
      <c r="J377" s="47" t="s">
        <v>26</v>
      </c>
    </row>
    <row r="378" ht="54" customHeight="1" spans="1:10">
      <c r="A378" s="48" t="s">
        <v>121</v>
      </c>
      <c r="B378" s="48" t="s">
        <v>1749</v>
      </c>
      <c r="C378" s="47" t="s">
        <v>1750</v>
      </c>
      <c r="D378" s="48" t="s">
        <v>965</v>
      </c>
      <c r="E378" s="48" t="s">
        <v>966</v>
      </c>
      <c r="F378" s="48" t="s">
        <v>1751</v>
      </c>
      <c r="G378" s="48" t="s">
        <v>1752</v>
      </c>
      <c r="H378" s="47" t="s">
        <v>1753</v>
      </c>
      <c r="I378" s="47" t="s">
        <v>940</v>
      </c>
      <c r="J378" s="47" t="s">
        <v>26</v>
      </c>
    </row>
    <row r="379" ht="54" customHeight="1" spans="1:10">
      <c r="A379" s="48" t="s">
        <v>121</v>
      </c>
      <c r="B379" s="48" t="s">
        <v>1754</v>
      </c>
      <c r="C379" s="47" t="s">
        <v>1216</v>
      </c>
      <c r="D379" s="48" t="s">
        <v>993</v>
      </c>
      <c r="E379" s="48" t="s">
        <v>994</v>
      </c>
      <c r="F379" s="48" t="s">
        <v>1217</v>
      </c>
      <c r="G379" s="48" t="s">
        <v>1218</v>
      </c>
      <c r="H379" s="47" t="s">
        <v>1219</v>
      </c>
      <c r="I379" s="47" t="s">
        <v>1220</v>
      </c>
      <c r="J379" s="47" t="s">
        <v>26</v>
      </c>
    </row>
    <row r="380" ht="54" customHeight="1" spans="1:10">
      <c r="A380" s="48" t="s">
        <v>123</v>
      </c>
      <c r="B380" s="48" t="s">
        <v>1755</v>
      </c>
      <c r="C380" s="47" t="s">
        <v>934</v>
      </c>
      <c r="D380" s="48" t="s">
        <v>935</v>
      </c>
      <c r="E380" s="48" t="s">
        <v>936</v>
      </c>
      <c r="F380" s="48" t="s">
        <v>937</v>
      </c>
      <c r="G380" s="48" t="s">
        <v>938</v>
      </c>
      <c r="H380" s="47" t="s">
        <v>939</v>
      </c>
      <c r="I380" s="47" t="s">
        <v>940</v>
      </c>
      <c r="J380" s="47" t="s">
        <v>26</v>
      </c>
    </row>
    <row r="381" ht="54" customHeight="1" spans="1:10">
      <c r="A381" s="48" t="s">
        <v>123</v>
      </c>
      <c r="B381" s="48" t="s">
        <v>1756</v>
      </c>
      <c r="C381" s="47" t="s">
        <v>1008</v>
      </c>
      <c r="D381" s="48" t="s">
        <v>1009</v>
      </c>
      <c r="E381" s="48" t="s">
        <v>1010</v>
      </c>
      <c r="F381" s="48" t="s">
        <v>1011</v>
      </c>
      <c r="G381" s="48" t="s">
        <v>1012</v>
      </c>
      <c r="H381" s="47" t="s">
        <v>1013</v>
      </c>
      <c r="I381" s="47" t="s">
        <v>1014</v>
      </c>
      <c r="J381" s="47" t="s">
        <v>26</v>
      </c>
    </row>
    <row r="382" ht="54" customHeight="1" spans="1:10">
      <c r="A382" s="48" t="s">
        <v>123</v>
      </c>
      <c r="B382" s="48" t="s">
        <v>1757</v>
      </c>
      <c r="C382" s="47" t="s">
        <v>950</v>
      </c>
      <c r="D382" s="48" t="s">
        <v>935</v>
      </c>
      <c r="E382" s="48" t="s">
        <v>936</v>
      </c>
      <c r="F382" s="48" t="s">
        <v>951</v>
      </c>
      <c r="G382" s="48" t="s">
        <v>952</v>
      </c>
      <c r="H382" s="47" t="s">
        <v>953</v>
      </c>
      <c r="I382" s="47" t="s">
        <v>954</v>
      </c>
      <c r="J382" s="47" t="s">
        <v>26</v>
      </c>
    </row>
    <row r="383" ht="54" customHeight="1" spans="1:10">
      <c r="A383" s="48" t="s">
        <v>123</v>
      </c>
      <c r="B383" s="48" t="s">
        <v>1758</v>
      </c>
      <c r="C383" s="47" t="s">
        <v>1368</v>
      </c>
      <c r="D383" s="48" t="s">
        <v>1082</v>
      </c>
      <c r="E383" s="48" t="s">
        <v>1083</v>
      </c>
      <c r="F383" s="48" t="s">
        <v>1369</v>
      </c>
      <c r="G383" s="48" t="s">
        <v>1370</v>
      </c>
      <c r="H383" s="47" t="s">
        <v>1371</v>
      </c>
      <c r="I383" s="47" t="s">
        <v>1372</v>
      </c>
      <c r="J383" s="47" t="s">
        <v>26</v>
      </c>
    </row>
    <row r="384" ht="54" customHeight="1" spans="1:10">
      <c r="A384" s="48" t="s">
        <v>123</v>
      </c>
      <c r="B384" s="48" t="s">
        <v>1759</v>
      </c>
      <c r="C384" s="47" t="s">
        <v>1252</v>
      </c>
      <c r="D384" s="48" t="s">
        <v>1001</v>
      </c>
      <c r="E384" s="48" t="s">
        <v>1002</v>
      </c>
      <c r="F384" s="48" t="s">
        <v>1253</v>
      </c>
      <c r="G384" s="48" t="s">
        <v>1254</v>
      </c>
      <c r="H384" s="47" t="s">
        <v>1255</v>
      </c>
      <c r="I384" s="47" t="s">
        <v>1256</v>
      </c>
      <c r="J384" s="47" t="s">
        <v>26</v>
      </c>
    </row>
    <row r="385" ht="54" customHeight="1" spans="1:10">
      <c r="A385" s="48" t="s">
        <v>123</v>
      </c>
      <c r="B385" s="48" t="s">
        <v>1760</v>
      </c>
      <c r="C385" s="47" t="s">
        <v>971</v>
      </c>
      <c r="D385" s="48" t="s">
        <v>965</v>
      </c>
      <c r="E385" s="48" t="s">
        <v>966</v>
      </c>
      <c r="F385" s="48" t="s">
        <v>972</v>
      </c>
      <c r="G385" s="48" t="s">
        <v>973</v>
      </c>
      <c r="H385" s="47" t="s">
        <v>974</v>
      </c>
      <c r="I385" s="47" t="s">
        <v>975</v>
      </c>
      <c r="J385" s="47" t="s">
        <v>26</v>
      </c>
    </row>
    <row r="386" ht="54" customHeight="1" spans="1:10">
      <c r="A386" s="48" t="s">
        <v>123</v>
      </c>
      <c r="B386" s="48" t="s">
        <v>1761</v>
      </c>
      <c r="C386" s="47" t="s">
        <v>977</v>
      </c>
      <c r="D386" s="48" t="s">
        <v>978</v>
      </c>
      <c r="E386" s="48" t="s">
        <v>979</v>
      </c>
      <c r="F386" s="48" t="s">
        <v>980</v>
      </c>
      <c r="G386" s="48" t="s">
        <v>981</v>
      </c>
      <c r="H386" s="47" t="s">
        <v>982</v>
      </c>
      <c r="I386" s="47" t="s">
        <v>983</v>
      </c>
      <c r="J386" s="47" t="s">
        <v>26</v>
      </c>
    </row>
    <row r="387" ht="54" customHeight="1" spans="1:10">
      <c r="A387" s="48" t="s">
        <v>125</v>
      </c>
      <c r="B387" s="48" t="s">
        <v>1762</v>
      </c>
      <c r="C387" s="47" t="s">
        <v>934</v>
      </c>
      <c r="D387" s="48" t="s">
        <v>935</v>
      </c>
      <c r="E387" s="48" t="s">
        <v>936</v>
      </c>
      <c r="F387" s="48" t="s">
        <v>937</v>
      </c>
      <c r="G387" s="48" t="s">
        <v>938</v>
      </c>
      <c r="H387" s="47" t="s">
        <v>939</v>
      </c>
      <c r="I387" s="47" t="s">
        <v>940</v>
      </c>
      <c r="J387" s="47" t="s">
        <v>26</v>
      </c>
    </row>
    <row r="388" ht="54" customHeight="1" spans="1:10">
      <c r="A388" s="48" t="s">
        <v>125</v>
      </c>
      <c r="B388" s="48" t="s">
        <v>1763</v>
      </c>
      <c r="C388" s="47" t="s">
        <v>950</v>
      </c>
      <c r="D388" s="48" t="s">
        <v>935</v>
      </c>
      <c r="E388" s="48" t="s">
        <v>936</v>
      </c>
      <c r="F388" s="48" t="s">
        <v>951</v>
      </c>
      <c r="G388" s="48" t="s">
        <v>952</v>
      </c>
      <c r="H388" s="47" t="s">
        <v>953</v>
      </c>
      <c r="I388" s="47" t="s">
        <v>954</v>
      </c>
      <c r="J388" s="47" t="s">
        <v>26</v>
      </c>
    </row>
    <row r="389" ht="54" customHeight="1" spans="1:10">
      <c r="A389" s="48" t="s">
        <v>125</v>
      </c>
      <c r="B389" s="48" t="s">
        <v>1764</v>
      </c>
      <c r="C389" s="47" t="s">
        <v>956</v>
      </c>
      <c r="D389" s="48" t="s">
        <v>957</v>
      </c>
      <c r="E389" s="48" t="s">
        <v>958</v>
      </c>
      <c r="F389" s="48" t="s">
        <v>959</v>
      </c>
      <c r="G389" s="48" t="s">
        <v>960</v>
      </c>
      <c r="H389" s="47" t="s">
        <v>961</v>
      </c>
      <c r="I389" s="47" t="s">
        <v>962</v>
      </c>
      <c r="J389" s="47" t="s">
        <v>26</v>
      </c>
    </row>
    <row r="390" ht="54" customHeight="1" spans="1:10">
      <c r="A390" s="48" t="s">
        <v>125</v>
      </c>
      <c r="B390" s="48" t="s">
        <v>1765</v>
      </c>
      <c r="C390" s="47" t="s">
        <v>1105</v>
      </c>
      <c r="D390" s="48" t="s">
        <v>1009</v>
      </c>
      <c r="E390" s="48" t="s">
        <v>1010</v>
      </c>
      <c r="F390" s="48" t="s">
        <v>1106</v>
      </c>
      <c r="G390" s="48" t="s">
        <v>1107</v>
      </c>
      <c r="H390" s="47" t="s">
        <v>1108</v>
      </c>
      <c r="I390" s="47" t="s">
        <v>1109</v>
      </c>
      <c r="J390" s="47" t="s">
        <v>26</v>
      </c>
    </row>
    <row r="391" ht="54" customHeight="1" spans="1:10">
      <c r="A391" s="48" t="s">
        <v>125</v>
      </c>
      <c r="B391" s="48" t="s">
        <v>1766</v>
      </c>
      <c r="C391" s="47" t="s">
        <v>1767</v>
      </c>
      <c r="D391" s="48" t="s">
        <v>957</v>
      </c>
      <c r="E391" s="48" t="s">
        <v>958</v>
      </c>
      <c r="F391" s="48" t="s">
        <v>1768</v>
      </c>
      <c r="G391" s="48" t="s">
        <v>1769</v>
      </c>
      <c r="H391" s="47" t="s">
        <v>1770</v>
      </c>
      <c r="I391" s="47" t="s">
        <v>1771</v>
      </c>
      <c r="J391" s="47" t="s">
        <v>26</v>
      </c>
    </row>
    <row r="392" ht="54" customHeight="1" spans="1:10">
      <c r="A392" s="48" t="s">
        <v>125</v>
      </c>
      <c r="B392" s="48" t="s">
        <v>1772</v>
      </c>
      <c r="C392" s="47" t="s">
        <v>1277</v>
      </c>
      <c r="D392" s="48" t="s">
        <v>1278</v>
      </c>
      <c r="E392" s="48" t="s">
        <v>1279</v>
      </c>
      <c r="F392" s="48" t="s">
        <v>1280</v>
      </c>
      <c r="G392" s="48" t="s">
        <v>1281</v>
      </c>
      <c r="H392" s="47" t="s">
        <v>1282</v>
      </c>
      <c r="I392" s="47" t="s">
        <v>1283</v>
      </c>
      <c r="J392" s="47" t="s">
        <v>26</v>
      </c>
    </row>
    <row r="393" ht="54" customHeight="1" spans="1:10">
      <c r="A393" s="48" t="s">
        <v>125</v>
      </c>
      <c r="B393" s="48" t="s">
        <v>1773</v>
      </c>
      <c r="C393" s="47" t="s">
        <v>1375</v>
      </c>
      <c r="D393" s="48" t="s">
        <v>1098</v>
      </c>
      <c r="E393" s="48" t="s">
        <v>1099</v>
      </c>
      <c r="F393" s="48" t="s">
        <v>1376</v>
      </c>
      <c r="G393" s="48" t="s">
        <v>1377</v>
      </c>
      <c r="H393" s="47" t="s">
        <v>1378</v>
      </c>
      <c r="I393" s="47" t="s">
        <v>1379</v>
      </c>
      <c r="J393" s="47" t="s">
        <v>26</v>
      </c>
    </row>
    <row r="394" ht="54" customHeight="1" spans="1:10">
      <c r="A394" s="48" t="s">
        <v>125</v>
      </c>
      <c r="B394" s="48" t="s">
        <v>1774</v>
      </c>
      <c r="C394" s="47" t="s">
        <v>1066</v>
      </c>
      <c r="D394" s="48" t="s">
        <v>935</v>
      </c>
      <c r="E394" s="48" t="s">
        <v>936</v>
      </c>
      <c r="F394" s="48" t="s">
        <v>1067</v>
      </c>
      <c r="G394" s="48" t="s">
        <v>1068</v>
      </c>
      <c r="H394" s="47" t="s">
        <v>1069</v>
      </c>
      <c r="I394" s="47" t="s">
        <v>940</v>
      </c>
      <c r="J394" s="47" t="s">
        <v>26</v>
      </c>
    </row>
    <row r="395" ht="54" customHeight="1" spans="1:10">
      <c r="A395" s="48" t="s">
        <v>125</v>
      </c>
      <c r="B395" s="48" t="s">
        <v>1775</v>
      </c>
      <c r="C395" s="47" t="s">
        <v>1388</v>
      </c>
      <c r="D395" s="48" t="s">
        <v>1037</v>
      </c>
      <c r="E395" s="48" t="s">
        <v>1038</v>
      </c>
      <c r="F395" s="48" t="s">
        <v>1389</v>
      </c>
      <c r="G395" s="48" t="s">
        <v>1390</v>
      </c>
      <c r="H395" s="47" t="s">
        <v>1391</v>
      </c>
      <c r="I395" s="47" t="s">
        <v>1392</v>
      </c>
      <c r="J395" s="47" t="s">
        <v>26</v>
      </c>
    </row>
    <row r="396" ht="54" customHeight="1" spans="1:10">
      <c r="A396" s="48" t="s">
        <v>125</v>
      </c>
      <c r="B396" s="48" t="s">
        <v>1776</v>
      </c>
      <c r="C396" s="47" t="s">
        <v>1111</v>
      </c>
      <c r="D396" s="48" t="s">
        <v>965</v>
      </c>
      <c r="E396" s="48" t="s">
        <v>966</v>
      </c>
      <c r="F396" s="48" t="s">
        <v>1112</v>
      </c>
      <c r="G396" s="48" t="s">
        <v>1113</v>
      </c>
      <c r="H396" s="47" t="s">
        <v>1114</v>
      </c>
      <c r="I396" s="47" t="s">
        <v>1115</v>
      </c>
      <c r="J396" s="47" t="s">
        <v>26</v>
      </c>
    </row>
    <row r="397" ht="54" customHeight="1" spans="1:10">
      <c r="A397" s="48" t="s">
        <v>125</v>
      </c>
      <c r="B397" s="48" t="s">
        <v>1777</v>
      </c>
      <c r="C397" s="47" t="s">
        <v>1117</v>
      </c>
      <c r="D397" s="48" t="s">
        <v>1118</v>
      </c>
      <c r="E397" s="48" t="s">
        <v>1119</v>
      </c>
      <c r="F397" s="48" t="s">
        <v>1120</v>
      </c>
      <c r="G397" s="48" t="s">
        <v>1121</v>
      </c>
      <c r="H397" s="47" t="s">
        <v>1122</v>
      </c>
      <c r="I397" s="47" t="s">
        <v>1123</v>
      </c>
      <c r="J397" s="47" t="s">
        <v>26</v>
      </c>
    </row>
    <row r="398" ht="54" customHeight="1" spans="1:10">
      <c r="A398" s="48" t="s">
        <v>125</v>
      </c>
      <c r="B398" s="48" t="s">
        <v>1778</v>
      </c>
      <c r="C398" s="47" t="s">
        <v>1285</v>
      </c>
      <c r="D398" s="48" t="s">
        <v>965</v>
      </c>
      <c r="E398" s="48" t="s">
        <v>966</v>
      </c>
      <c r="F398" s="48" t="s">
        <v>1286</v>
      </c>
      <c r="G398" s="48" t="s">
        <v>1287</v>
      </c>
      <c r="H398" s="47" t="s">
        <v>1288</v>
      </c>
      <c r="I398" s="47" t="s">
        <v>1289</v>
      </c>
      <c r="J398" s="47" t="s">
        <v>26</v>
      </c>
    </row>
    <row r="399" ht="54" customHeight="1" spans="1:10">
      <c r="A399" s="48" t="s">
        <v>127</v>
      </c>
      <c r="B399" s="48" t="s">
        <v>1779</v>
      </c>
      <c r="C399" s="47" t="s">
        <v>1516</v>
      </c>
      <c r="D399" s="48" t="s">
        <v>1073</v>
      </c>
      <c r="E399" s="48" t="s">
        <v>1074</v>
      </c>
      <c r="F399" s="48" t="s">
        <v>1517</v>
      </c>
      <c r="G399" s="48" t="s">
        <v>1518</v>
      </c>
      <c r="H399" s="47" t="s">
        <v>1519</v>
      </c>
      <c r="I399" s="47" t="s">
        <v>1520</v>
      </c>
      <c r="J399" s="47" t="s">
        <v>29</v>
      </c>
    </row>
    <row r="400" ht="54" customHeight="1" spans="1:10">
      <c r="A400" s="48" t="s">
        <v>127</v>
      </c>
      <c r="B400" s="48" t="s">
        <v>1780</v>
      </c>
      <c r="C400" s="47" t="s">
        <v>1534</v>
      </c>
      <c r="D400" s="48" t="s">
        <v>935</v>
      </c>
      <c r="E400" s="48" t="s">
        <v>936</v>
      </c>
      <c r="F400" s="48" t="s">
        <v>1535</v>
      </c>
      <c r="G400" s="48" t="s">
        <v>1536</v>
      </c>
      <c r="H400" s="47" t="s">
        <v>1537</v>
      </c>
      <c r="I400" s="47" t="s">
        <v>940</v>
      </c>
      <c r="J400" s="47" t="s">
        <v>29</v>
      </c>
    </row>
    <row r="401" ht="54" customHeight="1" spans="1:10">
      <c r="A401" s="48" t="s">
        <v>127</v>
      </c>
      <c r="B401" s="48" t="s">
        <v>1781</v>
      </c>
      <c r="C401" s="47" t="s">
        <v>1000</v>
      </c>
      <c r="D401" s="48" t="s">
        <v>1001</v>
      </c>
      <c r="E401" s="48" t="s">
        <v>1002</v>
      </c>
      <c r="F401" s="48" t="s">
        <v>1003</v>
      </c>
      <c r="G401" s="48" t="s">
        <v>1004</v>
      </c>
      <c r="H401" s="47" t="s">
        <v>1005</v>
      </c>
      <c r="I401" s="47" t="s">
        <v>1006</v>
      </c>
      <c r="J401" s="47" t="s">
        <v>29</v>
      </c>
    </row>
    <row r="402" ht="54" customHeight="1" spans="1:10">
      <c r="A402" s="48" t="s">
        <v>127</v>
      </c>
      <c r="B402" s="48" t="s">
        <v>1782</v>
      </c>
      <c r="C402" s="47" t="s">
        <v>1681</v>
      </c>
      <c r="D402" s="48" t="s">
        <v>943</v>
      </c>
      <c r="E402" s="48" t="s">
        <v>944</v>
      </c>
      <c r="F402" s="48" t="s">
        <v>1682</v>
      </c>
      <c r="G402" s="48" t="s">
        <v>1683</v>
      </c>
      <c r="H402" s="47" t="s">
        <v>1684</v>
      </c>
      <c r="I402" s="47" t="s">
        <v>1685</v>
      </c>
      <c r="J402" s="47" t="s">
        <v>29</v>
      </c>
    </row>
    <row r="403" ht="54" customHeight="1" spans="1:10">
      <c r="A403" s="48" t="s">
        <v>127</v>
      </c>
      <c r="B403" s="48" t="s">
        <v>1783</v>
      </c>
      <c r="C403" s="47" t="s">
        <v>1089</v>
      </c>
      <c r="D403" s="48" t="s">
        <v>957</v>
      </c>
      <c r="E403" s="48" t="s">
        <v>958</v>
      </c>
      <c r="F403" s="48" t="s">
        <v>1090</v>
      </c>
      <c r="G403" s="48" t="s">
        <v>1091</v>
      </c>
      <c r="H403" s="47" t="s">
        <v>1092</v>
      </c>
      <c r="I403" s="47" t="s">
        <v>1093</v>
      </c>
      <c r="J403" s="47" t="s">
        <v>29</v>
      </c>
    </row>
    <row r="404" ht="54" customHeight="1" spans="1:10">
      <c r="A404" s="48" t="s">
        <v>127</v>
      </c>
      <c r="B404" s="48" t="s">
        <v>1784</v>
      </c>
      <c r="C404" s="47" t="s">
        <v>1277</v>
      </c>
      <c r="D404" s="48" t="s">
        <v>1278</v>
      </c>
      <c r="E404" s="48" t="s">
        <v>1279</v>
      </c>
      <c r="F404" s="48" t="s">
        <v>1280</v>
      </c>
      <c r="G404" s="48" t="s">
        <v>1281</v>
      </c>
      <c r="H404" s="47" t="s">
        <v>1282</v>
      </c>
      <c r="I404" s="47" t="s">
        <v>1283</v>
      </c>
      <c r="J404" s="47" t="s">
        <v>29</v>
      </c>
    </row>
    <row r="405" ht="54" customHeight="1" spans="1:10">
      <c r="A405" s="48" t="s">
        <v>127</v>
      </c>
      <c r="B405" s="48" t="s">
        <v>1785</v>
      </c>
      <c r="C405" s="47" t="s">
        <v>1638</v>
      </c>
      <c r="D405" s="48" t="s">
        <v>1118</v>
      </c>
      <c r="E405" s="48" t="s">
        <v>1119</v>
      </c>
      <c r="F405" s="48" t="s">
        <v>1639</v>
      </c>
      <c r="G405" s="48" t="s">
        <v>1640</v>
      </c>
      <c r="H405" s="47" t="s">
        <v>1641</v>
      </c>
      <c r="I405" s="47" t="s">
        <v>1642</v>
      </c>
      <c r="J405" s="47" t="s">
        <v>29</v>
      </c>
    </row>
    <row r="406" ht="54" customHeight="1" spans="1:10">
      <c r="A406" s="48" t="s">
        <v>127</v>
      </c>
      <c r="B406" s="48" t="s">
        <v>1786</v>
      </c>
      <c r="C406" s="47" t="s">
        <v>1545</v>
      </c>
      <c r="D406" s="48" t="s">
        <v>1138</v>
      </c>
      <c r="E406" s="48" t="s">
        <v>1139</v>
      </c>
      <c r="F406" s="48" t="s">
        <v>1546</v>
      </c>
      <c r="G406" s="48" t="s">
        <v>1547</v>
      </c>
      <c r="H406" s="47" t="s">
        <v>1548</v>
      </c>
      <c r="I406" s="47" t="s">
        <v>940</v>
      </c>
      <c r="J406" s="47" t="s">
        <v>29</v>
      </c>
    </row>
    <row r="407" ht="54" customHeight="1" spans="1:10">
      <c r="A407" s="48" t="s">
        <v>127</v>
      </c>
      <c r="B407" s="48" t="s">
        <v>1787</v>
      </c>
      <c r="C407" s="47" t="s">
        <v>1137</v>
      </c>
      <c r="D407" s="48" t="s">
        <v>1138</v>
      </c>
      <c r="E407" s="48" t="s">
        <v>1139</v>
      </c>
      <c r="F407" s="48" t="s">
        <v>1140</v>
      </c>
      <c r="G407" s="48" t="s">
        <v>1141</v>
      </c>
      <c r="H407" s="47" t="s">
        <v>1142</v>
      </c>
      <c r="I407" s="47" t="s">
        <v>940</v>
      </c>
      <c r="J407" s="47" t="s">
        <v>29</v>
      </c>
    </row>
    <row r="408" ht="54" customHeight="1" spans="1:10">
      <c r="A408" s="48" t="s">
        <v>127</v>
      </c>
      <c r="B408" s="48" t="s">
        <v>1788</v>
      </c>
      <c r="C408" s="47" t="s">
        <v>1291</v>
      </c>
      <c r="D408" s="48" t="s">
        <v>965</v>
      </c>
      <c r="E408" s="48" t="s">
        <v>966</v>
      </c>
      <c r="F408" s="48" t="s">
        <v>1292</v>
      </c>
      <c r="G408" s="48" t="s">
        <v>1293</v>
      </c>
      <c r="H408" s="47" t="s">
        <v>1294</v>
      </c>
      <c r="I408" s="47" t="s">
        <v>1295</v>
      </c>
      <c r="J408" s="47" t="s">
        <v>29</v>
      </c>
    </row>
    <row r="409" ht="54" customHeight="1" spans="1:10">
      <c r="A409" s="48" t="s">
        <v>127</v>
      </c>
      <c r="B409" s="48" t="s">
        <v>1789</v>
      </c>
      <c r="C409" s="47" t="s">
        <v>1205</v>
      </c>
      <c r="D409" s="48" t="s">
        <v>978</v>
      </c>
      <c r="E409" s="48" t="s">
        <v>979</v>
      </c>
      <c r="F409" s="48" t="s">
        <v>1206</v>
      </c>
      <c r="G409" s="48" t="s">
        <v>1207</v>
      </c>
      <c r="H409" s="47" t="s">
        <v>1208</v>
      </c>
      <c r="I409" s="47" t="s">
        <v>1209</v>
      </c>
      <c r="J409" s="47" t="s">
        <v>29</v>
      </c>
    </row>
    <row r="410" ht="54" customHeight="1" spans="1:10">
      <c r="A410" s="48" t="s">
        <v>127</v>
      </c>
      <c r="B410" s="48" t="s">
        <v>1790</v>
      </c>
      <c r="C410" s="47" t="s">
        <v>1159</v>
      </c>
      <c r="D410" s="48" t="s">
        <v>1146</v>
      </c>
      <c r="E410" s="48" t="s">
        <v>1147</v>
      </c>
      <c r="F410" s="48" t="s">
        <v>1160</v>
      </c>
      <c r="G410" s="48" t="s">
        <v>1161</v>
      </c>
      <c r="H410" s="47" t="s">
        <v>1162</v>
      </c>
      <c r="I410" s="47" t="s">
        <v>1151</v>
      </c>
      <c r="J410" s="47" t="s">
        <v>29</v>
      </c>
    </row>
    <row r="411" ht="54" customHeight="1" spans="1:10">
      <c r="A411" s="48" t="s">
        <v>129</v>
      </c>
      <c r="B411" s="48" t="s">
        <v>1791</v>
      </c>
      <c r="C411" s="47" t="s">
        <v>1097</v>
      </c>
      <c r="D411" s="48" t="s">
        <v>1098</v>
      </c>
      <c r="E411" s="48" t="s">
        <v>1099</v>
      </c>
      <c r="F411" s="48" t="s">
        <v>1100</v>
      </c>
      <c r="G411" s="48" t="s">
        <v>1101</v>
      </c>
      <c r="H411" s="47" t="s">
        <v>1102</v>
      </c>
      <c r="I411" s="47" t="s">
        <v>1103</v>
      </c>
      <c r="J411" s="47" t="s">
        <v>26</v>
      </c>
    </row>
    <row r="412" ht="54" customHeight="1" spans="1:10">
      <c r="A412" s="48" t="s">
        <v>129</v>
      </c>
      <c r="B412" s="48" t="s">
        <v>1792</v>
      </c>
      <c r="C412" s="47" t="s">
        <v>1205</v>
      </c>
      <c r="D412" s="48" t="s">
        <v>978</v>
      </c>
      <c r="E412" s="48" t="s">
        <v>979</v>
      </c>
      <c r="F412" s="48" t="s">
        <v>1206</v>
      </c>
      <c r="G412" s="48" t="s">
        <v>1207</v>
      </c>
      <c r="H412" s="47" t="s">
        <v>1208</v>
      </c>
      <c r="I412" s="47" t="s">
        <v>1209</v>
      </c>
      <c r="J412" s="47" t="s">
        <v>26</v>
      </c>
    </row>
    <row r="413" ht="54" customHeight="1" spans="1:10">
      <c r="A413" s="48" t="s">
        <v>131</v>
      </c>
      <c r="B413" s="48" t="s">
        <v>1793</v>
      </c>
      <c r="C413" s="47" t="s">
        <v>1337</v>
      </c>
      <c r="D413" s="48" t="s">
        <v>1009</v>
      </c>
      <c r="E413" s="48" t="s">
        <v>1010</v>
      </c>
      <c r="F413" s="48" t="s">
        <v>1338</v>
      </c>
      <c r="G413" s="48" t="s">
        <v>1339</v>
      </c>
      <c r="H413" s="47" t="s">
        <v>1340</v>
      </c>
      <c r="I413" s="47" t="s">
        <v>1341</v>
      </c>
      <c r="J413" s="47" t="s">
        <v>26</v>
      </c>
    </row>
    <row r="414" ht="54" customHeight="1" spans="1:10">
      <c r="A414" s="48" t="s">
        <v>131</v>
      </c>
      <c r="B414" s="48" t="s">
        <v>1794</v>
      </c>
      <c r="C414" s="47" t="s">
        <v>1651</v>
      </c>
      <c r="D414" s="48" t="s">
        <v>1082</v>
      </c>
      <c r="E414" s="48" t="s">
        <v>1083</v>
      </c>
      <c r="F414" s="48" t="s">
        <v>1652</v>
      </c>
      <c r="G414" s="48" t="s">
        <v>1653</v>
      </c>
      <c r="H414" s="47" t="s">
        <v>1654</v>
      </c>
      <c r="I414" s="47" t="s">
        <v>1655</v>
      </c>
      <c r="J414" s="47" t="s">
        <v>26</v>
      </c>
    </row>
    <row r="415" ht="54" customHeight="1" spans="1:10">
      <c r="A415" s="48" t="s">
        <v>131</v>
      </c>
      <c r="B415" s="48" t="s">
        <v>1795</v>
      </c>
      <c r="C415" s="47" t="s">
        <v>1066</v>
      </c>
      <c r="D415" s="48" t="s">
        <v>935</v>
      </c>
      <c r="E415" s="48" t="s">
        <v>936</v>
      </c>
      <c r="F415" s="48" t="s">
        <v>1067</v>
      </c>
      <c r="G415" s="48" t="s">
        <v>1068</v>
      </c>
      <c r="H415" s="47" t="s">
        <v>1069</v>
      </c>
      <c r="I415" s="47" t="s">
        <v>940</v>
      </c>
      <c r="J415" s="47" t="s">
        <v>26</v>
      </c>
    </row>
    <row r="416" ht="54" customHeight="1" spans="1:10">
      <c r="A416" s="48" t="s">
        <v>131</v>
      </c>
      <c r="B416" s="48" t="s">
        <v>1796</v>
      </c>
      <c r="C416" s="47" t="s">
        <v>1117</v>
      </c>
      <c r="D416" s="48" t="s">
        <v>1118</v>
      </c>
      <c r="E416" s="48" t="s">
        <v>1119</v>
      </c>
      <c r="F416" s="48" t="s">
        <v>1120</v>
      </c>
      <c r="G416" s="48" t="s">
        <v>1121</v>
      </c>
      <c r="H416" s="47" t="s">
        <v>1122</v>
      </c>
      <c r="I416" s="47" t="s">
        <v>1123</v>
      </c>
      <c r="J416" s="47" t="s">
        <v>26</v>
      </c>
    </row>
    <row r="417" ht="54" customHeight="1" spans="1:10">
      <c r="A417" s="48" t="s">
        <v>131</v>
      </c>
      <c r="B417" s="48" t="s">
        <v>1797</v>
      </c>
      <c r="C417" s="47" t="s">
        <v>1137</v>
      </c>
      <c r="D417" s="48" t="s">
        <v>1138</v>
      </c>
      <c r="E417" s="48" t="s">
        <v>1139</v>
      </c>
      <c r="F417" s="48" t="s">
        <v>1140</v>
      </c>
      <c r="G417" s="48" t="s">
        <v>1141</v>
      </c>
      <c r="H417" s="47" t="s">
        <v>1142</v>
      </c>
      <c r="I417" s="47" t="s">
        <v>940</v>
      </c>
      <c r="J417" s="47" t="s">
        <v>26</v>
      </c>
    </row>
    <row r="418" ht="54" customHeight="1" spans="1:10">
      <c r="A418" s="48" t="s">
        <v>131</v>
      </c>
      <c r="B418" s="48" t="s">
        <v>1798</v>
      </c>
      <c r="C418" s="47" t="s">
        <v>971</v>
      </c>
      <c r="D418" s="48" t="s">
        <v>965</v>
      </c>
      <c r="E418" s="48" t="s">
        <v>966</v>
      </c>
      <c r="F418" s="48" t="s">
        <v>972</v>
      </c>
      <c r="G418" s="48" t="s">
        <v>973</v>
      </c>
      <c r="H418" s="47" t="s">
        <v>974</v>
      </c>
      <c r="I418" s="47" t="s">
        <v>975</v>
      </c>
      <c r="J418" s="47" t="s">
        <v>26</v>
      </c>
    </row>
    <row r="419" ht="54" customHeight="1" spans="1:10">
      <c r="A419" s="48" t="s">
        <v>131</v>
      </c>
      <c r="B419" s="48" t="s">
        <v>1799</v>
      </c>
      <c r="C419" s="47" t="s">
        <v>977</v>
      </c>
      <c r="D419" s="48" t="s">
        <v>978</v>
      </c>
      <c r="E419" s="48" t="s">
        <v>979</v>
      </c>
      <c r="F419" s="48" t="s">
        <v>980</v>
      </c>
      <c r="G419" s="48" t="s">
        <v>981</v>
      </c>
      <c r="H419" s="47" t="s">
        <v>982</v>
      </c>
      <c r="I419" s="47" t="s">
        <v>983</v>
      </c>
      <c r="J419" s="47" t="s">
        <v>26</v>
      </c>
    </row>
    <row r="420" ht="54" customHeight="1" spans="1:10">
      <c r="A420" s="48" t="s">
        <v>131</v>
      </c>
      <c r="B420" s="48" t="s">
        <v>1800</v>
      </c>
      <c r="C420" s="47" t="s">
        <v>1356</v>
      </c>
      <c r="D420" s="48" t="s">
        <v>1082</v>
      </c>
      <c r="E420" s="48" t="s">
        <v>1083</v>
      </c>
      <c r="F420" s="48" t="s">
        <v>1357</v>
      </c>
      <c r="G420" s="48" t="s">
        <v>1358</v>
      </c>
      <c r="H420" s="47" t="s">
        <v>1359</v>
      </c>
      <c r="I420" s="47" t="s">
        <v>1360</v>
      </c>
      <c r="J420" s="47" t="s">
        <v>26</v>
      </c>
    </row>
    <row r="421" ht="54" customHeight="1" spans="1:10">
      <c r="A421" s="48" t="s">
        <v>131</v>
      </c>
      <c r="B421" s="48" t="s">
        <v>1801</v>
      </c>
      <c r="C421" s="47" t="s">
        <v>1216</v>
      </c>
      <c r="D421" s="48" t="s">
        <v>993</v>
      </c>
      <c r="E421" s="48" t="s">
        <v>994</v>
      </c>
      <c r="F421" s="48" t="s">
        <v>1217</v>
      </c>
      <c r="G421" s="48" t="s">
        <v>1218</v>
      </c>
      <c r="H421" s="47" t="s">
        <v>1219</v>
      </c>
      <c r="I421" s="47" t="s">
        <v>1220</v>
      </c>
      <c r="J421" s="47" t="s">
        <v>26</v>
      </c>
    </row>
    <row r="422" ht="54" customHeight="1" spans="1:10">
      <c r="A422" s="48" t="s">
        <v>131</v>
      </c>
      <c r="B422" s="48" t="s">
        <v>1802</v>
      </c>
      <c r="C422" s="47" t="s">
        <v>1145</v>
      </c>
      <c r="D422" s="48" t="s">
        <v>1146</v>
      </c>
      <c r="E422" s="48" t="s">
        <v>1147</v>
      </c>
      <c r="F422" s="48" t="s">
        <v>1148</v>
      </c>
      <c r="G422" s="48" t="s">
        <v>1149</v>
      </c>
      <c r="H422" s="47" t="s">
        <v>1150</v>
      </c>
      <c r="I422" s="47" t="s">
        <v>1151</v>
      </c>
      <c r="J422" s="47" t="s">
        <v>26</v>
      </c>
    </row>
    <row r="423" ht="54" customHeight="1" spans="1:10">
      <c r="A423" s="48" t="s">
        <v>133</v>
      </c>
      <c r="B423" s="48" t="s">
        <v>1803</v>
      </c>
      <c r="C423" s="47" t="s">
        <v>977</v>
      </c>
      <c r="D423" s="48" t="s">
        <v>978</v>
      </c>
      <c r="E423" s="48" t="s">
        <v>979</v>
      </c>
      <c r="F423" s="48" t="s">
        <v>980</v>
      </c>
      <c r="G423" s="48" t="s">
        <v>981</v>
      </c>
      <c r="H423" s="47" t="s">
        <v>982</v>
      </c>
      <c r="I423" s="47" t="s">
        <v>983</v>
      </c>
      <c r="J423" s="47" t="s">
        <v>26</v>
      </c>
    </row>
    <row r="424" ht="54" customHeight="1" spans="1:10">
      <c r="A424" s="48" t="s">
        <v>133</v>
      </c>
      <c r="B424" s="48" t="s">
        <v>1804</v>
      </c>
      <c r="C424" s="47" t="s">
        <v>1245</v>
      </c>
      <c r="D424" s="48" t="s">
        <v>1171</v>
      </c>
      <c r="E424" s="48" t="s">
        <v>1172</v>
      </c>
      <c r="F424" s="48" t="s">
        <v>1246</v>
      </c>
      <c r="G424" s="48" t="s">
        <v>1247</v>
      </c>
      <c r="H424" s="47" t="s">
        <v>1248</v>
      </c>
      <c r="I424" s="47" t="s">
        <v>1176</v>
      </c>
      <c r="J424" s="47" t="s">
        <v>26</v>
      </c>
    </row>
    <row r="425" ht="54" customHeight="1" spans="1:10">
      <c r="A425" s="48" t="s">
        <v>135</v>
      </c>
      <c r="B425" s="48" t="s">
        <v>1805</v>
      </c>
      <c r="C425" s="47" t="s">
        <v>1211</v>
      </c>
      <c r="D425" s="48" t="s">
        <v>965</v>
      </c>
      <c r="E425" s="48" t="s">
        <v>966</v>
      </c>
      <c r="F425" s="48" t="s">
        <v>1212</v>
      </c>
      <c r="G425" s="48" t="s">
        <v>1213</v>
      </c>
      <c r="H425" s="47" t="s">
        <v>1214</v>
      </c>
      <c r="I425" s="47" t="s">
        <v>940</v>
      </c>
      <c r="J425" s="47" t="s">
        <v>26</v>
      </c>
    </row>
    <row r="426" ht="54" customHeight="1" spans="1:10">
      <c r="A426" s="48" t="s">
        <v>135</v>
      </c>
      <c r="B426" s="48" t="s">
        <v>1806</v>
      </c>
      <c r="C426" s="47" t="s">
        <v>1245</v>
      </c>
      <c r="D426" s="48" t="s">
        <v>1171</v>
      </c>
      <c r="E426" s="48" t="s">
        <v>1172</v>
      </c>
      <c r="F426" s="48" t="s">
        <v>1246</v>
      </c>
      <c r="G426" s="48" t="s">
        <v>1247</v>
      </c>
      <c r="H426" s="47" t="s">
        <v>1248</v>
      </c>
      <c r="I426" s="47" t="s">
        <v>1176</v>
      </c>
      <c r="J426" s="47" t="s">
        <v>26</v>
      </c>
    </row>
    <row r="427" ht="54" customHeight="1" spans="1:10">
      <c r="A427" s="48" t="s">
        <v>137</v>
      </c>
      <c r="B427" s="48" t="s">
        <v>1807</v>
      </c>
      <c r="C427" s="47" t="s">
        <v>956</v>
      </c>
      <c r="D427" s="48" t="s">
        <v>957</v>
      </c>
      <c r="E427" s="48" t="s">
        <v>958</v>
      </c>
      <c r="F427" s="48" t="s">
        <v>959</v>
      </c>
      <c r="G427" s="48" t="s">
        <v>960</v>
      </c>
      <c r="H427" s="47" t="s">
        <v>961</v>
      </c>
      <c r="I427" s="47" t="s">
        <v>962</v>
      </c>
      <c r="J427" s="47" t="s">
        <v>26</v>
      </c>
    </row>
    <row r="428" ht="54" customHeight="1" spans="1:10">
      <c r="A428" s="48" t="s">
        <v>137</v>
      </c>
      <c r="B428" s="48" t="s">
        <v>1808</v>
      </c>
      <c r="C428" s="47" t="s">
        <v>1036</v>
      </c>
      <c r="D428" s="48" t="s">
        <v>1037</v>
      </c>
      <c r="E428" s="48" t="s">
        <v>1038</v>
      </c>
      <c r="F428" s="48" t="s">
        <v>1039</v>
      </c>
      <c r="G428" s="48" t="s">
        <v>1040</v>
      </c>
      <c r="H428" s="47" t="s">
        <v>1041</v>
      </c>
      <c r="I428" s="47" t="s">
        <v>1042</v>
      </c>
      <c r="J428" s="47" t="s">
        <v>26</v>
      </c>
    </row>
    <row r="429" ht="54" customHeight="1" spans="1:10">
      <c r="A429" s="48" t="s">
        <v>137</v>
      </c>
      <c r="B429" s="48" t="s">
        <v>1809</v>
      </c>
      <c r="C429" s="47" t="s">
        <v>1097</v>
      </c>
      <c r="D429" s="48" t="s">
        <v>1098</v>
      </c>
      <c r="E429" s="48" t="s">
        <v>1099</v>
      </c>
      <c r="F429" s="48" t="s">
        <v>1100</v>
      </c>
      <c r="G429" s="48" t="s">
        <v>1101</v>
      </c>
      <c r="H429" s="47" t="s">
        <v>1102</v>
      </c>
      <c r="I429" s="47" t="s">
        <v>1103</v>
      </c>
      <c r="J429" s="47" t="s">
        <v>26</v>
      </c>
    </row>
    <row r="430" ht="54" customHeight="1" spans="1:10">
      <c r="A430" s="48" t="s">
        <v>137</v>
      </c>
      <c r="B430" s="48" t="s">
        <v>1810</v>
      </c>
      <c r="C430" s="47" t="s">
        <v>1252</v>
      </c>
      <c r="D430" s="48" t="s">
        <v>1001</v>
      </c>
      <c r="E430" s="48" t="s">
        <v>1002</v>
      </c>
      <c r="F430" s="48" t="s">
        <v>1253</v>
      </c>
      <c r="G430" s="48" t="s">
        <v>1254</v>
      </c>
      <c r="H430" s="47" t="s">
        <v>1255</v>
      </c>
      <c r="I430" s="47" t="s">
        <v>1256</v>
      </c>
      <c r="J430" s="47" t="s">
        <v>26</v>
      </c>
    </row>
    <row r="431" ht="54" customHeight="1" spans="1:10">
      <c r="A431" s="48" t="s">
        <v>137</v>
      </c>
      <c r="B431" s="48" t="s">
        <v>1811</v>
      </c>
      <c r="C431" s="47" t="s">
        <v>1137</v>
      </c>
      <c r="D431" s="48" t="s">
        <v>1138</v>
      </c>
      <c r="E431" s="48" t="s">
        <v>1139</v>
      </c>
      <c r="F431" s="48" t="s">
        <v>1140</v>
      </c>
      <c r="G431" s="48" t="s">
        <v>1141</v>
      </c>
      <c r="H431" s="47" t="s">
        <v>1142</v>
      </c>
      <c r="I431" s="47" t="s">
        <v>940</v>
      </c>
      <c r="J431" s="47" t="s">
        <v>26</v>
      </c>
    </row>
    <row r="432" ht="54" customHeight="1" spans="1:10">
      <c r="A432" s="48" t="s">
        <v>137</v>
      </c>
      <c r="B432" s="48" t="s">
        <v>1812</v>
      </c>
      <c r="C432" s="47" t="s">
        <v>971</v>
      </c>
      <c r="D432" s="48" t="s">
        <v>965</v>
      </c>
      <c r="E432" s="48" t="s">
        <v>966</v>
      </c>
      <c r="F432" s="48" t="s">
        <v>972</v>
      </c>
      <c r="G432" s="48" t="s">
        <v>973</v>
      </c>
      <c r="H432" s="47" t="s">
        <v>974</v>
      </c>
      <c r="I432" s="47" t="s">
        <v>975</v>
      </c>
      <c r="J432" s="47" t="s">
        <v>26</v>
      </c>
    </row>
    <row r="433" ht="54" customHeight="1" spans="1:10">
      <c r="A433" s="48" t="s">
        <v>137</v>
      </c>
      <c r="B433" s="48" t="s">
        <v>1813</v>
      </c>
      <c r="C433" s="47" t="s">
        <v>1291</v>
      </c>
      <c r="D433" s="48" t="s">
        <v>965</v>
      </c>
      <c r="E433" s="48" t="s">
        <v>966</v>
      </c>
      <c r="F433" s="48" t="s">
        <v>1292</v>
      </c>
      <c r="G433" s="48" t="s">
        <v>1293</v>
      </c>
      <c r="H433" s="47" t="s">
        <v>1294</v>
      </c>
      <c r="I433" s="47" t="s">
        <v>1295</v>
      </c>
      <c r="J433" s="47" t="s">
        <v>26</v>
      </c>
    </row>
    <row r="434" ht="54" customHeight="1" spans="1:10">
      <c r="A434" s="48" t="s">
        <v>137</v>
      </c>
      <c r="B434" s="48" t="s">
        <v>1814</v>
      </c>
      <c r="C434" s="47" t="s">
        <v>977</v>
      </c>
      <c r="D434" s="48" t="s">
        <v>978</v>
      </c>
      <c r="E434" s="48" t="s">
        <v>979</v>
      </c>
      <c r="F434" s="48" t="s">
        <v>980</v>
      </c>
      <c r="G434" s="48" t="s">
        <v>981</v>
      </c>
      <c r="H434" s="47" t="s">
        <v>982</v>
      </c>
      <c r="I434" s="47" t="s">
        <v>983</v>
      </c>
      <c r="J434" s="47" t="s">
        <v>26</v>
      </c>
    </row>
    <row r="435" ht="54" customHeight="1" spans="1:10">
      <c r="A435" s="48" t="s">
        <v>137</v>
      </c>
      <c r="B435" s="48" t="s">
        <v>1815</v>
      </c>
      <c r="C435" s="47" t="s">
        <v>1313</v>
      </c>
      <c r="D435" s="48" t="s">
        <v>1037</v>
      </c>
      <c r="E435" s="48" t="s">
        <v>1038</v>
      </c>
      <c r="F435" s="48" t="s">
        <v>1314</v>
      </c>
      <c r="G435" s="48" t="s">
        <v>1315</v>
      </c>
      <c r="H435" s="47" t="s">
        <v>1316</v>
      </c>
      <c r="I435" s="47" t="s">
        <v>1317</v>
      </c>
      <c r="J435" s="47" t="s">
        <v>26</v>
      </c>
    </row>
    <row r="436" ht="54" customHeight="1" spans="1:10">
      <c r="A436" s="48" t="s">
        <v>137</v>
      </c>
      <c r="B436" s="48" t="s">
        <v>1816</v>
      </c>
      <c r="C436" s="47" t="s">
        <v>1216</v>
      </c>
      <c r="D436" s="48" t="s">
        <v>993</v>
      </c>
      <c r="E436" s="48" t="s">
        <v>994</v>
      </c>
      <c r="F436" s="48" t="s">
        <v>1217</v>
      </c>
      <c r="G436" s="48" t="s">
        <v>1218</v>
      </c>
      <c r="H436" s="47" t="s">
        <v>1219</v>
      </c>
      <c r="I436" s="47" t="s">
        <v>1220</v>
      </c>
      <c r="J436" s="47" t="s">
        <v>26</v>
      </c>
    </row>
    <row r="437" ht="54" customHeight="1" spans="1:10">
      <c r="A437" s="48" t="s">
        <v>139</v>
      </c>
      <c r="B437" s="48" t="s">
        <v>1817</v>
      </c>
      <c r="C437" s="47" t="s">
        <v>1008</v>
      </c>
      <c r="D437" s="48" t="s">
        <v>1009</v>
      </c>
      <c r="E437" s="48" t="s">
        <v>1010</v>
      </c>
      <c r="F437" s="48" t="s">
        <v>1011</v>
      </c>
      <c r="G437" s="48" t="s">
        <v>1012</v>
      </c>
      <c r="H437" s="47" t="s">
        <v>1013</v>
      </c>
      <c r="I437" s="47" t="s">
        <v>1014</v>
      </c>
      <c r="J437" s="47" t="s">
        <v>26</v>
      </c>
    </row>
    <row r="438" ht="54" customHeight="1" spans="1:10">
      <c r="A438" s="48" t="s">
        <v>139</v>
      </c>
      <c r="B438" s="48" t="s">
        <v>1818</v>
      </c>
      <c r="C438" s="47" t="s">
        <v>1252</v>
      </c>
      <c r="D438" s="48" t="s">
        <v>1001</v>
      </c>
      <c r="E438" s="48" t="s">
        <v>1002</v>
      </c>
      <c r="F438" s="48" t="s">
        <v>1253</v>
      </c>
      <c r="G438" s="48" t="s">
        <v>1254</v>
      </c>
      <c r="H438" s="47" t="s">
        <v>1255</v>
      </c>
      <c r="I438" s="47" t="s">
        <v>1256</v>
      </c>
      <c r="J438" s="47" t="s">
        <v>26</v>
      </c>
    </row>
    <row r="439" ht="54" customHeight="1" spans="1:10">
      <c r="A439" s="48" t="s">
        <v>139</v>
      </c>
      <c r="B439" s="48" t="s">
        <v>1819</v>
      </c>
      <c r="C439" s="47" t="s">
        <v>1356</v>
      </c>
      <c r="D439" s="48" t="s">
        <v>1082</v>
      </c>
      <c r="E439" s="48" t="s">
        <v>1083</v>
      </c>
      <c r="F439" s="48" t="s">
        <v>1357</v>
      </c>
      <c r="G439" s="48" t="s">
        <v>1358</v>
      </c>
      <c r="H439" s="47" t="s">
        <v>1359</v>
      </c>
      <c r="I439" s="47" t="s">
        <v>1360</v>
      </c>
      <c r="J439" s="47" t="s">
        <v>26</v>
      </c>
    </row>
    <row r="440" ht="54" customHeight="1" spans="1:10">
      <c r="A440" s="48" t="s">
        <v>139</v>
      </c>
      <c r="B440" s="48" t="s">
        <v>1820</v>
      </c>
      <c r="C440" s="47" t="s">
        <v>1245</v>
      </c>
      <c r="D440" s="48" t="s">
        <v>1171</v>
      </c>
      <c r="E440" s="48" t="s">
        <v>1172</v>
      </c>
      <c r="F440" s="48" t="s">
        <v>1246</v>
      </c>
      <c r="G440" s="48" t="s">
        <v>1247</v>
      </c>
      <c r="H440" s="47" t="s">
        <v>1248</v>
      </c>
      <c r="I440" s="47" t="s">
        <v>1176</v>
      </c>
      <c r="J440" s="47" t="s">
        <v>26</v>
      </c>
    </row>
    <row r="441" ht="54" customHeight="1" spans="1:10">
      <c r="A441" s="48" t="s">
        <v>141</v>
      </c>
      <c r="B441" s="48" t="s">
        <v>1821</v>
      </c>
      <c r="C441" s="47" t="s">
        <v>1036</v>
      </c>
      <c r="D441" s="48" t="s">
        <v>1037</v>
      </c>
      <c r="E441" s="48" t="s">
        <v>1038</v>
      </c>
      <c r="F441" s="48" t="s">
        <v>1039</v>
      </c>
      <c r="G441" s="48" t="s">
        <v>1040</v>
      </c>
      <c r="H441" s="47" t="s">
        <v>1041</v>
      </c>
      <c r="I441" s="47" t="s">
        <v>1042</v>
      </c>
      <c r="J441" s="47" t="s">
        <v>26</v>
      </c>
    </row>
    <row r="442" ht="54" customHeight="1" spans="1:10">
      <c r="A442" s="48" t="s">
        <v>141</v>
      </c>
      <c r="B442" s="48" t="s">
        <v>1822</v>
      </c>
      <c r="C442" s="47" t="s">
        <v>977</v>
      </c>
      <c r="D442" s="48" t="s">
        <v>978</v>
      </c>
      <c r="E442" s="48" t="s">
        <v>979</v>
      </c>
      <c r="F442" s="48" t="s">
        <v>980</v>
      </c>
      <c r="G442" s="48" t="s">
        <v>981</v>
      </c>
      <c r="H442" s="47" t="s">
        <v>982</v>
      </c>
      <c r="I442" s="47" t="s">
        <v>983</v>
      </c>
      <c r="J442" s="47" t="s">
        <v>26</v>
      </c>
    </row>
    <row r="443" ht="54" customHeight="1" spans="1:10">
      <c r="A443" s="48" t="s">
        <v>143</v>
      </c>
      <c r="B443" s="48" t="s">
        <v>1823</v>
      </c>
      <c r="C443" s="47" t="s">
        <v>934</v>
      </c>
      <c r="D443" s="48" t="s">
        <v>935</v>
      </c>
      <c r="E443" s="48" t="s">
        <v>936</v>
      </c>
      <c r="F443" s="48" t="s">
        <v>937</v>
      </c>
      <c r="G443" s="48" t="s">
        <v>938</v>
      </c>
      <c r="H443" s="47" t="s">
        <v>939</v>
      </c>
      <c r="I443" s="47" t="s">
        <v>940</v>
      </c>
      <c r="J443" s="47" t="s">
        <v>26</v>
      </c>
    </row>
    <row r="444" ht="54" customHeight="1" spans="1:10">
      <c r="A444" s="48" t="s">
        <v>143</v>
      </c>
      <c r="B444" s="48" t="s">
        <v>1824</v>
      </c>
      <c r="C444" s="47" t="s">
        <v>1480</v>
      </c>
      <c r="D444" s="48" t="s">
        <v>1001</v>
      </c>
      <c r="E444" s="48" t="s">
        <v>1002</v>
      </c>
      <c r="F444" s="48" t="s">
        <v>1481</v>
      </c>
      <c r="G444" s="48" t="s">
        <v>1482</v>
      </c>
      <c r="H444" s="47" t="s">
        <v>1483</v>
      </c>
      <c r="I444" s="47" t="s">
        <v>1484</v>
      </c>
      <c r="J444" s="47" t="s">
        <v>26</v>
      </c>
    </row>
    <row r="445" ht="54" customHeight="1" spans="1:10">
      <c r="A445" s="48" t="s">
        <v>143</v>
      </c>
      <c r="B445" s="48" t="s">
        <v>1825</v>
      </c>
      <c r="C445" s="47" t="s">
        <v>1097</v>
      </c>
      <c r="D445" s="48" t="s">
        <v>1098</v>
      </c>
      <c r="E445" s="48" t="s">
        <v>1099</v>
      </c>
      <c r="F445" s="48" t="s">
        <v>1100</v>
      </c>
      <c r="G445" s="48" t="s">
        <v>1101</v>
      </c>
      <c r="H445" s="47" t="s">
        <v>1102</v>
      </c>
      <c r="I445" s="47" t="s">
        <v>1103</v>
      </c>
      <c r="J445" s="47" t="s">
        <v>26</v>
      </c>
    </row>
    <row r="446" ht="54" customHeight="1" spans="1:10">
      <c r="A446" s="48" t="s">
        <v>143</v>
      </c>
      <c r="B446" s="48" t="s">
        <v>1826</v>
      </c>
      <c r="C446" s="47" t="s">
        <v>1666</v>
      </c>
      <c r="D446" s="48" t="s">
        <v>1082</v>
      </c>
      <c r="E446" s="48" t="s">
        <v>1083</v>
      </c>
      <c r="F446" s="48" t="s">
        <v>1667</v>
      </c>
      <c r="G446" s="48" t="s">
        <v>1668</v>
      </c>
      <c r="H446" s="47" t="s">
        <v>1669</v>
      </c>
      <c r="I446" s="47" t="s">
        <v>1670</v>
      </c>
      <c r="J446" s="47" t="s">
        <v>26</v>
      </c>
    </row>
    <row r="447" ht="54" customHeight="1" spans="1:10">
      <c r="A447" s="48" t="s">
        <v>143</v>
      </c>
      <c r="B447" s="48" t="s">
        <v>1827</v>
      </c>
      <c r="C447" s="47" t="s">
        <v>977</v>
      </c>
      <c r="D447" s="48" t="s">
        <v>978</v>
      </c>
      <c r="E447" s="48" t="s">
        <v>979</v>
      </c>
      <c r="F447" s="48" t="s">
        <v>980</v>
      </c>
      <c r="G447" s="48" t="s">
        <v>981</v>
      </c>
      <c r="H447" s="47" t="s">
        <v>982</v>
      </c>
      <c r="I447" s="47" t="s">
        <v>983</v>
      </c>
      <c r="J447" s="47" t="s">
        <v>26</v>
      </c>
    </row>
    <row r="448" ht="54" customHeight="1" spans="1:10">
      <c r="A448" s="48" t="s">
        <v>145</v>
      </c>
      <c r="B448" s="48" t="s">
        <v>1828</v>
      </c>
      <c r="C448" s="47" t="s">
        <v>1105</v>
      </c>
      <c r="D448" s="48" t="s">
        <v>1009</v>
      </c>
      <c r="E448" s="48" t="s">
        <v>1010</v>
      </c>
      <c r="F448" s="48" t="s">
        <v>1106</v>
      </c>
      <c r="G448" s="48" t="s">
        <v>1107</v>
      </c>
      <c r="H448" s="47" t="s">
        <v>1108</v>
      </c>
      <c r="I448" s="47" t="s">
        <v>1109</v>
      </c>
      <c r="J448" s="47" t="s">
        <v>26</v>
      </c>
    </row>
    <row r="449" ht="54" customHeight="1" spans="1:10">
      <c r="A449" s="48" t="s">
        <v>145</v>
      </c>
      <c r="B449" s="48" t="s">
        <v>1829</v>
      </c>
      <c r="C449" s="47" t="s">
        <v>1610</v>
      </c>
      <c r="D449" s="48" t="s">
        <v>1098</v>
      </c>
      <c r="E449" s="48" t="s">
        <v>1099</v>
      </c>
      <c r="F449" s="48" t="s">
        <v>1611</v>
      </c>
      <c r="G449" s="48" t="s">
        <v>1612</v>
      </c>
      <c r="H449" s="47" t="s">
        <v>1613</v>
      </c>
      <c r="I449" s="47" t="s">
        <v>1614</v>
      </c>
      <c r="J449" s="47" t="s">
        <v>26</v>
      </c>
    </row>
    <row r="450" ht="54" customHeight="1" spans="1:10">
      <c r="A450" s="48" t="s">
        <v>145</v>
      </c>
      <c r="B450" s="48" t="s">
        <v>1830</v>
      </c>
      <c r="C450" s="47" t="s">
        <v>1291</v>
      </c>
      <c r="D450" s="48" t="s">
        <v>965</v>
      </c>
      <c r="E450" s="48" t="s">
        <v>966</v>
      </c>
      <c r="F450" s="48" t="s">
        <v>1292</v>
      </c>
      <c r="G450" s="48" t="s">
        <v>1293</v>
      </c>
      <c r="H450" s="47" t="s">
        <v>1294</v>
      </c>
      <c r="I450" s="47" t="s">
        <v>1295</v>
      </c>
      <c r="J450" s="47" t="s">
        <v>26</v>
      </c>
    </row>
    <row r="451" ht="54" customHeight="1" spans="1:10">
      <c r="A451" s="48" t="s">
        <v>145</v>
      </c>
      <c r="B451" s="48" t="s">
        <v>1831</v>
      </c>
      <c r="C451" s="47" t="s">
        <v>977</v>
      </c>
      <c r="D451" s="48" t="s">
        <v>978</v>
      </c>
      <c r="E451" s="48" t="s">
        <v>979</v>
      </c>
      <c r="F451" s="48" t="s">
        <v>980</v>
      </c>
      <c r="G451" s="48" t="s">
        <v>981</v>
      </c>
      <c r="H451" s="47" t="s">
        <v>982</v>
      </c>
      <c r="I451" s="47" t="s">
        <v>983</v>
      </c>
      <c r="J451" s="47" t="s">
        <v>26</v>
      </c>
    </row>
    <row r="452" ht="54" customHeight="1" spans="1:10">
      <c r="A452" s="48" t="s">
        <v>147</v>
      </c>
      <c r="B452" s="48" t="s">
        <v>1832</v>
      </c>
      <c r="C452" s="47" t="s">
        <v>1081</v>
      </c>
      <c r="D452" s="48" t="s">
        <v>1082</v>
      </c>
      <c r="E452" s="48" t="s">
        <v>1083</v>
      </c>
      <c r="F452" s="48" t="s">
        <v>1084</v>
      </c>
      <c r="G452" s="48" t="s">
        <v>1085</v>
      </c>
      <c r="H452" s="47" t="s">
        <v>1086</v>
      </c>
      <c r="I452" s="47" t="s">
        <v>1087</v>
      </c>
      <c r="J452" s="47" t="s">
        <v>26</v>
      </c>
    </row>
    <row r="453" ht="54" customHeight="1" spans="1:10">
      <c r="A453" s="48" t="s">
        <v>147</v>
      </c>
      <c r="B453" s="48" t="s">
        <v>1833</v>
      </c>
      <c r="C453" s="47" t="s">
        <v>1044</v>
      </c>
      <c r="D453" s="48" t="s">
        <v>1045</v>
      </c>
      <c r="E453" s="48" t="s">
        <v>1046</v>
      </c>
      <c r="F453" s="48" t="s">
        <v>1047</v>
      </c>
      <c r="G453" s="48" t="s">
        <v>1048</v>
      </c>
      <c r="H453" s="47" t="s">
        <v>1049</v>
      </c>
      <c r="I453" s="47" t="s">
        <v>1050</v>
      </c>
      <c r="J453" s="47" t="s">
        <v>26</v>
      </c>
    </row>
    <row r="454" ht="54" customHeight="1" spans="1:10">
      <c r="A454" s="48" t="s">
        <v>147</v>
      </c>
      <c r="B454" s="48" t="s">
        <v>1834</v>
      </c>
      <c r="C454" s="47" t="s">
        <v>1356</v>
      </c>
      <c r="D454" s="48" t="s">
        <v>1082</v>
      </c>
      <c r="E454" s="48" t="s">
        <v>1083</v>
      </c>
      <c r="F454" s="48" t="s">
        <v>1357</v>
      </c>
      <c r="G454" s="48" t="s">
        <v>1358</v>
      </c>
      <c r="H454" s="47" t="s">
        <v>1359</v>
      </c>
      <c r="I454" s="47" t="s">
        <v>1360</v>
      </c>
      <c r="J454" s="47" t="s">
        <v>26</v>
      </c>
    </row>
    <row r="455" ht="54" customHeight="1" spans="1:10">
      <c r="A455" s="48" t="s">
        <v>147</v>
      </c>
      <c r="B455" s="48" t="s">
        <v>1835</v>
      </c>
      <c r="C455" s="47" t="s">
        <v>1205</v>
      </c>
      <c r="D455" s="48" t="s">
        <v>978</v>
      </c>
      <c r="E455" s="48" t="s">
        <v>979</v>
      </c>
      <c r="F455" s="48" t="s">
        <v>1206</v>
      </c>
      <c r="G455" s="48" t="s">
        <v>1207</v>
      </c>
      <c r="H455" s="47" t="s">
        <v>1208</v>
      </c>
      <c r="I455" s="47" t="s">
        <v>1209</v>
      </c>
      <c r="J455" s="47" t="s">
        <v>26</v>
      </c>
    </row>
    <row r="456" ht="54" customHeight="1" spans="1:10">
      <c r="A456" s="48" t="s">
        <v>149</v>
      </c>
      <c r="B456" s="48" t="s">
        <v>1836</v>
      </c>
      <c r="C456" s="47" t="s">
        <v>1008</v>
      </c>
      <c r="D456" s="48" t="s">
        <v>1009</v>
      </c>
      <c r="E456" s="48" t="s">
        <v>1010</v>
      </c>
      <c r="F456" s="48" t="s">
        <v>1011</v>
      </c>
      <c r="G456" s="48" t="s">
        <v>1012</v>
      </c>
      <c r="H456" s="47" t="s">
        <v>1013</v>
      </c>
      <c r="I456" s="47" t="s">
        <v>1014</v>
      </c>
      <c r="J456" s="47" t="s">
        <v>66</v>
      </c>
    </row>
    <row r="457" ht="54" customHeight="1" spans="1:10">
      <c r="A457" s="48" t="s">
        <v>149</v>
      </c>
      <c r="B457" s="48" t="s">
        <v>1837</v>
      </c>
      <c r="C457" s="47" t="s">
        <v>1036</v>
      </c>
      <c r="D457" s="48" t="s">
        <v>1037</v>
      </c>
      <c r="E457" s="48" t="s">
        <v>1038</v>
      </c>
      <c r="F457" s="48" t="s">
        <v>1039</v>
      </c>
      <c r="G457" s="48" t="s">
        <v>1040</v>
      </c>
      <c r="H457" s="47" t="s">
        <v>1041</v>
      </c>
      <c r="I457" s="47" t="s">
        <v>1042</v>
      </c>
      <c r="J457" s="47" t="s">
        <v>66</v>
      </c>
    </row>
    <row r="458" ht="54" customHeight="1" spans="1:10">
      <c r="A458" s="48" t="s">
        <v>149</v>
      </c>
      <c r="B458" s="48" t="s">
        <v>1838</v>
      </c>
      <c r="C458" s="47" t="s">
        <v>1066</v>
      </c>
      <c r="D458" s="48" t="s">
        <v>935</v>
      </c>
      <c r="E458" s="48" t="s">
        <v>936</v>
      </c>
      <c r="F458" s="48" t="s">
        <v>1067</v>
      </c>
      <c r="G458" s="48" t="s">
        <v>1068</v>
      </c>
      <c r="H458" s="47" t="s">
        <v>1069</v>
      </c>
      <c r="I458" s="47" t="s">
        <v>940</v>
      </c>
      <c r="J458" s="47" t="s">
        <v>66</v>
      </c>
    </row>
    <row r="459" ht="54" customHeight="1" spans="1:10">
      <c r="A459" s="48" t="s">
        <v>149</v>
      </c>
      <c r="B459" s="48" t="s">
        <v>1839</v>
      </c>
      <c r="C459" s="47" t="s">
        <v>1388</v>
      </c>
      <c r="D459" s="48" t="s">
        <v>1037</v>
      </c>
      <c r="E459" s="48" t="s">
        <v>1038</v>
      </c>
      <c r="F459" s="48" t="s">
        <v>1389</v>
      </c>
      <c r="G459" s="48" t="s">
        <v>1390</v>
      </c>
      <c r="H459" s="47" t="s">
        <v>1391</v>
      </c>
      <c r="I459" s="47" t="s">
        <v>1392</v>
      </c>
      <c r="J459" s="47" t="s">
        <v>66</v>
      </c>
    </row>
    <row r="460" ht="54" customHeight="1" spans="1:10">
      <c r="A460" s="48" t="s">
        <v>149</v>
      </c>
      <c r="B460" s="48" t="s">
        <v>1840</v>
      </c>
      <c r="C460" s="47" t="s">
        <v>1137</v>
      </c>
      <c r="D460" s="48" t="s">
        <v>1138</v>
      </c>
      <c r="E460" s="48" t="s">
        <v>1139</v>
      </c>
      <c r="F460" s="48" t="s">
        <v>1140</v>
      </c>
      <c r="G460" s="48" t="s">
        <v>1141</v>
      </c>
      <c r="H460" s="47" t="s">
        <v>1142</v>
      </c>
      <c r="I460" s="47" t="s">
        <v>940</v>
      </c>
      <c r="J460" s="47" t="s">
        <v>66</v>
      </c>
    </row>
    <row r="461" ht="54" customHeight="1" spans="1:10">
      <c r="A461" s="48" t="s">
        <v>149</v>
      </c>
      <c r="B461" s="48" t="s">
        <v>1841</v>
      </c>
      <c r="C461" s="47" t="s">
        <v>971</v>
      </c>
      <c r="D461" s="48" t="s">
        <v>965</v>
      </c>
      <c r="E461" s="48" t="s">
        <v>966</v>
      </c>
      <c r="F461" s="48" t="s">
        <v>972</v>
      </c>
      <c r="G461" s="48" t="s">
        <v>973</v>
      </c>
      <c r="H461" s="47" t="s">
        <v>974</v>
      </c>
      <c r="I461" s="47" t="s">
        <v>975</v>
      </c>
      <c r="J461" s="47" t="s">
        <v>66</v>
      </c>
    </row>
    <row r="462" ht="54" customHeight="1" spans="1:10">
      <c r="A462" s="48" t="s">
        <v>149</v>
      </c>
      <c r="B462" s="48" t="s">
        <v>1842</v>
      </c>
      <c r="C462" s="47" t="s">
        <v>1313</v>
      </c>
      <c r="D462" s="48" t="s">
        <v>1037</v>
      </c>
      <c r="E462" s="48" t="s">
        <v>1038</v>
      </c>
      <c r="F462" s="48" t="s">
        <v>1314</v>
      </c>
      <c r="G462" s="48" t="s">
        <v>1315</v>
      </c>
      <c r="H462" s="47" t="s">
        <v>1316</v>
      </c>
      <c r="I462" s="47" t="s">
        <v>1317</v>
      </c>
      <c r="J462" s="47" t="s">
        <v>66</v>
      </c>
    </row>
    <row r="463" ht="54" customHeight="1" spans="1:10">
      <c r="A463" s="48" t="s">
        <v>149</v>
      </c>
      <c r="B463" s="48" t="s">
        <v>1843</v>
      </c>
      <c r="C463" s="47" t="s">
        <v>1325</v>
      </c>
      <c r="D463" s="48" t="s">
        <v>1278</v>
      </c>
      <c r="E463" s="48" t="s">
        <v>1279</v>
      </c>
      <c r="F463" s="48" t="s">
        <v>1326</v>
      </c>
      <c r="G463" s="48" t="s">
        <v>1327</v>
      </c>
      <c r="H463" s="47" t="s">
        <v>1328</v>
      </c>
      <c r="I463" s="47" t="s">
        <v>1329</v>
      </c>
      <c r="J463" s="47" t="s">
        <v>66</v>
      </c>
    </row>
    <row r="464" ht="54" customHeight="1" spans="1:10">
      <c r="A464" s="48" t="s">
        <v>151</v>
      </c>
      <c r="B464" s="48" t="s">
        <v>1844</v>
      </c>
      <c r="C464" s="47" t="s">
        <v>1089</v>
      </c>
      <c r="D464" s="48" t="s">
        <v>957</v>
      </c>
      <c r="E464" s="48" t="s">
        <v>958</v>
      </c>
      <c r="F464" s="48" t="s">
        <v>1090</v>
      </c>
      <c r="G464" s="48" t="s">
        <v>1091</v>
      </c>
      <c r="H464" s="47" t="s">
        <v>1092</v>
      </c>
      <c r="I464" s="47" t="s">
        <v>1093</v>
      </c>
      <c r="J464" s="47" t="s">
        <v>26</v>
      </c>
    </row>
    <row r="465" ht="54" customHeight="1" spans="1:10">
      <c r="A465" s="48" t="s">
        <v>151</v>
      </c>
      <c r="B465" s="48" t="s">
        <v>1845</v>
      </c>
      <c r="C465" s="47" t="s">
        <v>1105</v>
      </c>
      <c r="D465" s="48" t="s">
        <v>1009</v>
      </c>
      <c r="E465" s="48" t="s">
        <v>1010</v>
      </c>
      <c r="F465" s="48" t="s">
        <v>1106</v>
      </c>
      <c r="G465" s="48" t="s">
        <v>1107</v>
      </c>
      <c r="H465" s="47" t="s">
        <v>1108</v>
      </c>
      <c r="I465" s="47" t="s">
        <v>1109</v>
      </c>
      <c r="J465" s="47" t="s">
        <v>26</v>
      </c>
    </row>
    <row r="466" ht="54" customHeight="1" spans="1:10">
      <c r="A466" s="48" t="s">
        <v>151</v>
      </c>
      <c r="B466" s="48" t="s">
        <v>1846</v>
      </c>
      <c r="C466" s="47" t="s">
        <v>1767</v>
      </c>
      <c r="D466" s="48" t="s">
        <v>957</v>
      </c>
      <c r="E466" s="48" t="s">
        <v>958</v>
      </c>
      <c r="F466" s="48" t="s">
        <v>1768</v>
      </c>
      <c r="G466" s="48" t="s">
        <v>1769</v>
      </c>
      <c r="H466" s="47" t="s">
        <v>1770</v>
      </c>
      <c r="I466" s="47" t="s">
        <v>1771</v>
      </c>
      <c r="J466" s="47" t="s">
        <v>26</v>
      </c>
    </row>
    <row r="467" ht="54" customHeight="1" spans="1:10">
      <c r="A467" s="48" t="s">
        <v>151</v>
      </c>
      <c r="B467" s="48" t="s">
        <v>1847</v>
      </c>
      <c r="C467" s="47" t="s">
        <v>1036</v>
      </c>
      <c r="D467" s="48" t="s">
        <v>1037</v>
      </c>
      <c r="E467" s="48" t="s">
        <v>1038</v>
      </c>
      <c r="F467" s="48" t="s">
        <v>1039</v>
      </c>
      <c r="G467" s="48" t="s">
        <v>1040</v>
      </c>
      <c r="H467" s="47" t="s">
        <v>1041</v>
      </c>
      <c r="I467" s="47" t="s">
        <v>1042</v>
      </c>
      <c r="J467" s="47" t="s">
        <v>26</v>
      </c>
    </row>
    <row r="468" ht="54" customHeight="1" spans="1:10">
      <c r="A468" s="48" t="s">
        <v>151</v>
      </c>
      <c r="B468" s="48" t="s">
        <v>1848</v>
      </c>
      <c r="C468" s="47" t="s">
        <v>1277</v>
      </c>
      <c r="D468" s="48" t="s">
        <v>1278</v>
      </c>
      <c r="E468" s="48" t="s">
        <v>1279</v>
      </c>
      <c r="F468" s="48" t="s">
        <v>1280</v>
      </c>
      <c r="G468" s="48" t="s">
        <v>1281</v>
      </c>
      <c r="H468" s="47" t="s">
        <v>1282</v>
      </c>
      <c r="I468" s="47" t="s">
        <v>1283</v>
      </c>
      <c r="J468" s="47" t="s">
        <v>26</v>
      </c>
    </row>
    <row r="469" ht="54" customHeight="1" spans="1:10">
      <c r="A469" s="48" t="s">
        <v>151</v>
      </c>
      <c r="B469" s="48" t="s">
        <v>1849</v>
      </c>
      <c r="C469" s="47" t="s">
        <v>1111</v>
      </c>
      <c r="D469" s="48" t="s">
        <v>965</v>
      </c>
      <c r="E469" s="48" t="s">
        <v>966</v>
      </c>
      <c r="F469" s="48" t="s">
        <v>1112</v>
      </c>
      <c r="G469" s="48" t="s">
        <v>1113</v>
      </c>
      <c r="H469" s="47" t="s">
        <v>1114</v>
      </c>
      <c r="I469" s="47" t="s">
        <v>1115</v>
      </c>
      <c r="J469" s="47" t="s">
        <v>26</v>
      </c>
    </row>
    <row r="470" ht="54" customHeight="1" spans="1:10">
      <c r="A470" s="48" t="s">
        <v>151</v>
      </c>
      <c r="B470" s="48" t="s">
        <v>1850</v>
      </c>
      <c r="C470" s="47" t="s">
        <v>1137</v>
      </c>
      <c r="D470" s="48" t="s">
        <v>1138</v>
      </c>
      <c r="E470" s="48" t="s">
        <v>1139</v>
      </c>
      <c r="F470" s="48" t="s">
        <v>1140</v>
      </c>
      <c r="G470" s="48" t="s">
        <v>1141</v>
      </c>
      <c r="H470" s="47" t="s">
        <v>1142</v>
      </c>
      <c r="I470" s="47" t="s">
        <v>940</v>
      </c>
      <c r="J470" s="47" t="s">
        <v>26</v>
      </c>
    </row>
    <row r="471" ht="54" customHeight="1" spans="1:10">
      <c r="A471" s="48" t="s">
        <v>151</v>
      </c>
      <c r="B471" s="48" t="s">
        <v>1851</v>
      </c>
      <c r="C471" s="47" t="s">
        <v>971</v>
      </c>
      <c r="D471" s="48" t="s">
        <v>965</v>
      </c>
      <c r="E471" s="48" t="s">
        <v>966</v>
      </c>
      <c r="F471" s="48" t="s">
        <v>972</v>
      </c>
      <c r="G471" s="48" t="s">
        <v>973</v>
      </c>
      <c r="H471" s="47" t="s">
        <v>974</v>
      </c>
      <c r="I471" s="47" t="s">
        <v>975</v>
      </c>
      <c r="J471" s="47" t="s">
        <v>26</v>
      </c>
    </row>
    <row r="472" ht="54" customHeight="1" spans="1:10">
      <c r="A472" s="48" t="s">
        <v>151</v>
      </c>
      <c r="B472" s="48" t="s">
        <v>1852</v>
      </c>
      <c r="C472" s="47" t="s">
        <v>1145</v>
      </c>
      <c r="D472" s="48" t="s">
        <v>1146</v>
      </c>
      <c r="E472" s="48" t="s">
        <v>1147</v>
      </c>
      <c r="F472" s="48" t="s">
        <v>1148</v>
      </c>
      <c r="G472" s="48" t="s">
        <v>1149</v>
      </c>
      <c r="H472" s="47" t="s">
        <v>1150</v>
      </c>
      <c r="I472" s="47" t="s">
        <v>1151</v>
      </c>
      <c r="J472" s="47" t="s">
        <v>26</v>
      </c>
    </row>
    <row r="473" ht="54" customHeight="1" spans="1:10">
      <c r="A473" s="48" t="s">
        <v>151</v>
      </c>
      <c r="B473" s="48" t="s">
        <v>1853</v>
      </c>
      <c r="C473" s="47" t="s">
        <v>1170</v>
      </c>
      <c r="D473" s="48" t="s">
        <v>1171</v>
      </c>
      <c r="E473" s="48" t="s">
        <v>1172</v>
      </c>
      <c r="F473" s="48" t="s">
        <v>1173</v>
      </c>
      <c r="G473" s="48" t="s">
        <v>1174</v>
      </c>
      <c r="H473" s="47" t="s">
        <v>1175</v>
      </c>
      <c r="I473" s="47" t="s">
        <v>1176</v>
      </c>
      <c r="J473" s="47" t="s">
        <v>26</v>
      </c>
    </row>
    <row r="474" ht="54" customHeight="1" spans="1:10">
      <c r="A474" s="48" t="s">
        <v>153</v>
      </c>
      <c r="B474" s="48" t="s">
        <v>1854</v>
      </c>
      <c r="C474" s="47" t="s">
        <v>985</v>
      </c>
      <c r="D474" s="48" t="s">
        <v>986</v>
      </c>
      <c r="E474" s="48" t="s">
        <v>987</v>
      </c>
      <c r="F474" s="48" t="s">
        <v>988</v>
      </c>
      <c r="G474" s="48" t="s">
        <v>987</v>
      </c>
      <c r="H474" s="47" t="s">
        <v>989</v>
      </c>
      <c r="I474" s="47" t="s">
        <v>990</v>
      </c>
      <c r="J474" s="47" t="s">
        <v>29</v>
      </c>
    </row>
    <row r="475" ht="54" customHeight="1" spans="1:10">
      <c r="A475" s="48" t="s">
        <v>153</v>
      </c>
      <c r="B475" s="48" t="s">
        <v>1855</v>
      </c>
      <c r="C475" s="47" t="s">
        <v>1534</v>
      </c>
      <c r="D475" s="48" t="s">
        <v>935</v>
      </c>
      <c r="E475" s="48" t="s">
        <v>936</v>
      </c>
      <c r="F475" s="48" t="s">
        <v>1535</v>
      </c>
      <c r="G475" s="48" t="s">
        <v>1536</v>
      </c>
      <c r="H475" s="47" t="s">
        <v>1537</v>
      </c>
      <c r="I475" s="47" t="s">
        <v>940</v>
      </c>
      <c r="J475" s="47" t="s">
        <v>29</v>
      </c>
    </row>
    <row r="476" ht="54" customHeight="1" spans="1:10">
      <c r="A476" s="48" t="s">
        <v>153</v>
      </c>
      <c r="B476" s="48" t="s">
        <v>1856</v>
      </c>
      <c r="C476" s="47" t="s">
        <v>934</v>
      </c>
      <c r="D476" s="48" t="s">
        <v>935</v>
      </c>
      <c r="E476" s="48" t="s">
        <v>936</v>
      </c>
      <c r="F476" s="48" t="s">
        <v>937</v>
      </c>
      <c r="G476" s="48" t="s">
        <v>938</v>
      </c>
      <c r="H476" s="47" t="s">
        <v>939</v>
      </c>
      <c r="I476" s="47" t="s">
        <v>940</v>
      </c>
      <c r="J476" s="47" t="s">
        <v>29</v>
      </c>
    </row>
    <row r="477" ht="54" customHeight="1" spans="1:10">
      <c r="A477" s="48" t="s">
        <v>153</v>
      </c>
      <c r="B477" s="48" t="s">
        <v>1857</v>
      </c>
      <c r="C477" s="47" t="s">
        <v>1072</v>
      </c>
      <c r="D477" s="48" t="s">
        <v>1073</v>
      </c>
      <c r="E477" s="48" t="s">
        <v>1074</v>
      </c>
      <c r="F477" s="48" t="s">
        <v>1075</v>
      </c>
      <c r="G477" s="48" t="s">
        <v>1076</v>
      </c>
      <c r="H477" s="47" t="s">
        <v>1077</v>
      </c>
      <c r="I477" s="47" t="s">
        <v>1078</v>
      </c>
      <c r="J477" s="47" t="s">
        <v>29</v>
      </c>
    </row>
    <row r="478" ht="54" customHeight="1" spans="1:10">
      <c r="A478" s="48" t="s">
        <v>153</v>
      </c>
      <c r="B478" s="48" t="s">
        <v>1858</v>
      </c>
      <c r="C478" s="47" t="s">
        <v>1016</v>
      </c>
      <c r="D478" s="48" t="s">
        <v>935</v>
      </c>
      <c r="E478" s="48" t="s">
        <v>936</v>
      </c>
      <c r="F478" s="48" t="s">
        <v>1017</v>
      </c>
      <c r="G478" s="48" t="s">
        <v>1018</v>
      </c>
      <c r="H478" s="47" t="s">
        <v>1019</v>
      </c>
      <c r="I478" s="47" t="s">
        <v>1020</v>
      </c>
      <c r="J478" s="47" t="s">
        <v>29</v>
      </c>
    </row>
    <row r="479" ht="54" customHeight="1" spans="1:10">
      <c r="A479" s="48" t="s">
        <v>153</v>
      </c>
      <c r="B479" s="48" t="s">
        <v>1859</v>
      </c>
      <c r="C479" s="47" t="s">
        <v>1480</v>
      </c>
      <c r="D479" s="48" t="s">
        <v>1001</v>
      </c>
      <c r="E479" s="48" t="s">
        <v>1002</v>
      </c>
      <c r="F479" s="48" t="s">
        <v>1481</v>
      </c>
      <c r="G479" s="48" t="s">
        <v>1482</v>
      </c>
      <c r="H479" s="47" t="s">
        <v>1483</v>
      </c>
      <c r="I479" s="47" t="s">
        <v>1484</v>
      </c>
      <c r="J479" s="47" t="s">
        <v>29</v>
      </c>
    </row>
    <row r="480" ht="54" customHeight="1" spans="1:10">
      <c r="A480" s="48" t="s">
        <v>153</v>
      </c>
      <c r="B480" s="48" t="s">
        <v>1860</v>
      </c>
      <c r="C480" s="47" t="s">
        <v>1022</v>
      </c>
      <c r="D480" s="48" t="s">
        <v>957</v>
      </c>
      <c r="E480" s="48" t="s">
        <v>958</v>
      </c>
      <c r="F480" s="48" t="s">
        <v>1023</v>
      </c>
      <c r="G480" s="48" t="s">
        <v>1024</v>
      </c>
      <c r="H480" s="47" t="s">
        <v>1025</v>
      </c>
      <c r="I480" s="47" t="s">
        <v>1026</v>
      </c>
      <c r="J480" s="47" t="s">
        <v>29</v>
      </c>
    </row>
    <row r="481" ht="54" customHeight="1" spans="1:10">
      <c r="A481" s="48" t="s">
        <v>153</v>
      </c>
      <c r="B481" s="48" t="s">
        <v>1861</v>
      </c>
      <c r="C481" s="47" t="s">
        <v>1337</v>
      </c>
      <c r="D481" s="48" t="s">
        <v>1009</v>
      </c>
      <c r="E481" s="48" t="s">
        <v>1010</v>
      </c>
      <c r="F481" s="48" t="s">
        <v>1338</v>
      </c>
      <c r="G481" s="48" t="s">
        <v>1339</v>
      </c>
      <c r="H481" s="47" t="s">
        <v>1340</v>
      </c>
      <c r="I481" s="47" t="s">
        <v>1341</v>
      </c>
      <c r="J481" s="47" t="s">
        <v>29</v>
      </c>
    </row>
    <row r="482" ht="54" customHeight="1" spans="1:10">
      <c r="A482" s="48" t="s">
        <v>153</v>
      </c>
      <c r="B482" s="48" t="s">
        <v>1862</v>
      </c>
      <c r="C482" s="47" t="s">
        <v>950</v>
      </c>
      <c r="D482" s="48" t="s">
        <v>935</v>
      </c>
      <c r="E482" s="48" t="s">
        <v>936</v>
      </c>
      <c r="F482" s="48" t="s">
        <v>951</v>
      </c>
      <c r="G482" s="48" t="s">
        <v>952</v>
      </c>
      <c r="H482" s="47" t="s">
        <v>953</v>
      </c>
      <c r="I482" s="47" t="s">
        <v>954</v>
      </c>
      <c r="J482" s="47" t="s">
        <v>29</v>
      </c>
    </row>
    <row r="483" ht="54" customHeight="1" spans="1:10">
      <c r="A483" s="48" t="s">
        <v>153</v>
      </c>
      <c r="B483" s="48" t="s">
        <v>1863</v>
      </c>
      <c r="C483" s="47" t="s">
        <v>1268</v>
      </c>
      <c r="D483" s="48" t="s">
        <v>957</v>
      </c>
      <c r="E483" s="48" t="s">
        <v>958</v>
      </c>
      <c r="F483" s="48" t="s">
        <v>1269</v>
      </c>
      <c r="G483" s="48" t="s">
        <v>1270</v>
      </c>
      <c r="H483" s="47" t="s">
        <v>1271</v>
      </c>
      <c r="I483" s="47" t="s">
        <v>1272</v>
      </c>
      <c r="J483" s="47" t="s">
        <v>29</v>
      </c>
    </row>
    <row r="484" ht="54" customHeight="1" spans="1:10">
      <c r="A484" s="48" t="s">
        <v>153</v>
      </c>
      <c r="B484" s="48" t="s">
        <v>1864</v>
      </c>
      <c r="C484" s="47" t="s">
        <v>1767</v>
      </c>
      <c r="D484" s="48" t="s">
        <v>957</v>
      </c>
      <c r="E484" s="48" t="s">
        <v>958</v>
      </c>
      <c r="F484" s="48" t="s">
        <v>1768</v>
      </c>
      <c r="G484" s="48" t="s">
        <v>1769</v>
      </c>
      <c r="H484" s="47" t="s">
        <v>1770</v>
      </c>
      <c r="I484" s="47" t="s">
        <v>1771</v>
      </c>
      <c r="J484" s="47" t="s">
        <v>29</v>
      </c>
    </row>
    <row r="485" ht="54" customHeight="1" spans="1:10">
      <c r="A485" s="48" t="s">
        <v>153</v>
      </c>
      <c r="B485" s="48" t="s">
        <v>1865</v>
      </c>
      <c r="C485" s="47" t="s">
        <v>1052</v>
      </c>
      <c r="D485" s="48" t="s">
        <v>1009</v>
      </c>
      <c r="E485" s="48" t="s">
        <v>1010</v>
      </c>
      <c r="F485" s="48" t="s">
        <v>1053</v>
      </c>
      <c r="G485" s="48" t="s">
        <v>1054</v>
      </c>
      <c r="H485" s="47" t="s">
        <v>1055</v>
      </c>
      <c r="I485" s="47" t="s">
        <v>1056</v>
      </c>
      <c r="J485" s="47" t="s">
        <v>29</v>
      </c>
    </row>
    <row r="486" ht="54" customHeight="1" spans="1:10">
      <c r="A486" s="48" t="s">
        <v>155</v>
      </c>
      <c r="B486" s="48" t="s">
        <v>1866</v>
      </c>
      <c r="C486" s="47" t="s">
        <v>1058</v>
      </c>
      <c r="D486" s="48" t="s">
        <v>1059</v>
      </c>
      <c r="E486" s="48" t="s">
        <v>1060</v>
      </c>
      <c r="F486" s="48" t="s">
        <v>1061</v>
      </c>
      <c r="G486" s="48" t="s">
        <v>1062</v>
      </c>
      <c r="H486" s="47" t="s">
        <v>1063</v>
      </c>
      <c r="I486" s="47" t="s">
        <v>1064</v>
      </c>
      <c r="J486" s="47" t="s">
        <v>26</v>
      </c>
    </row>
    <row r="487" ht="54" customHeight="1" spans="1:10">
      <c r="A487" s="48" t="s">
        <v>155</v>
      </c>
      <c r="B487" s="48" t="s">
        <v>1867</v>
      </c>
      <c r="C487" s="47" t="s">
        <v>1216</v>
      </c>
      <c r="D487" s="48" t="s">
        <v>993</v>
      </c>
      <c r="E487" s="48" t="s">
        <v>994</v>
      </c>
      <c r="F487" s="48" t="s">
        <v>1217</v>
      </c>
      <c r="G487" s="48" t="s">
        <v>1218</v>
      </c>
      <c r="H487" s="47" t="s">
        <v>1219</v>
      </c>
      <c r="I487" s="47" t="s">
        <v>1220</v>
      </c>
      <c r="J487" s="47" t="s">
        <v>26</v>
      </c>
    </row>
    <row r="488" ht="54" customHeight="1" spans="1:10">
      <c r="A488" s="48" t="s">
        <v>155</v>
      </c>
      <c r="B488" s="48" t="s">
        <v>1868</v>
      </c>
      <c r="C488" s="47" t="s">
        <v>1145</v>
      </c>
      <c r="D488" s="48" t="s">
        <v>1146</v>
      </c>
      <c r="E488" s="48" t="s">
        <v>1147</v>
      </c>
      <c r="F488" s="48" t="s">
        <v>1148</v>
      </c>
      <c r="G488" s="48" t="s">
        <v>1149</v>
      </c>
      <c r="H488" s="47" t="s">
        <v>1150</v>
      </c>
      <c r="I488" s="47" t="s">
        <v>1151</v>
      </c>
      <c r="J488" s="47" t="s">
        <v>26</v>
      </c>
    </row>
    <row r="489" ht="54" customHeight="1" spans="1:10">
      <c r="A489" s="48" t="s">
        <v>155</v>
      </c>
      <c r="B489" s="48" t="s">
        <v>1869</v>
      </c>
      <c r="C489" s="47" t="s">
        <v>1196</v>
      </c>
      <c r="D489" s="48" t="s">
        <v>1118</v>
      </c>
      <c r="E489" s="48" t="s">
        <v>1119</v>
      </c>
      <c r="F489" s="48" t="s">
        <v>1197</v>
      </c>
      <c r="G489" s="48" t="s">
        <v>1198</v>
      </c>
      <c r="H489" s="47" t="s">
        <v>1199</v>
      </c>
      <c r="I489" s="47" t="s">
        <v>1200</v>
      </c>
      <c r="J489" s="47" t="s">
        <v>26</v>
      </c>
    </row>
    <row r="490" ht="54" customHeight="1" spans="1:10">
      <c r="A490" s="48" t="s">
        <v>157</v>
      </c>
      <c r="B490" s="48" t="s">
        <v>1870</v>
      </c>
      <c r="C490" s="47" t="s">
        <v>934</v>
      </c>
      <c r="D490" s="48" t="s">
        <v>935</v>
      </c>
      <c r="E490" s="48" t="s">
        <v>936</v>
      </c>
      <c r="F490" s="48" t="s">
        <v>937</v>
      </c>
      <c r="G490" s="48" t="s">
        <v>938</v>
      </c>
      <c r="H490" s="47" t="s">
        <v>939</v>
      </c>
      <c r="I490" s="47" t="s">
        <v>940</v>
      </c>
      <c r="J490" s="47" t="s">
        <v>26</v>
      </c>
    </row>
    <row r="491" ht="54" customHeight="1" spans="1:10">
      <c r="A491" s="48" t="s">
        <v>157</v>
      </c>
      <c r="B491" s="48" t="s">
        <v>1871</v>
      </c>
      <c r="C491" s="47" t="s">
        <v>1022</v>
      </c>
      <c r="D491" s="48" t="s">
        <v>957</v>
      </c>
      <c r="E491" s="48" t="s">
        <v>958</v>
      </c>
      <c r="F491" s="48" t="s">
        <v>1023</v>
      </c>
      <c r="G491" s="48" t="s">
        <v>1024</v>
      </c>
      <c r="H491" s="47" t="s">
        <v>1025</v>
      </c>
      <c r="I491" s="47" t="s">
        <v>1026</v>
      </c>
      <c r="J491" s="47" t="s">
        <v>26</v>
      </c>
    </row>
    <row r="492" ht="54" customHeight="1" spans="1:10">
      <c r="A492" s="48" t="s">
        <v>157</v>
      </c>
      <c r="B492" s="48" t="s">
        <v>1872</v>
      </c>
      <c r="C492" s="47" t="s">
        <v>950</v>
      </c>
      <c r="D492" s="48" t="s">
        <v>935</v>
      </c>
      <c r="E492" s="48" t="s">
        <v>936</v>
      </c>
      <c r="F492" s="48" t="s">
        <v>951</v>
      </c>
      <c r="G492" s="48" t="s">
        <v>952</v>
      </c>
      <c r="H492" s="47" t="s">
        <v>953</v>
      </c>
      <c r="I492" s="47" t="s">
        <v>954</v>
      </c>
      <c r="J492" s="47" t="s">
        <v>26</v>
      </c>
    </row>
    <row r="493" ht="54" customHeight="1" spans="1:10">
      <c r="A493" s="48" t="s">
        <v>157</v>
      </c>
      <c r="B493" s="48" t="s">
        <v>1873</v>
      </c>
      <c r="C493" s="47" t="s">
        <v>1036</v>
      </c>
      <c r="D493" s="48" t="s">
        <v>1037</v>
      </c>
      <c r="E493" s="48" t="s">
        <v>1038</v>
      </c>
      <c r="F493" s="48" t="s">
        <v>1039</v>
      </c>
      <c r="G493" s="48" t="s">
        <v>1040</v>
      </c>
      <c r="H493" s="47" t="s">
        <v>1041</v>
      </c>
      <c r="I493" s="47" t="s">
        <v>1042</v>
      </c>
      <c r="J493" s="47" t="s">
        <v>26</v>
      </c>
    </row>
    <row r="494" ht="54" customHeight="1" spans="1:10">
      <c r="A494" s="48" t="s">
        <v>157</v>
      </c>
      <c r="B494" s="48" t="s">
        <v>1874</v>
      </c>
      <c r="C494" s="47" t="s">
        <v>1375</v>
      </c>
      <c r="D494" s="48" t="s">
        <v>1098</v>
      </c>
      <c r="E494" s="48" t="s">
        <v>1099</v>
      </c>
      <c r="F494" s="48" t="s">
        <v>1376</v>
      </c>
      <c r="G494" s="48" t="s">
        <v>1377</v>
      </c>
      <c r="H494" s="47" t="s">
        <v>1378</v>
      </c>
      <c r="I494" s="47" t="s">
        <v>1379</v>
      </c>
      <c r="J494" s="47" t="s">
        <v>26</v>
      </c>
    </row>
    <row r="495" ht="54" customHeight="1" spans="1:10">
      <c r="A495" s="48" t="s">
        <v>157</v>
      </c>
      <c r="B495" s="48" t="s">
        <v>1875</v>
      </c>
      <c r="C495" s="47" t="s">
        <v>1066</v>
      </c>
      <c r="D495" s="48" t="s">
        <v>935</v>
      </c>
      <c r="E495" s="48" t="s">
        <v>936</v>
      </c>
      <c r="F495" s="48" t="s">
        <v>1067</v>
      </c>
      <c r="G495" s="48" t="s">
        <v>1068</v>
      </c>
      <c r="H495" s="47" t="s">
        <v>1069</v>
      </c>
      <c r="I495" s="47" t="s">
        <v>940</v>
      </c>
      <c r="J495" s="47" t="s">
        <v>26</v>
      </c>
    </row>
    <row r="496" ht="54" customHeight="1" spans="1:10">
      <c r="A496" s="48" t="s">
        <v>157</v>
      </c>
      <c r="B496" s="48" t="s">
        <v>1876</v>
      </c>
      <c r="C496" s="47" t="s">
        <v>1117</v>
      </c>
      <c r="D496" s="48" t="s">
        <v>1118</v>
      </c>
      <c r="E496" s="48" t="s">
        <v>1119</v>
      </c>
      <c r="F496" s="48" t="s">
        <v>1120</v>
      </c>
      <c r="G496" s="48" t="s">
        <v>1121</v>
      </c>
      <c r="H496" s="47" t="s">
        <v>1122</v>
      </c>
      <c r="I496" s="47" t="s">
        <v>1123</v>
      </c>
      <c r="J496" s="47" t="s">
        <v>26</v>
      </c>
    </row>
    <row r="497" ht="54" customHeight="1" spans="1:10">
      <c r="A497" s="48" t="s">
        <v>157</v>
      </c>
      <c r="B497" s="48" t="s">
        <v>1877</v>
      </c>
      <c r="C497" s="47" t="s">
        <v>1145</v>
      </c>
      <c r="D497" s="48" t="s">
        <v>1146</v>
      </c>
      <c r="E497" s="48" t="s">
        <v>1147</v>
      </c>
      <c r="F497" s="48" t="s">
        <v>1148</v>
      </c>
      <c r="G497" s="48" t="s">
        <v>1149</v>
      </c>
      <c r="H497" s="47" t="s">
        <v>1150</v>
      </c>
      <c r="I497" s="47" t="s">
        <v>1151</v>
      </c>
      <c r="J497" s="47" t="s">
        <v>26</v>
      </c>
    </row>
    <row r="498" ht="54" customHeight="1" spans="1:10">
      <c r="A498" s="48" t="s">
        <v>159</v>
      </c>
      <c r="B498" s="48" t="s">
        <v>1878</v>
      </c>
      <c r="C498" s="47" t="s">
        <v>934</v>
      </c>
      <c r="D498" s="48" t="s">
        <v>935</v>
      </c>
      <c r="E498" s="48" t="s">
        <v>936</v>
      </c>
      <c r="F498" s="48" t="s">
        <v>937</v>
      </c>
      <c r="G498" s="48" t="s">
        <v>938</v>
      </c>
      <c r="H498" s="47" t="s">
        <v>939</v>
      </c>
      <c r="I498" s="47" t="s">
        <v>940</v>
      </c>
      <c r="J498" s="47" t="s">
        <v>29</v>
      </c>
    </row>
    <row r="499" ht="54" customHeight="1" spans="1:10">
      <c r="A499" s="48" t="s">
        <v>159</v>
      </c>
      <c r="B499" s="48" t="s">
        <v>1879</v>
      </c>
      <c r="C499" s="47" t="s">
        <v>1072</v>
      </c>
      <c r="D499" s="48" t="s">
        <v>1073</v>
      </c>
      <c r="E499" s="48" t="s">
        <v>1074</v>
      </c>
      <c r="F499" s="48" t="s">
        <v>1075</v>
      </c>
      <c r="G499" s="48" t="s">
        <v>1076</v>
      </c>
      <c r="H499" s="47" t="s">
        <v>1077</v>
      </c>
      <c r="I499" s="47" t="s">
        <v>1078</v>
      </c>
      <c r="J499" s="47" t="s">
        <v>29</v>
      </c>
    </row>
    <row r="500" ht="54" customHeight="1" spans="1:10">
      <c r="A500" s="48" t="s">
        <v>159</v>
      </c>
      <c r="B500" s="48" t="s">
        <v>1880</v>
      </c>
      <c r="C500" s="47" t="s">
        <v>950</v>
      </c>
      <c r="D500" s="48" t="s">
        <v>935</v>
      </c>
      <c r="E500" s="48" t="s">
        <v>936</v>
      </c>
      <c r="F500" s="48" t="s">
        <v>951</v>
      </c>
      <c r="G500" s="48" t="s">
        <v>952</v>
      </c>
      <c r="H500" s="47" t="s">
        <v>953</v>
      </c>
      <c r="I500" s="47" t="s">
        <v>954</v>
      </c>
      <c r="J500" s="47" t="s">
        <v>29</v>
      </c>
    </row>
    <row r="501" ht="54" customHeight="1" spans="1:10">
      <c r="A501" s="48" t="s">
        <v>159</v>
      </c>
      <c r="B501" s="48" t="s">
        <v>1881</v>
      </c>
      <c r="C501" s="47" t="s">
        <v>1036</v>
      </c>
      <c r="D501" s="48" t="s">
        <v>1037</v>
      </c>
      <c r="E501" s="48" t="s">
        <v>1038</v>
      </c>
      <c r="F501" s="48" t="s">
        <v>1039</v>
      </c>
      <c r="G501" s="48" t="s">
        <v>1040</v>
      </c>
      <c r="H501" s="47" t="s">
        <v>1041</v>
      </c>
      <c r="I501" s="47" t="s">
        <v>1042</v>
      </c>
      <c r="J501" s="47" t="s">
        <v>29</v>
      </c>
    </row>
    <row r="502" ht="54" customHeight="1" spans="1:10">
      <c r="A502" s="48" t="s">
        <v>159</v>
      </c>
      <c r="B502" s="48" t="s">
        <v>1882</v>
      </c>
      <c r="C502" s="47" t="s">
        <v>1066</v>
      </c>
      <c r="D502" s="48" t="s">
        <v>935</v>
      </c>
      <c r="E502" s="48" t="s">
        <v>936</v>
      </c>
      <c r="F502" s="48" t="s">
        <v>1067</v>
      </c>
      <c r="G502" s="48" t="s">
        <v>1068</v>
      </c>
      <c r="H502" s="47" t="s">
        <v>1069</v>
      </c>
      <c r="I502" s="47" t="s">
        <v>940</v>
      </c>
      <c r="J502" s="47" t="s">
        <v>29</v>
      </c>
    </row>
    <row r="503" ht="54" customHeight="1" spans="1:10">
      <c r="A503" s="48" t="s">
        <v>159</v>
      </c>
      <c r="B503" s="48" t="s">
        <v>1883</v>
      </c>
      <c r="C503" s="47" t="s">
        <v>971</v>
      </c>
      <c r="D503" s="48" t="s">
        <v>965</v>
      </c>
      <c r="E503" s="48" t="s">
        <v>966</v>
      </c>
      <c r="F503" s="48" t="s">
        <v>972</v>
      </c>
      <c r="G503" s="48" t="s">
        <v>973</v>
      </c>
      <c r="H503" s="47" t="s">
        <v>974</v>
      </c>
      <c r="I503" s="47" t="s">
        <v>975</v>
      </c>
      <c r="J503" s="47" t="s">
        <v>29</v>
      </c>
    </row>
    <row r="504" ht="54" customHeight="1" spans="1:10">
      <c r="A504" s="48" t="s">
        <v>159</v>
      </c>
      <c r="B504" s="48" t="s">
        <v>1884</v>
      </c>
      <c r="C504" s="47" t="s">
        <v>1170</v>
      </c>
      <c r="D504" s="48" t="s">
        <v>1171</v>
      </c>
      <c r="E504" s="48" t="s">
        <v>1172</v>
      </c>
      <c r="F504" s="48" t="s">
        <v>1173</v>
      </c>
      <c r="G504" s="48" t="s">
        <v>1174</v>
      </c>
      <c r="H504" s="47" t="s">
        <v>1175</v>
      </c>
      <c r="I504" s="47" t="s">
        <v>1176</v>
      </c>
      <c r="J504" s="47" t="s">
        <v>29</v>
      </c>
    </row>
    <row r="505" ht="54" customHeight="1" spans="1:10">
      <c r="A505" s="48" t="s">
        <v>161</v>
      </c>
      <c r="B505" s="48" t="s">
        <v>1885</v>
      </c>
      <c r="C505" s="47" t="s">
        <v>934</v>
      </c>
      <c r="D505" s="48" t="s">
        <v>935</v>
      </c>
      <c r="E505" s="48" t="s">
        <v>936</v>
      </c>
      <c r="F505" s="48" t="s">
        <v>937</v>
      </c>
      <c r="G505" s="48" t="s">
        <v>938</v>
      </c>
      <c r="H505" s="47" t="s">
        <v>939</v>
      </c>
      <c r="I505" s="47" t="s">
        <v>940</v>
      </c>
      <c r="J505" s="47" t="s">
        <v>29</v>
      </c>
    </row>
    <row r="506" ht="54" customHeight="1" spans="1:10">
      <c r="A506" s="48" t="s">
        <v>161</v>
      </c>
      <c r="B506" s="48" t="s">
        <v>1886</v>
      </c>
      <c r="C506" s="47" t="s">
        <v>1022</v>
      </c>
      <c r="D506" s="48" t="s">
        <v>957</v>
      </c>
      <c r="E506" s="48" t="s">
        <v>958</v>
      </c>
      <c r="F506" s="48" t="s">
        <v>1023</v>
      </c>
      <c r="G506" s="48" t="s">
        <v>1024</v>
      </c>
      <c r="H506" s="47" t="s">
        <v>1025</v>
      </c>
      <c r="I506" s="47" t="s">
        <v>1026</v>
      </c>
      <c r="J506" s="47" t="s">
        <v>29</v>
      </c>
    </row>
    <row r="507" ht="54" customHeight="1" spans="1:10">
      <c r="A507" s="48" t="s">
        <v>161</v>
      </c>
      <c r="B507" s="48" t="s">
        <v>1887</v>
      </c>
      <c r="C507" s="47" t="s">
        <v>1028</v>
      </c>
      <c r="D507" s="48" t="s">
        <v>1029</v>
      </c>
      <c r="E507" s="48" t="s">
        <v>1030</v>
      </c>
      <c r="F507" s="48" t="s">
        <v>1031</v>
      </c>
      <c r="G507" s="48" t="s">
        <v>1032</v>
      </c>
      <c r="H507" s="47" t="s">
        <v>1033</v>
      </c>
      <c r="I507" s="47" t="s">
        <v>1034</v>
      </c>
      <c r="J507" s="47" t="s">
        <v>29</v>
      </c>
    </row>
    <row r="508" ht="54" customHeight="1" spans="1:10">
      <c r="A508" s="48" t="s">
        <v>161</v>
      </c>
      <c r="B508" s="48" t="s">
        <v>1888</v>
      </c>
      <c r="C508" s="47" t="s">
        <v>950</v>
      </c>
      <c r="D508" s="48" t="s">
        <v>935</v>
      </c>
      <c r="E508" s="48" t="s">
        <v>936</v>
      </c>
      <c r="F508" s="48" t="s">
        <v>951</v>
      </c>
      <c r="G508" s="48" t="s">
        <v>952</v>
      </c>
      <c r="H508" s="47" t="s">
        <v>953</v>
      </c>
      <c r="I508" s="47" t="s">
        <v>954</v>
      </c>
      <c r="J508" s="47" t="s">
        <v>29</v>
      </c>
    </row>
    <row r="509" ht="54" customHeight="1" spans="1:10">
      <c r="A509" s="48" t="s">
        <v>161</v>
      </c>
      <c r="B509" s="48" t="s">
        <v>1889</v>
      </c>
      <c r="C509" s="47" t="s">
        <v>1375</v>
      </c>
      <c r="D509" s="48" t="s">
        <v>1098</v>
      </c>
      <c r="E509" s="48" t="s">
        <v>1099</v>
      </c>
      <c r="F509" s="48" t="s">
        <v>1376</v>
      </c>
      <c r="G509" s="48" t="s">
        <v>1377</v>
      </c>
      <c r="H509" s="47" t="s">
        <v>1378</v>
      </c>
      <c r="I509" s="47" t="s">
        <v>1379</v>
      </c>
      <c r="J509" s="47" t="s">
        <v>29</v>
      </c>
    </row>
    <row r="510" ht="54" customHeight="1" spans="1:10">
      <c r="A510" s="48" t="s">
        <v>161</v>
      </c>
      <c r="B510" s="48" t="s">
        <v>1890</v>
      </c>
      <c r="C510" s="47" t="s">
        <v>1066</v>
      </c>
      <c r="D510" s="48" t="s">
        <v>935</v>
      </c>
      <c r="E510" s="48" t="s">
        <v>936</v>
      </c>
      <c r="F510" s="48" t="s">
        <v>1067</v>
      </c>
      <c r="G510" s="48" t="s">
        <v>1068</v>
      </c>
      <c r="H510" s="47" t="s">
        <v>1069</v>
      </c>
      <c r="I510" s="47" t="s">
        <v>940</v>
      </c>
      <c r="J510" s="47" t="s">
        <v>29</v>
      </c>
    </row>
    <row r="511" ht="54" customHeight="1" spans="1:10">
      <c r="A511" s="48" t="s">
        <v>161</v>
      </c>
      <c r="B511" s="48" t="s">
        <v>1891</v>
      </c>
      <c r="C511" s="47" t="s">
        <v>1117</v>
      </c>
      <c r="D511" s="48" t="s">
        <v>1118</v>
      </c>
      <c r="E511" s="48" t="s">
        <v>1119</v>
      </c>
      <c r="F511" s="48" t="s">
        <v>1120</v>
      </c>
      <c r="G511" s="48" t="s">
        <v>1121</v>
      </c>
      <c r="H511" s="47" t="s">
        <v>1122</v>
      </c>
      <c r="I511" s="47" t="s">
        <v>1123</v>
      </c>
      <c r="J511" s="47" t="s">
        <v>29</v>
      </c>
    </row>
    <row r="512" ht="54" customHeight="1" spans="1:10">
      <c r="A512" s="48" t="s">
        <v>161</v>
      </c>
      <c r="B512" s="48" t="s">
        <v>1892</v>
      </c>
      <c r="C512" s="47" t="s">
        <v>1125</v>
      </c>
      <c r="D512" s="48" t="s">
        <v>1059</v>
      </c>
      <c r="E512" s="48" t="s">
        <v>1060</v>
      </c>
      <c r="F512" s="48" t="s">
        <v>1126</v>
      </c>
      <c r="G512" s="48" t="s">
        <v>1127</v>
      </c>
      <c r="H512" s="47" t="s">
        <v>1128</v>
      </c>
      <c r="I512" s="47" t="s">
        <v>1129</v>
      </c>
      <c r="J512" s="47" t="s">
        <v>29</v>
      </c>
    </row>
    <row r="513" ht="54" customHeight="1" spans="1:10">
      <c r="A513" s="48" t="s">
        <v>163</v>
      </c>
      <c r="B513" s="48" t="s">
        <v>1893</v>
      </c>
      <c r="C513" s="47" t="s">
        <v>1153</v>
      </c>
      <c r="D513" s="48" t="s">
        <v>943</v>
      </c>
      <c r="E513" s="48" t="s">
        <v>944</v>
      </c>
      <c r="F513" s="48" t="s">
        <v>1154</v>
      </c>
      <c r="G513" s="48" t="s">
        <v>1155</v>
      </c>
      <c r="H513" s="47" t="s">
        <v>1156</v>
      </c>
      <c r="I513" s="47" t="s">
        <v>1157</v>
      </c>
      <c r="J513" s="47" t="s">
        <v>26</v>
      </c>
    </row>
    <row r="514" ht="54" customHeight="1" spans="1:10">
      <c r="A514" s="48" t="s">
        <v>163</v>
      </c>
      <c r="B514" s="48" t="s">
        <v>1894</v>
      </c>
      <c r="C514" s="47" t="s">
        <v>1008</v>
      </c>
      <c r="D514" s="48" t="s">
        <v>1009</v>
      </c>
      <c r="E514" s="48" t="s">
        <v>1010</v>
      </c>
      <c r="F514" s="48" t="s">
        <v>1011</v>
      </c>
      <c r="G514" s="48" t="s">
        <v>1012</v>
      </c>
      <c r="H514" s="47" t="s">
        <v>1013</v>
      </c>
      <c r="I514" s="47" t="s">
        <v>1014</v>
      </c>
      <c r="J514" s="47" t="s">
        <v>26</v>
      </c>
    </row>
    <row r="515" ht="54" customHeight="1" spans="1:10">
      <c r="A515" s="48" t="s">
        <v>163</v>
      </c>
      <c r="B515" s="48" t="s">
        <v>1895</v>
      </c>
      <c r="C515" s="47" t="s">
        <v>1375</v>
      </c>
      <c r="D515" s="48" t="s">
        <v>1098</v>
      </c>
      <c r="E515" s="48" t="s">
        <v>1099</v>
      </c>
      <c r="F515" s="48" t="s">
        <v>1376</v>
      </c>
      <c r="G515" s="48" t="s">
        <v>1377</v>
      </c>
      <c r="H515" s="47" t="s">
        <v>1378</v>
      </c>
      <c r="I515" s="47" t="s">
        <v>1379</v>
      </c>
      <c r="J515" s="47" t="s">
        <v>26</v>
      </c>
    </row>
    <row r="516" ht="54" customHeight="1" spans="1:10">
      <c r="A516" s="48" t="s">
        <v>163</v>
      </c>
      <c r="B516" s="48" t="s">
        <v>1896</v>
      </c>
      <c r="C516" s="47" t="s">
        <v>1125</v>
      </c>
      <c r="D516" s="48" t="s">
        <v>1059</v>
      </c>
      <c r="E516" s="48" t="s">
        <v>1060</v>
      </c>
      <c r="F516" s="48" t="s">
        <v>1126</v>
      </c>
      <c r="G516" s="48" t="s">
        <v>1127</v>
      </c>
      <c r="H516" s="47" t="s">
        <v>1128</v>
      </c>
      <c r="I516" s="47" t="s">
        <v>1129</v>
      </c>
      <c r="J516" s="47" t="s">
        <v>26</v>
      </c>
    </row>
    <row r="517" ht="54" customHeight="1" spans="1:10">
      <c r="A517" s="48" t="s">
        <v>163</v>
      </c>
      <c r="B517" s="48" t="s">
        <v>1897</v>
      </c>
      <c r="C517" s="47" t="s">
        <v>1145</v>
      </c>
      <c r="D517" s="48" t="s">
        <v>1146</v>
      </c>
      <c r="E517" s="48" t="s">
        <v>1147</v>
      </c>
      <c r="F517" s="48" t="s">
        <v>1148</v>
      </c>
      <c r="G517" s="48" t="s">
        <v>1149</v>
      </c>
      <c r="H517" s="47" t="s">
        <v>1150</v>
      </c>
      <c r="I517" s="47" t="s">
        <v>1151</v>
      </c>
      <c r="J517" s="47" t="s">
        <v>26</v>
      </c>
    </row>
    <row r="518" ht="54" customHeight="1" spans="1:10">
      <c r="A518" s="48" t="s">
        <v>163</v>
      </c>
      <c r="B518" s="48" t="s">
        <v>1898</v>
      </c>
      <c r="C518" s="47" t="s">
        <v>1164</v>
      </c>
      <c r="D518" s="48" t="s">
        <v>978</v>
      </c>
      <c r="E518" s="48" t="s">
        <v>979</v>
      </c>
      <c r="F518" s="48" t="s">
        <v>1165</v>
      </c>
      <c r="G518" s="48" t="s">
        <v>1166</v>
      </c>
      <c r="H518" s="47" t="s">
        <v>1167</v>
      </c>
      <c r="I518" s="47" t="s">
        <v>1168</v>
      </c>
      <c r="J518" s="47" t="s">
        <v>26</v>
      </c>
    </row>
    <row r="519" ht="54" customHeight="1" spans="1:10">
      <c r="A519" s="48" t="s">
        <v>163</v>
      </c>
      <c r="B519" s="48" t="s">
        <v>1899</v>
      </c>
      <c r="C519" s="47" t="s">
        <v>1170</v>
      </c>
      <c r="D519" s="48" t="s">
        <v>1171</v>
      </c>
      <c r="E519" s="48" t="s">
        <v>1172</v>
      </c>
      <c r="F519" s="48" t="s">
        <v>1173</v>
      </c>
      <c r="G519" s="48" t="s">
        <v>1174</v>
      </c>
      <c r="H519" s="47" t="s">
        <v>1175</v>
      </c>
      <c r="I519" s="47" t="s">
        <v>1176</v>
      </c>
      <c r="J519" s="47" t="s">
        <v>26</v>
      </c>
    </row>
    <row r="520" ht="54" customHeight="1" spans="1:10">
      <c r="A520" s="48" t="s">
        <v>163</v>
      </c>
      <c r="B520" s="48" t="s">
        <v>1900</v>
      </c>
      <c r="C520" s="47" t="s">
        <v>1196</v>
      </c>
      <c r="D520" s="48" t="s">
        <v>1118</v>
      </c>
      <c r="E520" s="48" t="s">
        <v>1119</v>
      </c>
      <c r="F520" s="48" t="s">
        <v>1197</v>
      </c>
      <c r="G520" s="48" t="s">
        <v>1198</v>
      </c>
      <c r="H520" s="47" t="s">
        <v>1199</v>
      </c>
      <c r="I520" s="47" t="s">
        <v>1200</v>
      </c>
      <c r="J520" s="47" t="s">
        <v>26</v>
      </c>
    </row>
    <row r="521" ht="54" customHeight="1" spans="1:10">
      <c r="A521" s="48" t="s">
        <v>165</v>
      </c>
      <c r="B521" s="48" t="s">
        <v>1901</v>
      </c>
      <c r="C521" s="47" t="s">
        <v>934</v>
      </c>
      <c r="D521" s="48" t="s">
        <v>935</v>
      </c>
      <c r="E521" s="48" t="s">
        <v>936</v>
      </c>
      <c r="F521" s="48" t="s">
        <v>937</v>
      </c>
      <c r="G521" s="48" t="s">
        <v>938</v>
      </c>
      <c r="H521" s="47" t="s">
        <v>939</v>
      </c>
      <c r="I521" s="47" t="s">
        <v>940</v>
      </c>
      <c r="J521" s="47" t="s">
        <v>26</v>
      </c>
    </row>
    <row r="522" ht="54" customHeight="1" spans="1:10">
      <c r="A522" s="48" t="s">
        <v>165</v>
      </c>
      <c r="B522" s="48" t="s">
        <v>1902</v>
      </c>
      <c r="C522" s="47" t="s">
        <v>950</v>
      </c>
      <c r="D522" s="48" t="s">
        <v>935</v>
      </c>
      <c r="E522" s="48" t="s">
        <v>936</v>
      </c>
      <c r="F522" s="48" t="s">
        <v>951</v>
      </c>
      <c r="G522" s="48" t="s">
        <v>952</v>
      </c>
      <c r="H522" s="47" t="s">
        <v>953</v>
      </c>
      <c r="I522" s="47" t="s">
        <v>954</v>
      </c>
      <c r="J522" s="47" t="s">
        <v>26</v>
      </c>
    </row>
    <row r="523" ht="54" customHeight="1" spans="1:10">
      <c r="A523" s="48" t="s">
        <v>165</v>
      </c>
      <c r="B523" s="48" t="s">
        <v>1903</v>
      </c>
      <c r="C523" s="47" t="s">
        <v>1362</v>
      </c>
      <c r="D523" s="48" t="s">
        <v>1059</v>
      </c>
      <c r="E523" s="48" t="s">
        <v>1060</v>
      </c>
      <c r="F523" s="48" t="s">
        <v>1363</v>
      </c>
      <c r="G523" s="48" t="s">
        <v>1364</v>
      </c>
      <c r="H523" s="47" t="s">
        <v>1365</v>
      </c>
      <c r="I523" s="47" t="s">
        <v>1366</v>
      </c>
      <c r="J523" s="47" t="s">
        <v>26</v>
      </c>
    </row>
    <row r="524" ht="54" customHeight="1" spans="1:10">
      <c r="A524" s="48" t="s">
        <v>165</v>
      </c>
      <c r="B524" s="48" t="s">
        <v>1904</v>
      </c>
      <c r="C524" s="47" t="s">
        <v>1268</v>
      </c>
      <c r="D524" s="48" t="s">
        <v>957</v>
      </c>
      <c r="E524" s="48" t="s">
        <v>958</v>
      </c>
      <c r="F524" s="48" t="s">
        <v>1269</v>
      </c>
      <c r="G524" s="48" t="s">
        <v>1270</v>
      </c>
      <c r="H524" s="47" t="s">
        <v>1271</v>
      </c>
      <c r="I524" s="47" t="s">
        <v>1272</v>
      </c>
      <c r="J524" s="47" t="s">
        <v>26</v>
      </c>
    </row>
    <row r="525" ht="54" customHeight="1" spans="1:10">
      <c r="A525" s="48" t="s">
        <v>165</v>
      </c>
      <c r="B525" s="48" t="s">
        <v>1905</v>
      </c>
      <c r="C525" s="47" t="s">
        <v>1036</v>
      </c>
      <c r="D525" s="48" t="s">
        <v>1037</v>
      </c>
      <c r="E525" s="48" t="s">
        <v>1038</v>
      </c>
      <c r="F525" s="48" t="s">
        <v>1039</v>
      </c>
      <c r="G525" s="48" t="s">
        <v>1040</v>
      </c>
      <c r="H525" s="47" t="s">
        <v>1041</v>
      </c>
      <c r="I525" s="47" t="s">
        <v>1042</v>
      </c>
      <c r="J525" s="47" t="s">
        <v>26</v>
      </c>
    </row>
    <row r="526" ht="54" customHeight="1" spans="1:10">
      <c r="A526" s="48" t="s">
        <v>165</v>
      </c>
      <c r="B526" s="48" t="s">
        <v>1906</v>
      </c>
      <c r="C526" s="47" t="s">
        <v>1589</v>
      </c>
      <c r="D526" s="48" t="s">
        <v>943</v>
      </c>
      <c r="E526" s="48" t="s">
        <v>944</v>
      </c>
      <c r="F526" s="48" t="s">
        <v>1590</v>
      </c>
      <c r="G526" s="48" t="s">
        <v>1591</v>
      </c>
      <c r="H526" s="47" t="s">
        <v>1592</v>
      </c>
      <c r="I526" s="47" t="s">
        <v>1593</v>
      </c>
      <c r="J526" s="47" t="s">
        <v>26</v>
      </c>
    </row>
    <row r="527" ht="54" customHeight="1" spans="1:10">
      <c r="A527" s="48" t="s">
        <v>165</v>
      </c>
      <c r="B527" s="48" t="s">
        <v>1907</v>
      </c>
      <c r="C527" s="47" t="s">
        <v>1297</v>
      </c>
      <c r="D527" s="48" t="s">
        <v>1009</v>
      </c>
      <c r="E527" s="48" t="s">
        <v>1010</v>
      </c>
      <c r="F527" s="48" t="s">
        <v>1298</v>
      </c>
      <c r="G527" s="48" t="s">
        <v>1299</v>
      </c>
      <c r="H527" s="47" t="s">
        <v>1300</v>
      </c>
      <c r="I527" s="47" t="s">
        <v>1301</v>
      </c>
      <c r="J527" s="47" t="s">
        <v>26</v>
      </c>
    </row>
    <row r="528" ht="54" customHeight="1" spans="1:10">
      <c r="A528" s="48" t="s">
        <v>165</v>
      </c>
      <c r="B528" s="48" t="s">
        <v>1908</v>
      </c>
      <c r="C528" s="47" t="s">
        <v>1252</v>
      </c>
      <c r="D528" s="48" t="s">
        <v>1001</v>
      </c>
      <c r="E528" s="48" t="s">
        <v>1002</v>
      </c>
      <c r="F528" s="48" t="s">
        <v>1253</v>
      </c>
      <c r="G528" s="48" t="s">
        <v>1254</v>
      </c>
      <c r="H528" s="47" t="s">
        <v>1255</v>
      </c>
      <c r="I528" s="47" t="s">
        <v>1256</v>
      </c>
      <c r="J528" s="47" t="s">
        <v>26</v>
      </c>
    </row>
    <row r="529" ht="54" customHeight="1" spans="1:10">
      <c r="A529" s="48" t="s">
        <v>165</v>
      </c>
      <c r="B529" s="48" t="s">
        <v>1909</v>
      </c>
      <c r="C529" s="47" t="s">
        <v>1125</v>
      </c>
      <c r="D529" s="48" t="s">
        <v>1059</v>
      </c>
      <c r="E529" s="48" t="s">
        <v>1060</v>
      </c>
      <c r="F529" s="48" t="s">
        <v>1126</v>
      </c>
      <c r="G529" s="48" t="s">
        <v>1127</v>
      </c>
      <c r="H529" s="47" t="s">
        <v>1128</v>
      </c>
      <c r="I529" s="47" t="s">
        <v>1129</v>
      </c>
      <c r="J529" s="47" t="s">
        <v>26</v>
      </c>
    </row>
    <row r="530" ht="54" customHeight="1" spans="1:10">
      <c r="A530" s="48" t="s">
        <v>165</v>
      </c>
      <c r="B530" s="48" t="s">
        <v>1910</v>
      </c>
      <c r="C530" s="47" t="s">
        <v>1285</v>
      </c>
      <c r="D530" s="48" t="s">
        <v>965</v>
      </c>
      <c r="E530" s="48" t="s">
        <v>966</v>
      </c>
      <c r="F530" s="48" t="s">
        <v>1286</v>
      </c>
      <c r="G530" s="48" t="s">
        <v>1287</v>
      </c>
      <c r="H530" s="47" t="s">
        <v>1288</v>
      </c>
      <c r="I530" s="47" t="s">
        <v>1289</v>
      </c>
      <c r="J530" s="47" t="s">
        <v>26</v>
      </c>
    </row>
    <row r="531" ht="54" customHeight="1" spans="1:10">
      <c r="A531" s="48" t="s">
        <v>165</v>
      </c>
      <c r="B531" s="48" t="s">
        <v>1911</v>
      </c>
      <c r="C531" s="47" t="s">
        <v>971</v>
      </c>
      <c r="D531" s="48" t="s">
        <v>965</v>
      </c>
      <c r="E531" s="48" t="s">
        <v>966</v>
      </c>
      <c r="F531" s="48" t="s">
        <v>972</v>
      </c>
      <c r="G531" s="48" t="s">
        <v>973</v>
      </c>
      <c r="H531" s="47" t="s">
        <v>974</v>
      </c>
      <c r="I531" s="47" t="s">
        <v>975</v>
      </c>
      <c r="J531" s="47" t="s">
        <v>26</v>
      </c>
    </row>
    <row r="532" ht="54" customHeight="1" spans="1:10">
      <c r="A532" s="48" t="s">
        <v>165</v>
      </c>
      <c r="B532" s="48" t="s">
        <v>1912</v>
      </c>
      <c r="C532" s="47" t="s">
        <v>1291</v>
      </c>
      <c r="D532" s="48" t="s">
        <v>965</v>
      </c>
      <c r="E532" s="48" t="s">
        <v>966</v>
      </c>
      <c r="F532" s="48" t="s">
        <v>1292</v>
      </c>
      <c r="G532" s="48" t="s">
        <v>1293</v>
      </c>
      <c r="H532" s="47" t="s">
        <v>1294</v>
      </c>
      <c r="I532" s="47" t="s">
        <v>1295</v>
      </c>
      <c r="J532" s="47" t="s">
        <v>26</v>
      </c>
    </row>
    <row r="533" ht="54" customHeight="1" spans="1:10">
      <c r="A533" s="48" t="s">
        <v>167</v>
      </c>
      <c r="B533" s="48" t="s">
        <v>1913</v>
      </c>
      <c r="C533" s="47" t="s">
        <v>1008</v>
      </c>
      <c r="D533" s="48" t="s">
        <v>1009</v>
      </c>
      <c r="E533" s="48" t="s">
        <v>1010</v>
      </c>
      <c r="F533" s="48" t="s">
        <v>1011</v>
      </c>
      <c r="G533" s="48" t="s">
        <v>1012</v>
      </c>
      <c r="H533" s="47" t="s">
        <v>1013</v>
      </c>
      <c r="I533" s="47" t="s">
        <v>1014</v>
      </c>
      <c r="J533" s="47" t="s">
        <v>29</v>
      </c>
    </row>
    <row r="534" ht="54" customHeight="1" spans="1:10">
      <c r="A534" s="48" t="s">
        <v>167</v>
      </c>
      <c r="B534" s="48" t="s">
        <v>1914</v>
      </c>
      <c r="C534" s="47" t="s">
        <v>1337</v>
      </c>
      <c r="D534" s="48" t="s">
        <v>1009</v>
      </c>
      <c r="E534" s="48" t="s">
        <v>1010</v>
      </c>
      <c r="F534" s="48" t="s">
        <v>1338</v>
      </c>
      <c r="G534" s="48" t="s">
        <v>1339</v>
      </c>
      <c r="H534" s="47" t="s">
        <v>1340</v>
      </c>
      <c r="I534" s="47" t="s">
        <v>1341</v>
      </c>
      <c r="J534" s="47" t="s">
        <v>29</v>
      </c>
    </row>
    <row r="535" ht="54" customHeight="1" spans="1:10">
      <c r="A535" s="48" t="s">
        <v>167</v>
      </c>
      <c r="B535" s="48" t="s">
        <v>1915</v>
      </c>
      <c r="C535" s="47" t="s">
        <v>956</v>
      </c>
      <c r="D535" s="48" t="s">
        <v>957</v>
      </c>
      <c r="E535" s="48" t="s">
        <v>958</v>
      </c>
      <c r="F535" s="48" t="s">
        <v>959</v>
      </c>
      <c r="G535" s="48" t="s">
        <v>960</v>
      </c>
      <c r="H535" s="47" t="s">
        <v>961</v>
      </c>
      <c r="I535" s="47" t="s">
        <v>962</v>
      </c>
      <c r="J535" s="47" t="s">
        <v>29</v>
      </c>
    </row>
    <row r="536" ht="54" customHeight="1" spans="1:10">
      <c r="A536" s="48" t="s">
        <v>167</v>
      </c>
      <c r="B536" s="48" t="s">
        <v>1916</v>
      </c>
      <c r="C536" s="47" t="s">
        <v>1105</v>
      </c>
      <c r="D536" s="48" t="s">
        <v>1009</v>
      </c>
      <c r="E536" s="48" t="s">
        <v>1010</v>
      </c>
      <c r="F536" s="48" t="s">
        <v>1106</v>
      </c>
      <c r="G536" s="48" t="s">
        <v>1107</v>
      </c>
      <c r="H536" s="47" t="s">
        <v>1108</v>
      </c>
      <c r="I536" s="47" t="s">
        <v>1109</v>
      </c>
      <c r="J536" s="47" t="s">
        <v>29</v>
      </c>
    </row>
    <row r="537" ht="54" customHeight="1" spans="1:10">
      <c r="A537" s="48" t="s">
        <v>167</v>
      </c>
      <c r="B537" s="48" t="s">
        <v>1917</v>
      </c>
      <c r="C537" s="47" t="s">
        <v>1268</v>
      </c>
      <c r="D537" s="48" t="s">
        <v>957</v>
      </c>
      <c r="E537" s="48" t="s">
        <v>958</v>
      </c>
      <c r="F537" s="48" t="s">
        <v>1269</v>
      </c>
      <c r="G537" s="48" t="s">
        <v>1270</v>
      </c>
      <c r="H537" s="47" t="s">
        <v>1271</v>
      </c>
      <c r="I537" s="47" t="s">
        <v>1272</v>
      </c>
      <c r="J537" s="47" t="s">
        <v>29</v>
      </c>
    </row>
    <row r="538" ht="54" customHeight="1" spans="1:10">
      <c r="A538" s="48" t="s">
        <v>167</v>
      </c>
      <c r="B538" s="48" t="s">
        <v>1918</v>
      </c>
      <c r="C538" s="47" t="s">
        <v>1036</v>
      </c>
      <c r="D538" s="48" t="s">
        <v>1037</v>
      </c>
      <c r="E538" s="48" t="s">
        <v>1038</v>
      </c>
      <c r="F538" s="48" t="s">
        <v>1039</v>
      </c>
      <c r="G538" s="48" t="s">
        <v>1040</v>
      </c>
      <c r="H538" s="47" t="s">
        <v>1041</v>
      </c>
      <c r="I538" s="47" t="s">
        <v>1042</v>
      </c>
      <c r="J538" s="47" t="s">
        <v>29</v>
      </c>
    </row>
    <row r="539" ht="54" customHeight="1" spans="1:10">
      <c r="A539" s="48" t="s">
        <v>167</v>
      </c>
      <c r="B539" s="48" t="s">
        <v>1919</v>
      </c>
      <c r="C539" s="47" t="s">
        <v>1052</v>
      </c>
      <c r="D539" s="48" t="s">
        <v>1009</v>
      </c>
      <c r="E539" s="48" t="s">
        <v>1010</v>
      </c>
      <c r="F539" s="48" t="s">
        <v>1053</v>
      </c>
      <c r="G539" s="48" t="s">
        <v>1054</v>
      </c>
      <c r="H539" s="47" t="s">
        <v>1055</v>
      </c>
      <c r="I539" s="47" t="s">
        <v>1056</v>
      </c>
      <c r="J539" s="47" t="s">
        <v>29</v>
      </c>
    </row>
    <row r="540" ht="54" customHeight="1" spans="1:10">
      <c r="A540" s="48" t="s">
        <v>167</v>
      </c>
      <c r="B540" s="48" t="s">
        <v>1920</v>
      </c>
      <c r="C540" s="47" t="s">
        <v>1718</v>
      </c>
      <c r="D540" s="48" t="s">
        <v>1719</v>
      </c>
      <c r="E540" s="48" t="s">
        <v>1720</v>
      </c>
      <c r="F540" s="48" t="s">
        <v>1721</v>
      </c>
      <c r="G540" s="48" t="s">
        <v>1722</v>
      </c>
      <c r="H540" s="47" t="s">
        <v>1723</v>
      </c>
      <c r="I540" s="47" t="s">
        <v>1724</v>
      </c>
      <c r="J540" s="47" t="s">
        <v>29</v>
      </c>
    </row>
    <row r="541" ht="54" customHeight="1" spans="1:10">
      <c r="A541" s="48" t="s">
        <v>167</v>
      </c>
      <c r="B541" s="48" t="s">
        <v>1921</v>
      </c>
      <c r="C541" s="47" t="s">
        <v>1066</v>
      </c>
      <c r="D541" s="48" t="s">
        <v>935</v>
      </c>
      <c r="E541" s="48" t="s">
        <v>936</v>
      </c>
      <c r="F541" s="48" t="s">
        <v>1067</v>
      </c>
      <c r="G541" s="48" t="s">
        <v>1068</v>
      </c>
      <c r="H541" s="47" t="s">
        <v>1069</v>
      </c>
      <c r="I541" s="47" t="s">
        <v>940</v>
      </c>
      <c r="J541" s="47" t="s">
        <v>29</v>
      </c>
    </row>
    <row r="542" ht="54" customHeight="1" spans="1:10">
      <c r="A542" s="48" t="s">
        <v>167</v>
      </c>
      <c r="B542" s="48" t="s">
        <v>1922</v>
      </c>
      <c r="C542" s="47" t="s">
        <v>1388</v>
      </c>
      <c r="D542" s="48" t="s">
        <v>1037</v>
      </c>
      <c r="E542" s="48" t="s">
        <v>1038</v>
      </c>
      <c r="F542" s="48" t="s">
        <v>1389</v>
      </c>
      <c r="G542" s="48" t="s">
        <v>1390</v>
      </c>
      <c r="H542" s="47" t="s">
        <v>1391</v>
      </c>
      <c r="I542" s="47" t="s">
        <v>1392</v>
      </c>
      <c r="J542" s="47" t="s">
        <v>29</v>
      </c>
    </row>
    <row r="543" ht="54" customHeight="1" spans="1:10">
      <c r="A543" s="48" t="s">
        <v>167</v>
      </c>
      <c r="B543" s="48" t="s">
        <v>1923</v>
      </c>
      <c r="C543" s="47" t="s">
        <v>1131</v>
      </c>
      <c r="D543" s="48" t="s">
        <v>993</v>
      </c>
      <c r="E543" s="48" t="s">
        <v>994</v>
      </c>
      <c r="F543" s="48" t="s">
        <v>1132</v>
      </c>
      <c r="G543" s="48" t="s">
        <v>1133</v>
      </c>
      <c r="H543" s="47" t="s">
        <v>1134</v>
      </c>
      <c r="I543" s="47" t="s">
        <v>1135</v>
      </c>
      <c r="J543" s="47" t="s">
        <v>29</v>
      </c>
    </row>
    <row r="544" ht="54" customHeight="1" spans="1:10">
      <c r="A544" s="48" t="s">
        <v>167</v>
      </c>
      <c r="B544" s="48" t="s">
        <v>1924</v>
      </c>
      <c r="C544" s="47" t="s">
        <v>1137</v>
      </c>
      <c r="D544" s="48" t="s">
        <v>1138</v>
      </c>
      <c r="E544" s="48" t="s">
        <v>1139</v>
      </c>
      <c r="F544" s="48" t="s">
        <v>1140</v>
      </c>
      <c r="G544" s="48" t="s">
        <v>1141</v>
      </c>
      <c r="H544" s="47" t="s">
        <v>1142</v>
      </c>
      <c r="I544" s="47" t="s">
        <v>940</v>
      </c>
      <c r="J544" s="47" t="s">
        <v>29</v>
      </c>
    </row>
    <row r="545" ht="54" customHeight="1" spans="1:10">
      <c r="A545" s="48" t="s">
        <v>169</v>
      </c>
      <c r="B545" s="48" t="s">
        <v>1925</v>
      </c>
      <c r="C545" s="47" t="s">
        <v>1089</v>
      </c>
      <c r="D545" s="48" t="s">
        <v>957</v>
      </c>
      <c r="E545" s="48" t="s">
        <v>958</v>
      </c>
      <c r="F545" s="48" t="s">
        <v>1090</v>
      </c>
      <c r="G545" s="48" t="s">
        <v>1091</v>
      </c>
      <c r="H545" s="47" t="s">
        <v>1092</v>
      </c>
      <c r="I545" s="47" t="s">
        <v>1093</v>
      </c>
      <c r="J545" s="47" t="s">
        <v>26</v>
      </c>
    </row>
    <row r="546" ht="54" customHeight="1" spans="1:10">
      <c r="A546" s="48" t="s">
        <v>169</v>
      </c>
      <c r="B546" s="48" t="s">
        <v>1926</v>
      </c>
      <c r="C546" s="47" t="s">
        <v>1927</v>
      </c>
      <c r="D546" s="48" t="s">
        <v>1400</v>
      </c>
      <c r="E546" s="48" t="s">
        <v>1401</v>
      </c>
      <c r="F546" s="48" t="s">
        <v>1928</v>
      </c>
      <c r="G546" s="48" t="s">
        <v>1929</v>
      </c>
      <c r="H546" s="47" t="s">
        <v>1930</v>
      </c>
      <c r="I546" s="47" t="s">
        <v>1931</v>
      </c>
      <c r="J546" s="47" t="s">
        <v>26</v>
      </c>
    </row>
    <row r="547" ht="54" customHeight="1" spans="1:10">
      <c r="A547" s="48" t="s">
        <v>171</v>
      </c>
      <c r="B547" s="48" t="s">
        <v>1932</v>
      </c>
      <c r="C547" s="47" t="s">
        <v>985</v>
      </c>
      <c r="D547" s="48" t="s">
        <v>986</v>
      </c>
      <c r="E547" s="48" t="s">
        <v>987</v>
      </c>
      <c r="F547" s="48" t="s">
        <v>988</v>
      </c>
      <c r="G547" s="48" t="s">
        <v>987</v>
      </c>
      <c r="H547" s="47" t="s">
        <v>989</v>
      </c>
      <c r="I547" s="47" t="s">
        <v>990</v>
      </c>
      <c r="J547" s="47" t="s">
        <v>26</v>
      </c>
    </row>
    <row r="548" ht="54" customHeight="1" spans="1:10">
      <c r="A548" s="48" t="s">
        <v>171</v>
      </c>
      <c r="B548" s="48" t="s">
        <v>1933</v>
      </c>
      <c r="C548" s="47" t="s">
        <v>1934</v>
      </c>
      <c r="D548" s="48" t="s">
        <v>1184</v>
      </c>
      <c r="E548" s="48" t="s">
        <v>1185</v>
      </c>
      <c r="F548" s="48" t="s">
        <v>1935</v>
      </c>
      <c r="G548" s="48" t="s">
        <v>1936</v>
      </c>
      <c r="H548" s="47" t="s">
        <v>1937</v>
      </c>
      <c r="I548" s="47" t="s">
        <v>1938</v>
      </c>
      <c r="J548" s="47" t="s">
        <v>26</v>
      </c>
    </row>
    <row r="549" ht="54" customHeight="1" spans="1:10">
      <c r="A549" s="48" t="s">
        <v>171</v>
      </c>
      <c r="B549" s="48" t="s">
        <v>1939</v>
      </c>
      <c r="C549" s="47" t="s">
        <v>956</v>
      </c>
      <c r="D549" s="48" t="s">
        <v>957</v>
      </c>
      <c r="E549" s="48" t="s">
        <v>958</v>
      </c>
      <c r="F549" s="48" t="s">
        <v>959</v>
      </c>
      <c r="G549" s="48" t="s">
        <v>960</v>
      </c>
      <c r="H549" s="47" t="s">
        <v>961</v>
      </c>
      <c r="I549" s="47" t="s">
        <v>962</v>
      </c>
      <c r="J549" s="47" t="s">
        <v>26</v>
      </c>
    </row>
    <row r="550" ht="54" customHeight="1" spans="1:10">
      <c r="A550" s="48" t="s">
        <v>171</v>
      </c>
      <c r="B550" s="48" t="s">
        <v>1940</v>
      </c>
      <c r="C550" s="47" t="s">
        <v>1052</v>
      </c>
      <c r="D550" s="48" t="s">
        <v>1009</v>
      </c>
      <c r="E550" s="48" t="s">
        <v>1010</v>
      </c>
      <c r="F550" s="48" t="s">
        <v>1053</v>
      </c>
      <c r="G550" s="48" t="s">
        <v>1054</v>
      </c>
      <c r="H550" s="47" t="s">
        <v>1055</v>
      </c>
      <c r="I550" s="47" t="s">
        <v>1056</v>
      </c>
      <c r="J550" s="47" t="s">
        <v>26</v>
      </c>
    </row>
    <row r="551" ht="54" customHeight="1" spans="1:10">
      <c r="A551" s="48" t="s">
        <v>171</v>
      </c>
      <c r="B551" s="48" t="s">
        <v>1941</v>
      </c>
      <c r="C551" s="47" t="s">
        <v>1066</v>
      </c>
      <c r="D551" s="48" t="s">
        <v>935</v>
      </c>
      <c r="E551" s="48" t="s">
        <v>936</v>
      </c>
      <c r="F551" s="48" t="s">
        <v>1067</v>
      </c>
      <c r="G551" s="48" t="s">
        <v>1068</v>
      </c>
      <c r="H551" s="47" t="s">
        <v>1069</v>
      </c>
      <c r="I551" s="47" t="s">
        <v>940</v>
      </c>
      <c r="J551" s="47" t="s">
        <v>26</v>
      </c>
    </row>
    <row r="552" ht="54" customHeight="1" spans="1:10">
      <c r="A552" s="48" t="s">
        <v>171</v>
      </c>
      <c r="B552" s="48" t="s">
        <v>1942</v>
      </c>
      <c r="C552" s="47" t="s">
        <v>971</v>
      </c>
      <c r="D552" s="48" t="s">
        <v>965</v>
      </c>
      <c r="E552" s="48" t="s">
        <v>966</v>
      </c>
      <c r="F552" s="48" t="s">
        <v>972</v>
      </c>
      <c r="G552" s="48" t="s">
        <v>973</v>
      </c>
      <c r="H552" s="47" t="s">
        <v>974</v>
      </c>
      <c r="I552" s="47" t="s">
        <v>975</v>
      </c>
      <c r="J552" s="47" t="s">
        <v>26</v>
      </c>
    </row>
    <row r="553" ht="54" customHeight="1" spans="1:10">
      <c r="A553" s="48" t="s">
        <v>171</v>
      </c>
      <c r="B553" s="48" t="s">
        <v>1943</v>
      </c>
      <c r="C553" s="47" t="s">
        <v>1216</v>
      </c>
      <c r="D553" s="48" t="s">
        <v>993</v>
      </c>
      <c r="E553" s="48" t="s">
        <v>994</v>
      </c>
      <c r="F553" s="48" t="s">
        <v>1217</v>
      </c>
      <c r="G553" s="48" t="s">
        <v>1218</v>
      </c>
      <c r="H553" s="47" t="s">
        <v>1219</v>
      </c>
      <c r="I553" s="47" t="s">
        <v>1220</v>
      </c>
      <c r="J553" s="47" t="s">
        <v>26</v>
      </c>
    </row>
    <row r="554" ht="54" customHeight="1" spans="1:10">
      <c r="A554" s="48" t="s">
        <v>171</v>
      </c>
      <c r="B554" s="48" t="s">
        <v>1944</v>
      </c>
      <c r="C554" s="47" t="s">
        <v>1164</v>
      </c>
      <c r="D554" s="48" t="s">
        <v>978</v>
      </c>
      <c r="E554" s="48" t="s">
        <v>979</v>
      </c>
      <c r="F554" s="48" t="s">
        <v>1165</v>
      </c>
      <c r="G554" s="48" t="s">
        <v>1166</v>
      </c>
      <c r="H554" s="47" t="s">
        <v>1167</v>
      </c>
      <c r="I554" s="47" t="s">
        <v>1168</v>
      </c>
      <c r="J554" s="47" t="s">
        <v>26</v>
      </c>
    </row>
    <row r="555" ht="54" customHeight="1" spans="1:10">
      <c r="A555" s="48" t="s">
        <v>173</v>
      </c>
      <c r="B555" s="48" t="s">
        <v>1945</v>
      </c>
      <c r="C555" s="47" t="s">
        <v>1610</v>
      </c>
      <c r="D555" s="48" t="s">
        <v>1098</v>
      </c>
      <c r="E555" s="48" t="s">
        <v>1099</v>
      </c>
      <c r="F555" s="48" t="s">
        <v>1611</v>
      </c>
      <c r="G555" s="48" t="s">
        <v>1612</v>
      </c>
      <c r="H555" s="47" t="s">
        <v>1613</v>
      </c>
      <c r="I555" s="47" t="s">
        <v>1614</v>
      </c>
      <c r="J555" s="47" t="s">
        <v>26</v>
      </c>
    </row>
    <row r="556" ht="54" customHeight="1" spans="1:10">
      <c r="A556" s="48" t="s">
        <v>173</v>
      </c>
      <c r="B556" s="48" t="s">
        <v>1946</v>
      </c>
      <c r="C556" s="47" t="s">
        <v>1164</v>
      </c>
      <c r="D556" s="48" t="s">
        <v>978</v>
      </c>
      <c r="E556" s="48" t="s">
        <v>979</v>
      </c>
      <c r="F556" s="48" t="s">
        <v>1165</v>
      </c>
      <c r="G556" s="48" t="s">
        <v>1166</v>
      </c>
      <c r="H556" s="47" t="s">
        <v>1167</v>
      </c>
      <c r="I556" s="47" t="s">
        <v>1168</v>
      </c>
      <c r="J556" s="47" t="s">
        <v>26</v>
      </c>
    </row>
    <row r="557" ht="54" customHeight="1" spans="1:10">
      <c r="A557" s="48" t="s">
        <v>175</v>
      </c>
      <c r="B557" s="48" t="s">
        <v>1947</v>
      </c>
      <c r="C557" s="47" t="s">
        <v>1164</v>
      </c>
      <c r="D557" s="48" t="s">
        <v>978</v>
      </c>
      <c r="E557" s="48" t="s">
        <v>979</v>
      </c>
      <c r="F557" s="48" t="s">
        <v>1165</v>
      </c>
      <c r="G557" s="48" t="s">
        <v>1166</v>
      </c>
      <c r="H557" s="47" t="s">
        <v>1167</v>
      </c>
      <c r="I557" s="47" t="s">
        <v>1168</v>
      </c>
      <c r="J557" s="47" t="s">
        <v>26</v>
      </c>
    </row>
    <row r="558" ht="54" customHeight="1" spans="1:10">
      <c r="A558" s="48" t="s">
        <v>175</v>
      </c>
      <c r="B558" s="48" t="s">
        <v>1948</v>
      </c>
      <c r="C558" s="47" t="s">
        <v>1927</v>
      </c>
      <c r="D558" s="48" t="s">
        <v>1400</v>
      </c>
      <c r="E558" s="48" t="s">
        <v>1401</v>
      </c>
      <c r="F558" s="48" t="s">
        <v>1928</v>
      </c>
      <c r="G558" s="48" t="s">
        <v>1929</v>
      </c>
      <c r="H558" s="47" t="s">
        <v>1930</v>
      </c>
      <c r="I558" s="47" t="s">
        <v>1931</v>
      </c>
      <c r="J558" s="47" t="s">
        <v>26</v>
      </c>
    </row>
    <row r="559" ht="54" customHeight="1" spans="1:10">
      <c r="A559" s="48" t="s">
        <v>177</v>
      </c>
      <c r="B559" s="48" t="s">
        <v>1949</v>
      </c>
      <c r="C559" s="47" t="s">
        <v>934</v>
      </c>
      <c r="D559" s="48" t="s">
        <v>935</v>
      </c>
      <c r="E559" s="48" t="s">
        <v>936</v>
      </c>
      <c r="F559" s="48" t="s">
        <v>937</v>
      </c>
      <c r="G559" s="48" t="s">
        <v>938</v>
      </c>
      <c r="H559" s="47" t="s">
        <v>939</v>
      </c>
      <c r="I559" s="47" t="s">
        <v>940</v>
      </c>
      <c r="J559" s="47" t="s">
        <v>29</v>
      </c>
    </row>
    <row r="560" ht="54" customHeight="1" spans="1:10">
      <c r="A560" s="48" t="s">
        <v>177</v>
      </c>
      <c r="B560" s="48" t="s">
        <v>1950</v>
      </c>
      <c r="C560" s="47" t="s">
        <v>1072</v>
      </c>
      <c r="D560" s="48" t="s">
        <v>1073</v>
      </c>
      <c r="E560" s="48" t="s">
        <v>1074</v>
      </c>
      <c r="F560" s="48" t="s">
        <v>1075</v>
      </c>
      <c r="G560" s="48" t="s">
        <v>1076</v>
      </c>
      <c r="H560" s="47" t="s">
        <v>1077</v>
      </c>
      <c r="I560" s="47" t="s">
        <v>1078</v>
      </c>
      <c r="J560" s="47" t="s">
        <v>29</v>
      </c>
    </row>
    <row r="561" ht="54" customHeight="1" spans="1:10">
      <c r="A561" s="48" t="s">
        <v>177</v>
      </c>
      <c r="B561" s="48" t="s">
        <v>1951</v>
      </c>
      <c r="C561" s="47" t="s">
        <v>1459</v>
      </c>
      <c r="D561" s="48" t="s">
        <v>957</v>
      </c>
      <c r="E561" s="48" t="s">
        <v>958</v>
      </c>
      <c r="F561" s="48" t="s">
        <v>1460</v>
      </c>
      <c r="G561" s="48" t="s">
        <v>1461</v>
      </c>
      <c r="H561" s="47" t="s">
        <v>1462</v>
      </c>
      <c r="I561" s="47" t="s">
        <v>1463</v>
      </c>
      <c r="J561" s="47" t="s">
        <v>29</v>
      </c>
    </row>
    <row r="562" ht="54" customHeight="1" spans="1:10">
      <c r="A562" s="48" t="s">
        <v>177</v>
      </c>
      <c r="B562" s="48" t="s">
        <v>1952</v>
      </c>
      <c r="C562" s="47" t="s">
        <v>1081</v>
      </c>
      <c r="D562" s="48" t="s">
        <v>1082</v>
      </c>
      <c r="E562" s="48" t="s">
        <v>1083</v>
      </c>
      <c r="F562" s="48" t="s">
        <v>1084</v>
      </c>
      <c r="G562" s="48" t="s">
        <v>1085</v>
      </c>
      <c r="H562" s="47" t="s">
        <v>1086</v>
      </c>
      <c r="I562" s="47" t="s">
        <v>1087</v>
      </c>
      <c r="J562" s="47" t="s">
        <v>29</v>
      </c>
    </row>
    <row r="563" ht="54" customHeight="1" spans="1:10">
      <c r="A563" s="48" t="s">
        <v>177</v>
      </c>
      <c r="B563" s="48" t="s">
        <v>1953</v>
      </c>
      <c r="C563" s="47" t="s">
        <v>950</v>
      </c>
      <c r="D563" s="48" t="s">
        <v>935</v>
      </c>
      <c r="E563" s="48" t="s">
        <v>936</v>
      </c>
      <c r="F563" s="48" t="s">
        <v>951</v>
      </c>
      <c r="G563" s="48" t="s">
        <v>952</v>
      </c>
      <c r="H563" s="47" t="s">
        <v>953</v>
      </c>
      <c r="I563" s="47" t="s">
        <v>954</v>
      </c>
      <c r="J563" s="47" t="s">
        <v>29</v>
      </c>
    </row>
    <row r="564" ht="54" customHeight="1" spans="1:10">
      <c r="A564" s="48" t="s">
        <v>177</v>
      </c>
      <c r="B564" s="48" t="s">
        <v>1954</v>
      </c>
      <c r="C564" s="47" t="s">
        <v>1066</v>
      </c>
      <c r="D564" s="48" t="s">
        <v>935</v>
      </c>
      <c r="E564" s="48" t="s">
        <v>936</v>
      </c>
      <c r="F564" s="48" t="s">
        <v>1067</v>
      </c>
      <c r="G564" s="48" t="s">
        <v>1068</v>
      </c>
      <c r="H564" s="47" t="s">
        <v>1069</v>
      </c>
      <c r="I564" s="47" t="s">
        <v>940</v>
      </c>
      <c r="J564" s="47" t="s">
        <v>29</v>
      </c>
    </row>
    <row r="565" ht="54" customHeight="1" spans="1:10">
      <c r="A565" s="48" t="s">
        <v>177</v>
      </c>
      <c r="B565" s="48" t="s">
        <v>1955</v>
      </c>
      <c r="C565" s="47" t="s">
        <v>971</v>
      </c>
      <c r="D565" s="48" t="s">
        <v>965</v>
      </c>
      <c r="E565" s="48" t="s">
        <v>966</v>
      </c>
      <c r="F565" s="48" t="s">
        <v>972</v>
      </c>
      <c r="G565" s="48" t="s">
        <v>973</v>
      </c>
      <c r="H565" s="47" t="s">
        <v>974</v>
      </c>
      <c r="I565" s="47" t="s">
        <v>975</v>
      </c>
      <c r="J565" s="47" t="s">
        <v>29</v>
      </c>
    </row>
    <row r="566" ht="54" customHeight="1" spans="1:10">
      <c r="A566" s="48" t="s">
        <v>177</v>
      </c>
      <c r="B566" s="48" t="s">
        <v>1956</v>
      </c>
      <c r="C566" s="47" t="s">
        <v>1205</v>
      </c>
      <c r="D566" s="48" t="s">
        <v>978</v>
      </c>
      <c r="E566" s="48" t="s">
        <v>979</v>
      </c>
      <c r="F566" s="48" t="s">
        <v>1206</v>
      </c>
      <c r="G566" s="48" t="s">
        <v>1207</v>
      </c>
      <c r="H566" s="47" t="s">
        <v>1208</v>
      </c>
      <c r="I566" s="47" t="s">
        <v>1209</v>
      </c>
      <c r="J566" s="47" t="s">
        <v>29</v>
      </c>
    </row>
    <row r="567" ht="54" customHeight="1" spans="1:10">
      <c r="A567" s="48" t="s">
        <v>177</v>
      </c>
      <c r="B567" s="48" t="s">
        <v>1957</v>
      </c>
      <c r="C567" s="47" t="s">
        <v>1245</v>
      </c>
      <c r="D567" s="48" t="s">
        <v>1171</v>
      </c>
      <c r="E567" s="48" t="s">
        <v>1172</v>
      </c>
      <c r="F567" s="48" t="s">
        <v>1246</v>
      </c>
      <c r="G567" s="48" t="s">
        <v>1247</v>
      </c>
      <c r="H567" s="47" t="s">
        <v>1248</v>
      </c>
      <c r="I567" s="47" t="s">
        <v>1176</v>
      </c>
      <c r="J567" s="47" t="s">
        <v>29</v>
      </c>
    </row>
    <row r="568" ht="54" customHeight="1" spans="1:10">
      <c r="A568" s="48" t="s">
        <v>179</v>
      </c>
      <c r="B568" s="48" t="s">
        <v>1958</v>
      </c>
      <c r="C568" s="47" t="s">
        <v>985</v>
      </c>
      <c r="D568" s="48" t="s">
        <v>986</v>
      </c>
      <c r="E568" s="48" t="s">
        <v>987</v>
      </c>
      <c r="F568" s="48" t="s">
        <v>988</v>
      </c>
      <c r="G568" s="48" t="s">
        <v>987</v>
      </c>
      <c r="H568" s="47" t="s">
        <v>989</v>
      </c>
      <c r="I568" s="47" t="s">
        <v>990</v>
      </c>
      <c r="J568" s="47" t="s">
        <v>26</v>
      </c>
    </row>
    <row r="569" ht="54" customHeight="1" spans="1:10">
      <c r="A569" s="48" t="s">
        <v>179</v>
      </c>
      <c r="B569" s="48" t="s">
        <v>1959</v>
      </c>
      <c r="C569" s="47" t="s">
        <v>934</v>
      </c>
      <c r="D569" s="48" t="s">
        <v>935</v>
      </c>
      <c r="E569" s="48" t="s">
        <v>936</v>
      </c>
      <c r="F569" s="48" t="s">
        <v>937</v>
      </c>
      <c r="G569" s="48" t="s">
        <v>938</v>
      </c>
      <c r="H569" s="47" t="s">
        <v>939</v>
      </c>
      <c r="I569" s="47" t="s">
        <v>940</v>
      </c>
      <c r="J569" s="47" t="s">
        <v>26</v>
      </c>
    </row>
    <row r="570" ht="54" customHeight="1" spans="1:10">
      <c r="A570" s="48" t="s">
        <v>179</v>
      </c>
      <c r="B570" s="48" t="s">
        <v>1960</v>
      </c>
      <c r="C570" s="47" t="s">
        <v>1081</v>
      </c>
      <c r="D570" s="48" t="s">
        <v>1082</v>
      </c>
      <c r="E570" s="48" t="s">
        <v>1083</v>
      </c>
      <c r="F570" s="48" t="s">
        <v>1084</v>
      </c>
      <c r="G570" s="48" t="s">
        <v>1085</v>
      </c>
      <c r="H570" s="47" t="s">
        <v>1086</v>
      </c>
      <c r="I570" s="47" t="s">
        <v>1087</v>
      </c>
      <c r="J570" s="47" t="s">
        <v>26</v>
      </c>
    </row>
    <row r="571" ht="54" customHeight="1" spans="1:10">
      <c r="A571" s="48" t="s">
        <v>179</v>
      </c>
      <c r="B571" s="48" t="s">
        <v>1961</v>
      </c>
      <c r="C571" s="47" t="s">
        <v>950</v>
      </c>
      <c r="D571" s="48" t="s">
        <v>935</v>
      </c>
      <c r="E571" s="48" t="s">
        <v>936</v>
      </c>
      <c r="F571" s="48" t="s">
        <v>951</v>
      </c>
      <c r="G571" s="48" t="s">
        <v>952</v>
      </c>
      <c r="H571" s="47" t="s">
        <v>953</v>
      </c>
      <c r="I571" s="47" t="s">
        <v>954</v>
      </c>
      <c r="J571" s="47" t="s">
        <v>26</v>
      </c>
    </row>
    <row r="572" ht="54" customHeight="1" spans="1:10">
      <c r="A572" s="48" t="s">
        <v>179</v>
      </c>
      <c r="B572" s="48" t="s">
        <v>1962</v>
      </c>
      <c r="C572" s="47" t="s">
        <v>1066</v>
      </c>
      <c r="D572" s="48" t="s">
        <v>935</v>
      </c>
      <c r="E572" s="48" t="s">
        <v>936</v>
      </c>
      <c r="F572" s="48" t="s">
        <v>1067</v>
      </c>
      <c r="G572" s="48" t="s">
        <v>1068</v>
      </c>
      <c r="H572" s="47" t="s">
        <v>1069</v>
      </c>
      <c r="I572" s="47" t="s">
        <v>940</v>
      </c>
      <c r="J572" s="47" t="s">
        <v>26</v>
      </c>
    </row>
    <row r="573" ht="54" customHeight="1" spans="1:10">
      <c r="A573" s="48" t="s">
        <v>179</v>
      </c>
      <c r="B573" s="48" t="s">
        <v>1963</v>
      </c>
      <c r="C573" s="47" t="s">
        <v>1285</v>
      </c>
      <c r="D573" s="48" t="s">
        <v>965</v>
      </c>
      <c r="E573" s="48" t="s">
        <v>966</v>
      </c>
      <c r="F573" s="48" t="s">
        <v>1286</v>
      </c>
      <c r="G573" s="48" t="s">
        <v>1287</v>
      </c>
      <c r="H573" s="47" t="s">
        <v>1288</v>
      </c>
      <c r="I573" s="47" t="s">
        <v>1289</v>
      </c>
      <c r="J573" s="47" t="s">
        <v>26</v>
      </c>
    </row>
    <row r="574" ht="54" customHeight="1" spans="1:10">
      <c r="A574" s="48" t="s">
        <v>179</v>
      </c>
      <c r="B574" s="48" t="s">
        <v>1964</v>
      </c>
      <c r="C574" s="47" t="s">
        <v>971</v>
      </c>
      <c r="D574" s="48" t="s">
        <v>965</v>
      </c>
      <c r="E574" s="48" t="s">
        <v>966</v>
      </c>
      <c r="F574" s="48" t="s">
        <v>972</v>
      </c>
      <c r="G574" s="48" t="s">
        <v>973</v>
      </c>
      <c r="H574" s="47" t="s">
        <v>974</v>
      </c>
      <c r="I574" s="47" t="s">
        <v>975</v>
      </c>
      <c r="J574" s="47" t="s">
        <v>26</v>
      </c>
    </row>
    <row r="575" ht="54" customHeight="1" spans="1:10">
      <c r="A575" s="48" t="s">
        <v>179</v>
      </c>
      <c r="B575" s="48" t="s">
        <v>1965</v>
      </c>
      <c r="C575" s="47" t="s">
        <v>1205</v>
      </c>
      <c r="D575" s="48" t="s">
        <v>978</v>
      </c>
      <c r="E575" s="48" t="s">
        <v>979</v>
      </c>
      <c r="F575" s="48" t="s">
        <v>1206</v>
      </c>
      <c r="G575" s="48" t="s">
        <v>1207</v>
      </c>
      <c r="H575" s="47" t="s">
        <v>1208</v>
      </c>
      <c r="I575" s="47" t="s">
        <v>1209</v>
      </c>
      <c r="J575" s="47" t="s">
        <v>26</v>
      </c>
    </row>
    <row r="576" ht="54" customHeight="1" spans="1:10">
      <c r="A576" s="48" t="s">
        <v>181</v>
      </c>
      <c r="B576" s="48" t="s">
        <v>1966</v>
      </c>
      <c r="C576" s="47" t="s">
        <v>1967</v>
      </c>
      <c r="D576" s="48" t="s">
        <v>965</v>
      </c>
      <c r="E576" s="48" t="s">
        <v>966</v>
      </c>
      <c r="F576" s="48" t="s">
        <v>1968</v>
      </c>
      <c r="G576" s="48" t="s">
        <v>1969</v>
      </c>
      <c r="H576" s="47" t="s">
        <v>1970</v>
      </c>
      <c r="I576" s="47" t="s">
        <v>940</v>
      </c>
      <c r="J576" s="47" t="s">
        <v>39</v>
      </c>
    </row>
    <row r="577" ht="54" customHeight="1" spans="1:10">
      <c r="A577" s="48" t="s">
        <v>181</v>
      </c>
      <c r="B577" s="48" t="s">
        <v>1971</v>
      </c>
      <c r="C577" s="47" t="s">
        <v>1226</v>
      </c>
      <c r="D577" s="48" t="s">
        <v>965</v>
      </c>
      <c r="E577" s="48" t="s">
        <v>966</v>
      </c>
      <c r="F577" s="48" t="s">
        <v>1227</v>
      </c>
      <c r="G577" s="48" t="s">
        <v>1228</v>
      </c>
      <c r="H577" s="47" t="s">
        <v>1229</v>
      </c>
      <c r="I577" s="47" t="s">
        <v>940</v>
      </c>
      <c r="J577" s="47" t="s">
        <v>39</v>
      </c>
    </row>
    <row r="578" ht="54" customHeight="1" spans="1:10">
      <c r="A578" s="48" t="s">
        <v>181</v>
      </c>
      <c r="B578" s="48" t="s">
        <v>1972</v>
      </c>
      <c r="C578" s="47" t="s">
        <v>977</v>
      </c>
      <c r="D578" s="48" t="s">
        <v>978</v>
      </c>
      <c r="E578" s="48" t="s">
        <v>979</v>
      </c>
      <c r="F578" s="48" t="s">
        <v>980</v>
      </c>
      <c r="G578" s="48" t="s">
        <v>981</v>
      </c>
      <c r="H578" s="47" t="s">
        <v>982</v>
      </c>
      <c r="I578" s="47" t="s">
        <v>983</v>
      </c>
      <c r="J578" s="47" t="s">
        <v>39</v>
      </c>
    </row>
    <row r="579" ht="54" customHeight="1" spans="1:10">
      <c r="A579" s="48" t="s">
        <v>181</v>
      </c>
      <c r="B579" s="48" t="s">
        <v>1973</v>
      </c>
      <c r="C579" s="47" t="s">
        <v>1205</v>
      </c>
      <c r="D579" s="48" t="s">
        <v>978</v>
      </c>
      <c r="E579" s="48" t="s">
        <v>979</v>
      </c>
      <c r="F579" s="48" t="s">
        <v>1206</v>
      </c>
      <c r="G579" s="48" t="s">
        <v>1207</v>
      </c>
      <c r="H579" s="47" t="s">
        <v>1208</v>
      </c>
      <c r="I579" s="47" t="s">
        <v>1209</v>
      </c>
      <c r="J579" s="47" t="s">
        <v>39</v>
      </c>
    </row>
    <row r="580" ht="54" customHeight="1" spans="1:10">
      <c r="A580" s="48" t="s">
        <v>183</v>
      </c>
      <c r="B580" s="48" t="s">
        <v>1974</v>
      </c>
      <c r="C580" s="47" t="s">
        <v>1975</v>
      </c>
      <c r="D580" s="48" t="s">
        <v>1009</v>
      </c>
      <c r="E580" s="48" t="s">
        <v>1010</v>
      </c>
      <c r="F580" s="48" t="s">
        <v>1976</v>
      </c>
      <c r="G580" s="48" t="s">
        <v>1977</v>
      </c>
      <c r="H580" s="47" t="s">
        <v>1978</v>
      </c>
      <c r="I580" s="47" t="s">
        <v>1979</v>
      </c>
      <c r="J580" s="47" t="s">
        <v>26</v>
      </c>
    </row>
    <row r="581" ht="54" customHeight="1" spans="1:10">
      <c r="A581" s="48" t="s">
        <v>183</v>
      </c>
      <c r="B581" s="48" t="s">
        <v>1980</v>
      </c>
      <c r="C581" s="47" t="s">
        <v>1000</v>
      </c>
      <c r="D581" s="48" t="s">
        <v>1001</v>
      </c>
      <c r="E581" s="48" t="s">
        <v>1002</v>
      </c>
      <c r="F581" s="48" t="s">
        <v>1003</v>
      </c>
      <c r="G581" s="48" t="s">
        <v>1004</v>
      </c>
      <c r="H581" s="47" t="s">
        <v>1005</v>
      </c>
      <c r="I581" s="47" t="s">
        <v>1006</v>
      </c>
      <c r="J581" s="47" t="s">
        <v>26</v>
      </c>
    </row>
    <row r="582" ht="54" customHeight="1" spans="1:10">
      <c r="A582" s="48" t="s">
        <v>183</v>
      </c>
      <c r="B582" s="48" t="s">
        <v>1981</v>
      </c>
      <c r="C582" s="47" t="s">
        <v>1097</v>
      </c>
      <c r="D582" s="48" t="s">
        <v>1098</v>
      </c>
      <c r="E582" s="48" t="s">
        <v>1099</v>
      </c>
      <c r="F582" s="48" t="s">
        <v>1100</v>
      </c>
      <c r="G582" s="48" t="s">
        <v>1101</v>
      </c>
      <c r="H582" s="47" t="s">
        <v>1102</v>
      </c>
      <c r="I582" s="47" t="s">
        <v>1103</v>
      </c>
      <c r="J582" s="47" t="s">
        <v>26</v>
      </c>
    </row>
    <row r="583" ht="54" customHeight="1" spans="1:10">
      <c r="A583" s="48" t="s">
        <v>183</v>
      </c>
      <c r="B583" s="48" t="s">
        <v>1982</v>
      </c>
      <c r="C583" s="47" t="s">
        <v>1111</v>
      </c>
      <c r="D583" s="48" t="s">
        <v>965</v>
      </c>
      <c r="E583" s="48" t="s">
        <v>966</v>
      </c>
      <c r="F583" s="48" t="s">
        <v>1112</v>
      </c>
      <c r="G583" s="48" t="s">
        <v>1113</v>
      </c>
      <c r="H583" s="47" t="s">
        <v>1114</v>
      </c>
      <c r="I583" s="47" t="s">
        <v>1115</v>
      </c>
      <c r="J583" s="47" t="s">
        <v>26</v>
      </c>
    </row>
    <row r="584" ht="54" customHeight="1" spans="1:10">
      <c r="A584" s="48" t="s">
        <v>183</v>
      </c>
      <c r="B584" s="48" t="s">
        <v>1983</v>
      </c>
      <c r="C584" s="47" t="s">
        <v>1164</v>
      </c>
      <c r="D584" s="48" t="s">
        <v>978</v>
      </c>
      <c r="E584" s="48" t="s">
        <v>979</v>
      </c>
      <c r="F584" s="48" t="s">
        <v>1165</v>
      </c>
      <c r="G584" s="48" t="s">
        <v>1166</v>
      </c>
      <c r="H584" s="47" t="s">
        <v>1167</v>
      </c>
      <c r="I584" s="47" t="s">
        <v>1168</v>
      </c>
      <c r="J584" s="47" t="s">
        <v>26</v>
      </c>
    </row>
    <row r="585" ht="54" customHeight="1" spans="1:10">
      <c r="A585" s="48" t="s">
        <v>185</v>
      </c>
      <c r="B585" s="48" t="s">
        <v>1984</v>
      </c>
      <c r="C585" s="47" t="s">
        <v>1008</v>
      </c>
      <c r="D585" s="48" t="s">
        <v>1009</v>
      </c>
      <c r="E585" s="48" t="s">
        <v>1010</v>
      </c>
      <c r="F585" s="48" t="s">
        <v>1011</v>
      </c>
      <c r="G585" s="48" t="s">
        <v>1012</v>
      </c>
      <c r="H585" s="47" t="s">
        <v>1013</v>
      </c>
      <c r="I585" s="47" t="s">
        <v>1014</v>
      </c>
      <c r="J585" s="47" t="s">
        <v>26</v>
      </c>
    </row>
    <row r="586" ht="54" customHeight="1" spans="1:10">
      <c r="A586" s="48" t="s">
        <v>185</v>
      </c>
      <c r="B586" s="48" t="s">
        <v>1985</v>
      </c>
      <c r="C586" s="47" t="s">
        <v>1022</v>
      </c>
      <c r="D586" s="48" t="s">
        <v>957</v>
      </c>
      <c r="E586" s="48" t="s">
        <v>958</v>
      </c>
      <c r="F586" s="48" t="s">
        <v>1023</v>
      </c>
      <c r="G586" s="48" t="s">
        <v>1024</v>
      </c>
      <c r="H586" s="47" t="s">
        <v>1025</v>
      </c>
      <c r="I586" s="47" t="s">
        <v>1026</v>
      </c>
      <c r="J586" s="47" t="s">
        <v>26</v>
      </c>
    </row>
    <row r="587" ht="54" customHeight="1" spans="1:10">
      <c r="A587" s="48" t="s">
        <v>185</v>
      </c>
      <c r="B587" s="48" t="s">
        <v>1986</v>
      </c>
      <c r="C587" s="47" t="s">
        <v>956</v>
      </c>
      <c r="D587" s="48" t="s">
        <v>957</v>
      </c>
      <c r="E587" s="48" t="s">
        <v>958</v>
      </c>
      <c r="F587" s="48" t="s">
        <v>959</v>
      </c>
      <c r="G587" s="48" t="s">
        <v>960</v>
      </c>
      <c r="H587" s="47" t="s">
        <v>961</v>
      </c>
      <c r="I587" s="47" t="s">
        <v>962</v>
      </c>
      <c r="J587" s="47" t="s">
        <v>26</v>
      </c>
    </row>
    <row r="588" ht="54" customHeight="1" spans="1:10">
      <c r="A588" s="48" t="s">
        <v>185</v>
      </c>
      <c r="B588" s="48" t="s">
        <v>1987</v>
      </c>
      <c r="C588" s="47" t="s">
        <v>1297</v>
      </c>
      <c r="D588" s="48" t="s">
        <v>1009</v>
      </c>
      <c r="E588" s="48" t="s">
        <v>1010</v>
      </c>
      <c r="F588" s="48" t="s">
        <v>1298</v>
      </c>
      <c r="G588" s="48" t="s">
        <v>1299</v>
      </c>
      <c r="H588" s="47" t="s">
        <v>1300</v>
      </c>
      <c r="I588" s="47" t="s">
        <v>1301</v>
      </c>
      <c r="J588" s="47" t="s">
        <v>26</v>
      </c>
    </row>
    <row r="589" ht="54" customHeight="1" spans="1:10">
      <c r="A589" s="48" t="s">
        <v>185</v>
      </c>
      <c r="B589" s="48" t="s">
        <v>1988</v>
      </c>
      <c r="C589" s="47" t="s">
        <v>1066</v>
      </c>
      <c r="D589" s="48" t="s">
        <v>935</v>
      </c>
      <c r="E589" s="48" t="s">
        <v>936</v>
      </c>
      <c r="F589" s="48" t="s">
        <v>1067</v>
      </c>
      <c r="G589" s="48" t="s">
        <v>1068</v>
      </c>
      <c r="H589" s="47" t="s">
        <v>1069</v>
      </c>
      <c r="I589" s="47" t="s">
        <v>940</v>
      </c>
      <c r="J589" s="47" t="s">
        <v>26</v>
      </c>
    </row>
    <row r="590" ht="54" customHeight="1" spans="1:10">
      <c r="A590" s="48" t="s">
        <v>185</v>
      </c>
      <c r="B590" s="48" t="s">
        <v>1989</v>
      </c>
      <c r="C590" s="47" t="s">
        <v>1285</v>
      </c>
      <c r="D590" s="48" t="s">
        <v>965</v>
      </c>
      <c r="E590" s="48" t="s">
        <v>966</v>
      </c>
      <c r="F590" s="48" t="s">
        <v>1286</v>
      </c>
      <c r="G590" s="48" t="s">
        <v>1287</v>
      </c>
      <c r="H590" s="47" t="s">
        <v>1288</v>
      </c>
      <c r="I590" s="47" t="s">
        <v>1289</v>
      </c>
      <c r="J590" s="47" t="s">
        <v>26</v>
      </c>
    </row>
    <row r="591" ht="54" customHeight="1" spans="1:10">
      <c r="A591" s="48" t="s">
        <v>185</v>
      </c>
      <c r="B591" s="48" t="s">
        <v>1990</v>
      </c>
      <c r="C591" s="47" t="s">
        <v>1137</v>
      </c>
      <c r="D591" s="48" t="s">
        <v>1138</v>
      </c>
      <c r="E591" s="48" t="s">
        <v>1139</v>
      </c>
      <c r="F591" s="48" t="s">
        <v>1140</v>
      </c>
      <c r="G591" s="48" t="s">
        <v>1141</v>
      </c>
      <c r="H591" s="47" t="s">
        <v>1142</v>
      </c>
      <c r="I591" s="47" t="s">
        <v>940</v>
      </c>
      <c r="J591" s="47" t="s">
        <v>26</v>
      </c>
    </row>
    <row r="592" ht="54" customHeight="1" spans="1:10">
      <c r="A592" s="48" t="s">
        <v>185</v>
      </c>
      <c r="B592" s="48" t="s">
        <v>1991</v>
      </c>
      <c r="C592" s="47" t="s">
        <v>971</v>
      </c>
      <c r="D592" s="48" t="s">
        <v>965</v>
      </c>
      <c r="E592" s="48" t="s">
        <v>966</v>
      </c>
      <c r="F592" s="48" t="s">
        <v>972</v>
      </c>
      <c r="G592" s="48" t="s">
        <v>973</v>
      </c>
      <c r="H592" s="47" t="s">
        <v>974</v>
      </c>
      <c r="I592" s="47" t="s">
        <v>975</v>
      </c>
      <c r="J592" s="47" t="s">
        <v>26</v>
      </c>
    </row>
    <row r="593" ht="54" customHeight="1" spans="1:10">
      <c r="A593" s="48" t="s">
        <v>187</v>
      </c>
      <c r="B593" s="48" t="s">
        <v>1992</v>
      </c>
      <c r="C593" s="47" t="s">
        <v>934</v>
      </c>
      <c r="D593" s="48" t="s">
        <v>935</v>
      </c>
      <c r="E593" s="48" t="s">
        <v>936</v>
      </c>
      <c r="F593" s="48" t="s">
        <v>937</v>
      </c>
      <c r="G593" s="48" t="s">
        <v>938</v>
      </c>
      <c r="H593" s="47" t="s">
        <v>939</v>
      </c>
      <c r="I593" s="47" t="s">
        <v>940</v>
      </c>
      <c r="J593" s="47" t="s">
        <v>26</v>
      </c>
    </row>
    <row r="594" ht="54" customHeight="1" spans="1:10">
      <c r="A594" s="48" t="s">
        <v>187</v>
      </c>
      <c r="B594" s="48" t="s">
        <v>1993</v>
      </c>
      <c r="C594" s="47" t="s">
        <v>1767</v>
      </c>
      <c r="D594" s="48" t="s">
        <v>957</v>
      </c>
      <c r="E594" s="48" t="s">
        <v>958</v>
      </c>
      <c r="F594" s="48" t="s">
        <v>1768</v>
      </c>
      <c r="G594" s="48" t="s">
        <v>1769</v>
      </c>
      <c r="H594" s="47" t="s">
        <v>1770</v>
      </c>
      <c r="I594" s="47" t="s">
        <v>1771</v>
      </c>
      <c r="J594" s="47" t="s">
        <v>26</v>
      </c>
    </row>
    <row r="595" ht="54" customHeight="1" spans="1:10">
      <c r="A595" s="48" t="s">
        <v>187</v>
      </c>
      <c r="B595" s="48" t="s">
        <v>1994</v>
      </c>
      <c r="C595" s="47" t="s">
        <v>1285</v>
      </c>
      <c r="D595" s="48" t="s">
        <v>965</v>
      </c>
      <c r="E595" s="48" t="s">
        <v>966</v>
      </c>
      <c r="F595" s="48" t="s">
        <v>1286</v>
      </c>
      <c r="G595" s="48" t="s">
        <v>1287</v>
      </c>
      <c r="H595" s="47" t="s">
        <v>1288</v>
      </c>
      <c r="I595" s="47" t="s">
        <v>1289</v>
      </c>
      <c r="J595" s="47" t="s">
        <v>26</v>
      </c>
    </row>
    <row r="596" ht="54" customHeight="1" spans="1:10">
      <c r="A596" s="48" t="s">
        <v>187</v>
      </c>
      <c r="B596" s="48" t="s">
        <v>1995</v>
      </c>
      <c r="C596" s="47" t="s">
        <v>971</v>
      </c>
      <c r="D596" s="48" t="s">
        <v>965</v>
      </c>
      <c r="E596" s="48" t="s">
        <v>966</v>
      </c>
      <c r="F596" s="48" t="s">
        <v>972</v>
      </c>
      <c r="G596" s="48" t="s">
        <v>973</v>
      </c>
      <c r="H596" s="47" t="s">
        <v>974</v>
      </c>
      <c r="I596" s="47" t="s">
        <v>975</v>
      </c>
      <c r="J596" s="47" t="s">
        <v>26</v>
      </c>
    </row>
    <row r="597" ht="54" customHeight="1" spans="1:10">
      <c r="A597" s="48" t="s">
        <v>189</v>
      </c>
      <c r="B597" s="48" t="s">
        <v>1996</v>
      </c>
      <c r="C597" s="47" t="s">
        <v>934</v>
      </c>
      <c r="D597" s="48" t="s">
        <v>935</v>
      </c>
      <c r="E597" s="48" t="s">
        <v>936</v>
      </c>
      <c r="F597" s="48" t="s">
        <v>937</v>
      </c>
      <c r="G597" s="48" t="s">
        <v>938</v>
      </c>
      <c r="H597" s="47" t="s">
        <v>939</v>
      </c>
      <c r="I597" s="47" t="s">
        <v>940</v>
      </c>
      <c r="J597" s="47" t="s">
        <v>26</v>
      </c>
    </row>
    <row r="598" ht="54" customHeight="1" spans="1:10">
      <c r="A598" s="48" t="s">
        <v>189</v>
      </c>
      <c r="B598" s="48" t="s">
        <v>1997</v>
      </c>
      <c r="C598" s="47" t="s">
        <v>942</v>
      </c>
      <c r="D598" s="48" t="s">
        <v>943</v>
      </c>
      <c r="E598" s="48" t="s">
        <v>944</v>
      </c>
      <c r="F598" s="48" t="s">
        <v>945</v>
      </c>
      <c r="G598" s="48" t="s">
        <v>946</v>
      </c>
      <c r="H598" s="47" t="s">
        <v>947</v>
      </c>
      <c r="I598" s="47" t="s">
        <v>948</v>
      </c>
      <c r="J598" s="47" t="s">
        <v>26</v>
      </c>
    </row>
    <row r="599" ht="54" customHeight="1" spans="1:10">
      <c r="A599" s="48" t="s">
        <v>189</v>
      </c>
      <c r="B599" s="48" t="s">
        <v>1998</v>
      </c>
      <c r="C599" s="47" t="s">
        <v>950</v>
      </c>
      <c r="D599" s="48" t="s">
        <v>935</v>
      </c>
      <c r="E599" s="48" t="s">
        <v>936</v>
      </c>
      <c r="F599" s="48" t="s">
        <v>951</v>
      </c>
      <c r="G599" s="48" t="s">
        <v>952</v>
      </c>
      <c r="H599" s="47" t="s">
        <v>953</v>
      </c>
      <c r="I599" s="47" t="s">
        <v>954</v>
      </c>
      <c r="J599" s="47" t="s">
        <v>26</v>
      </c>
    </row>
    <row r="600" ht="54" customHeight="1" spans="1:10">
      <c r="A600" s="48" t="s">
        <v>189</v>
      </c>
      <c r="B600" s="48" t="s">
        <v>1999</v>
      </c>
      <c r="C600" s="47" t="s">
        <v>971</v>
      </c>
      <c r="D600" s="48" t="s">
        <v>965</v>
      </c>
      <c r="E600" s="48" t="s">
        <v>966</v>
      </c>
      <c r="F600" s="48" t="s">
        <v>972</v>
      </c>
      <c r="G600" s="48" t="s">
        <v>973</v>
      </c>
      <c r="H600" s="47" t="s">
        <v>974</v>
      </c>
      <c r="I600" s="47" t="s">
        <v>975</v>
      </c>
      <c r="J600" s="47" t="s">
        <v>26</v>
      </c>
    </row>
    <row r="601" ht="54" customHeight="1" spans="1:10">
      <c r="A601" s="48" t="s">
        <v>189</v>
      </c>
      <c r="B601" s="48" t="s">
        <v>2000</v>
      </c>
      <c r="C601" s="47" t="s">
        <v>1216</v>
      </c>
      <c r="D601" s="48" t="s">
        <v>993</v>
      </c>
      <c r="E601" s="48" t="s">
        <v>994</v>
      </c>
      <c r="F601" s="48" t="s">
        <v>1217</v>
      </c>
      <c r="G601" s="48" t="s">
        <v>1218</v>
      </c>
      <c r="H601" s="47" t="s">
        <v>1219</v>
      </c>
      <c r="I601" s="47" t="s">
        <v>1220</v>
      </c>
      <c r="J601" s="47" t="s">
        <v>26</v>
      </c>
    </row>
    <row r="602" ht="54" customHeight="1" spans="1:10">
      <c r="A602" s="48" t="s">
        <v>189</v>
      </c>
      <c r="B602" s="48" t="s">
        <v>2001</v>
      </c>
      <c r="C602" s="47" t="s">
        <v>1170</v>
      </c>
      <c r="D602" s="48" t="s">
        <v>1171</v>
      </c>
      <c r="E602" s="48" t="s">
        <v>1172</v>
      </c>
      <c r="F602" s="48" t="s">
        <v>1173</v>
      </c>
      <c r="G602" s="48" t="s">
        <v>1174</v>
      </c>
      <c r="H602" s="47" t="s">
        <v>1175</v>
      </c>
      <c r="I602" s="47" t="s">
        <v>1176</v>
      </c>
      <c r="J602" s="47" t="s">
        <v>26</v>
      </c>
    </row>
    <row r="603" ht="54" customHeight="1" spans="1:10">
      <c r="A603" s="48" t="s">
        <v>191</v>
      </c>
      <c r="B603" s="48" t="s">
        <v>2002</v>
      </c>
      <c r="C603" s="47" t="s">
        <v>1362</v>
      </c>
      <c r="D603" s="48" t="s">
        <v>1059</v>
      </c>
      <c r="E603" s="48" t="s">
        <v>1060</v>
      </c>
      <c r="F603" s="48" t="s">
        <v>1363</v>
      </c>
      <c r="G603" s="48" t="s">
        <v>1364</v>
      </c>
      <c r="H603" s="47" t="s">
        <v>1365</v>
      </c>
      <c r="I603" s="47" t="s">
        <v>1366</v>
      </c>
      <c r="J603" s="47" t="s">
        <v>26</v>
      </c>
    </row>
    <row r="604" ht="54" customHeight="1" spans="1:10">
      <c r="A604" s="48" t="s">
        <v>191</v>
      </c>
      <c r="B604" s="48" t="s">
        <v>2003</v>
      </c>
      <c r="C604" s="47" t="s">
        <v>2004</v>
      </c>
      <c r="D604" s="48" t="s">
        <v>1171</v>
      </c>
      <c r="E604" s="48" t="s">
        <v>1172</v>
      </c>
      <c r="F604" s="48" t="s">
        <v>2005</v>
      </c>
      <c r="G604" s="48" t="s">
        <v>2006</v>
      </c>
      <c r="H604" s="47" t="s">
        <v>2007</v>
      </c>
      <c r="I604" s="47" t="s">
        <v>1176</v>
      </c>
      <c r="J604" s="47" t="s">
        <v>26</v>
      </c>
    </row>
    <row r="605" ht="54" customHeight="1" spans="1:10">
      <c r="A605" s="48" t="s">
        <v>193</v>
      </c>
      <c r="B605" s="48" t="s">
        <v>2008</v>
      </c>
      <c r="C605" s="47" t="s">
        <v>1480</v>
      </c>
      <c r="D605" s="48" t="s">
        <v>1001</v>
      </c>
      <c r="E605" s="48" t="s">
        <v>1002</v>
      </c>
      <c r="F605" s="48" t="s">
        <v>1481</v>
      </c>
      <c r="G605" s="48" t="s">
        <v>1482</v>
      </c>
      <c r="H605" s="47" t="s">
        <v>1483</v>
      </c>
      <c r="I605" s="47" t="s">
        <v>1484</v>
      </c>
      <c r="J605" s="47" t="s">
        <v>26</v>
      </c>
    </row>
    <row r="606" ht="54" customHeight="1" spans="1:10">
      <c r="A606" s="48" t="s">
        <v>193</v>
      </c>
      <c r="B606" s="48" t="s">
        <v>2009</v>
      </c>
      <c r="C606" s="47" t="s">
        <v>1666</v>
      </c>
      <c r="D606" s="48" t="s">
        <v>1082</v>
      </c>
      <c r="E606" s="48" t="s">
        <v>1083</v>
      </c>
      <c r="F606" s="48" t="s">
        <v>1667</v>
      </c>
      <c r="G606" s="48" t="s">
        <v>1668</v>
      </c>
      <c r="H606" s="47" t="s">
        <v>1669</v>
      </c>
      <c r="I606" s="47" t="s">
        <v>1670</v>
      </c>
      <c r="J606" s="47" t="s">
        <v>26</v>
      </c>
    </row>
    <row r="607" ht="54" customHeight="1" spans="1:10">
      <c r="A607" s="48" t="s">
        <v>193</v>
      </c>
      <c r="B607" s="48" t="s">
        <v>2010</v>
      </c>
      <c r="C607" s="47" t="s">
        <v>1066</v>
      </c>
      <c r="D607" s="48" t="s">
        <v>935</v>
      </c>
      <c r="E607" s="48" t="s">
        <v>936</v>
      </c>
      <c r="F607" s="48" t="s">
        <v>1067</v>
      </c>
      <c r="G607" s="48" t="s">
        <v>1068</v>
      </c>
      <c r="H607" s="47" t="s">
        <v>1069</v>
      </c>
      <c r="I607" s="47" t="s">
        <v>940</v>
      </c>
      <c r="J607" s="47" t="s">
        <v>26</v>
      </c>
    </row>
    <row r="608" ht="54" customHeight="1" spans="1:10">
      <c r="A608" s="48" t="s">
        <v>193</v>
      </c>
      <c r="B608" s="48" t="s">
        <v>2011</v>
      </c>
      <c r="C608" s="47" t="s">
        <v>1285</v>
      </c>
      <c r="D608" s="48" t="s">
        <v>965</v>
      </c>
      <c r="E608" s="48" t="s">
        <v>966</v>
      </c>
      <c r="F608" s="48" t="s">
        <v>1286</v>
      </c>
      <c r="G608" s="48" t="s">
        <v>1287</v>
      </c>
      <c r="H608" s="47" t="s">
        <v>1288</v>
      </c>
      <c r="I608" s="47" t="s">
        <v>1289</v>
      </c>
      <c r="J608" s="47" t="s">
        <v>26</v>
      </c>
    </row>
    <row r="609" ht="54" customHeight="1" spans="1:10">
      <c r="A609" s="48" t="s">
        <v>193</v>
      </c>
      <c r="B609" s="48" t="s">
        <v>2012</v>
      </c>
      <c r="C609" s="47" t="s">
        <v>1137</v>
      </c>
      <c r="D609" s="48" t="s">
        <v>1138</v>
      </c>
      <c r="E609" s="48" t="s">
        <v>1139</v>
      </c>
      <c r="F609" s="48" t="s">
        <v>1140</v>
      </c>
      <c r="G609" s="48" t="s">
        <v>1141</v>
      </c>
      <c r="H609" s="47" t="s">
        <v>1142</v>
      </c>
      <c r="I609" s="47" t="s">
        <v>940</v>
      </c>
      <c r="J609" s="47" t="s">
        <v>26</v>
      </c>
    </row>
    <row r="610" ht="54" customHeight="1" spans="1:10">
      <c r="A610" s="48" t="s">
        <v>193</v>
      </c>
      <c r="B610" s="48" t="s">
        <v>2013</v>
      </c>
      <c r="C610" s="47" t="s">
        <v>1291</v>
      </c>
      <c r="D610" s="48" t="s">
        <v>965</v>
      </c>
      <c r="E610" s="48" t="s">
        <v>966</v>
      </c>
      <c r="F610" s="48" t="s">
        <v>1292</v>
      </c>
      <c r="G610" s="48" t="s">
        <v>1293</v>
      </c>
      <c r="H610" s="47" t="s">
        <v>1294</v>
      </c>
      <c r="I610" s="47" t="s">
        <v>1295</v>
      </c>
      <c r="J610" s="47" t="s">
        <v>26</v>
      </c>
    </row>
    <row r="611" ht="54" customHeight="1" spans="1:10">
      <c r="A611" s="48" t="s">
        <v>193</v>
      </c>
      <c r="B611" s="48" t="s">
        <v>2014</v>
      </c>
      <c r="C611" s="47" t="s">
        <v>977</v>
      </c>
      <c r="D611" s="48" t="s">
        <v>978</v>
      </c>
      <c r="E611" s="48" t="s">
        <v>979</v>
      </c>
      <c r="F611" s="48" t="s">
        <v>980</v>
      </c>
      <c r="G611" s="48" t="s">
        <v>981</v>
      </c>
      <c r="H611" s="47" t="s">
        <v>982</v>
      </c>
      <c r="I611" s="47" t="s">
        <v>983</v>
      </c>
      <c r="J611" s="47" t="s">
        <v>26</v>
      </c>
    </row>
    <row r="612" ht="54" customHeight="1" spans="1:10">
      <c r="A612" s="48" t="s">
        <v>193</v>
      </c>
      <c r="B612" s="48" t="s">
        <v>2015</v>
      </c>
      <c r="C612" s="47" t="s">
        <v>1313</v>
      </c>
      <c r="D612" s="48" t="s">
        <v>1037</v>
      </c>
      <c r="E612" s="48" t="s">
        <v>1038</v>
      </c>
      <c r="F612" s="48" t="s">
        <v>1314</v>
      </c>
      <c r="G612" s="48" t="s">
        <v>1315</v>
      </c>
      <c r="H612" s="47" t="s">
        <v>1316</v>
      </c>
      <c r="I612" s="47" t="s">
        <v>1317</v>
      </c>
      <c r="J612" s="47" t="s">
        <v>26</v>
      </c>
    </row>
    <row r="613" ht="54" customHeight="1" spans="1:10">
      <c r="A613" s="48" t="s">
        <v>193</v>
      </c>
      <c r="B613" s="48" t="s">
        <v>2016</v>
      </c>
      <c r="C613" s="47" t="s">
        <v>1170</v>
      </c>
      <c r="D613" s="48" t="s">
        <v>1171</v>
      </c>
      <c r="E613" s="48" t="s">
        <v>1172</v>
      </c>
      <c r="F613" s="48" t="s">
        <v>1173</v>
      </c>
      <c r="G613" s="48" t="s">
        <v>1174</v>
      </c>
      <c r="H613" s="47" t="s">
        <v>1175</v>
      </c>
      <c r="I613" s="47" t="s">
        <v>1176</v>
      </c>
      <c r="J613" s="47" t="s">
        <v>26</v>
      </c>
    </row>
    <row r="614" ht="54" customHeight="1" spans="1:10">
      <c r="A614" s="48" t="s">
        <v>195</v>
      </c>
      <c r="B614" s="48" t="s">
        <v>2017</v>
      </c>
      <c r="C614" s="47" t="s">
        <v>1534</v>
      </c>
      <c r="D614" s="48" t="s">
        <v>935</v>
      </c>
      <c r="E614" s="48" t="s">
        <v>936</v>
      </c>
      <c r="F614" s="48" t="s">
        <v>1535</v>
      </c>
      <c r="G614" s="48" t="s">
        <v>1536</v>
      </c>
      <c r="H614" s="47" t="s">
        <v>1537</v>
      </c>
      <c r="I614" s="47" t="s">
        <v>940</v>
      </c>
      <c r="J614" s="47" t="s">
        <v>26</v>
      </c>
    </row>
    <row r="615" ht="54" customHeight="1" spans="1:10">
      <c r="A615" s="48" t="s">
        <v>195</v>
      </c>
      <c r="B615" s="48" t="s">
        <v>2018</v>
      </c>
      <c r="C615" s="47" t="s">
        <v>1022</v>
      </c>
      <c r="D615" s="48" t="s">
        <v>957</v>
      </c>
      <c r="E615" s="48" t="s">
        <v>958</v>
      </c>
      <c r="F615" s="48" t="s">
        <v>1023</v>
      </c>
      <c r="G615" s="48" t="s">
        <v>1024</v>
      </c>
      <c r="H615" s="47" t="s">
        <v>1025</v>
      </c>
      <c r="I615" s="47" t="s">
        <v>1026</v>
      </c>
      <c r="J615" s="47" t="s">
        <v>26</v>
      </c>
    </row>
    <row r="616" ht="54" customHeight="1" spans="1:10">
      <c r="A616" s="48" t="s">
        <v>195</v>
      </c>
      <c r="B616" s="48" t="s">
        <v>2019</v>
      </c>
      <c r="C616" s="47" t="s">
        <v>1089</v>
      </c>
      <c r="D616" s="48" t="s">
        <v>957</v>
      </c>
      <c r="E616" s="48" t="s">
        <v>958</v>
      </c>
      <c r="F616" s="48" t="s">
        <v>1090</v>
      </c>
      <c r="G616" s="48" t="s">
        <v>1091</v>
      </c>
      <c r="H616" s="47" t="s">
        <v>1092</v>
      </c>
      <c r="I616" s="47" t="s">
        <v>1093</v>
      </c>
      <c r="J616" s="47" t="s">
        <v>26</v>
      </c>
    </row>
    <row r="617" ht="54" customHeight="1" spans="1:10">
      <c r="A617" s="48" t="s">
        <v>195</v>
      </c>
      <c r="B617" s="48" t="s">
        <v>2020</v>
      </c>
      <c r="C617" s="47" t="s">
        <v>956</v>
      </c>
      <c r="D617" s="48" t="s">
        <v>957</v>
      </c>
      <c r="E617" s="48" t="s">
        <v>958</v>
      </c>
      <c r="F617" s="48" t="s">
        <v>959</v>
      </c>
      <c r="G617" s="48" t="s">
        <v>960</v>
      </c>
      <c r="H617" s="47" t="s">
        <v>961</v>
      </c>
      <c r="I617" s="47" t="s">
        <v>962</v>
      </c>
      <c r="J617" s="47" t="s">
        <v>26</v>
      </c>
    </row>
    <row r="618" ht="54" customHeight="1" spans="1:10">
      <c r="A618" s="48" t="s">
        <v>195</v>
      </c>
      <c r="B618" s="48" t="s">
        <v>2021</v>
      </c>
      <c r="C618" s="47" t="s">
        <v>1105</v>
      </c>
      <c r="D618" s="48" t="s">
        <v>1009</v>
      </c>
      <c r="E618" s="48" t="s">
        <v>1010</v>
      </c>
      <c r="F618" s="48" t="s">
        <v>1106</v>
      </c>
      <c r="G618" s="48" t="s">
        <v>1107</v>
      </c>
      <c r="H618" s="47" t="s">
        <v>1108</v>
      </c>
      <c r="I618" s="47" t="s">
        <v>1109</v>
      </c>
      <c r="J618" s="47" t="s">
        <v>26</v>
      </c>
    </row>
    <row r="619" ht="54" customHeight="1" spans="1:10">
      <c r="A619" s="48" t="s">
        <v>195</v>
      </c>
      <c r="B619" s="48" t="s">
        <v>2022</v>
      </c>
      <c r="C619" s="47" t="s">
        <v>1767</v>
      </c>
      <c r="D619" s="48" t="s">
        <v>957</v>
      </c>
      <c r="E619" s="48" t="s">
        <v>958</v>
      </c>
      <c r="F619" s="48" t="s">
        <v>1768</v>
      </c>
      <c r="G619" s="48" t="s">
        <v>1769</v>
      </c>
      <c r="H619" s="47" t="s">
        <v>1770</v>
      </c>
      <c r="I619" s="47" t="s">
        <v>1771</v>
      </c>
      <c r="J619" s="47" t="s">
        <v>26</v>
      </c>
    </row>
    <row r="620" ht="54" customHeight="1" spans="1:10">
      <c r="A620" s="48" t="s">
        <v>195</v>
      </c>
      <c r="B620" s="48" t="s">
        <v>2023</v>
      </c>
      <c r="C620" s="47" t="s">
        <v>1052</v>
      </c>
      <c r="D620" s="48" t="s">
        <v>1009</v>
      </c>
      <c r="E620" s="48" t="s">
        <v>1010</v>
      </c>
      <c r="F620" s="48" t="s">
        <v>1053</v>
      </c>
      <c r="G620" s="48" t="s">
        <v>1054</v>
      </c>
      <c r="H620" s="47" t="s">
        <v>1055</v>
      </c>
      <c r="I620" s="47" t="s">
        <v>1056</v>
      </c>
      <c r="J620" s="47" t="s">
        <v>26</v>
      </c>
    </row>
    <row r="621" ht="54" customHeight="1" spans="1:10">
      <c r="A621" s="48" t="s">
        <v>195</v>
      </c>
      <c r="B621" s="48" t="s">
        <v>2024</v>
      </c>
      <c r="C621" s="47" t="s">
        <v>1666</v>
      </c>
      <c r="D621" s="48" t="s">
        <v>1082</v>
      </c>
      <c r="E621" s="48" t="s">
        <v>1083</v>
      </c>
      <c r="F621" s="48" t="s">
        <v>1667</v>
      </c>
      <c r="G621" s="48" t="s">
        <v>1668</v>
      </c>
      <c r="H621" s="47" t="s">
        <v>1669</v>
      </c>
      <c r="I621" s="47" t="s">
        <v>1670</v>
      </c>
      <c r="J621" s="47" t="s">
        <v>26</v>
      </c>
    </row>
    <row r="622" ht="54" customHeight="1" spans="1:10">
      <c r="A622" s="48" t="s">
        <v>195</v>
      </c>
      <c r="B622" s="48" t="s">
        <v>2025</v>
      </c>
      <c r="C622" s="47" t="s">
        <v>1066</v>
      </c>
      <c r="D622" s="48" t="s">
        <v>935</v>
      </c>
      <c r="E622" s="48" t="s">
        <v>936</v>
      </c>
      <c r="F622" s="48" t="s">
        <v>1067</v>
      </c>
      <c r="G622" s="48" t="s">
        <v>1068</v>
      </c>
      <c r="H622" s="47" t="s">
        <v>1069</v>
      </c>
      <c r="I622" s="47" t="s">
        <v>940</v>
      </c>
      <c r="J622" s="47" t="s">
        <v>26</v>
      </c>
    </row>
    <row r="623" ht="54" customHeight="1" spans="1:10">
      <c r="A623" s="48" t="s">
        <v>195</v>
      </c>
      <c r="B623" s="48" t="s">
        <v>2026</v>
      </c>
      <c r="C623" s="47" t="s">
        <v>1545</v>
      </c>
      <c r="D623" s="48" t="s">
        <v>1138</v>
      </c>
      <c r="E623" s="48" t="s">
        <v>1139</v>
      </c>
      <c r="F623" s="48" t="s">
        <v>1546</v>
      </c>
      <c r="G623" s="48" t="s">
        <v>1547</v>
      </c>
      <c r="H623" s="47" t="s">
        <v>1548</v>
      </c>
      <c r="I623" s="47" t="s">
        <v>940</v>
      </c>
      <c r="J623" s="47" t="s">
        <v>26</v>
      </c>
    </row>
    <row r="624" ht="54" customHeight="1" spans="1:10">
      <c r="A624" s="48" t="s">
        <v>197</v>
      </c>
      <c r="B624" s="48" t="s">
        <v>2027</v>
      </c>
      <c r="C624" s="47" t="s">
        <v>1008</v>
      </c>
      <c r="D624" s="48" t="s">
        <v>1009</v>
      </c>
      <c r="E624" s="48" t="s">
        <v>1010</v>
      </c>
      <c r="F624" s="48" t="s">
        <v>1011</v>
      </c>
      <c r="G624" s="48" t="s">
        <v>1012</v>
      </c>
      <c r="H624" s="47" t="s">
        <v>1013</v>
      </c>
      <c r="I624" s="47" t="s">
        <v>1014</v>
      </c>
      <c r="J624" s="47" t="s">
        <v>26</v>
      </c>
    </row>
    <row r="625" ht="54" customHeight="1" spans="1:10">
      <c r="A625" s="48" t="s">
        <v>197</v>
      </c>
      <c r="B625" s="48" t="s">
        <v>2028</v>
      </c>
      <c r="C625" s="47" t="s">
        <v>1105</v>
      </c>
      <c r="D625" s="48" t="s">
        <v>1009</v>
      </c>
      <c r="E625" s="48" t="s">
        <v>1010</v>
      </c>
      <c r="F625" s="48" t="s">
        <v>1106</v>
      </c>
      <c r="G625" s="48" t="s">
        <v>1107</v>
      </c>
      <c r="H625" s="47" t="s">
        <v>1108</v>
      </c>
      <c r="I625" s="47" t="s">
        <v>1109</v>
      </c>
      <c r="J625" s="47" t="s">
        <v>26</v>
      </c>
    </row>
    <row r="626" ht="54" customHeight="1" spans="1:10">
      <c r="A626" s="48" t="s">
        <v>197</v>
      </c>
      <c r="B626" s="48" t="s">
        <v>2029</v>
      </c>
      <c r="C626" s="47" t="s">
        <v>1589</v>
      </c>
      <c r="D626" s="48" t="s">
        <v>943</v>
      </c>
      <c r="E626" s="48" t="s">
        <v>944</v>
      </c>
      <c r="F626" s="48" t="s">
        <v>1590</v>
      </c>
      <c r="G626" s="48" t="s">
        <v>1591</v>
      </c>
      <c r="H626" s="47" t="s">
        <v>1592</v>
      </c>
      <c r="I626" s="47" t="s">
        <v>1593</v>
      </c>
      <c r="J626" s="47" t="s">
        <v>26</v>
      </c>
    </row>
    <row r="627" ht="54" customHeight="1" spans="1:10">
      <c r="A627" s="48" t="s">
        <v>197</v>
      </c>
      <c r="B627" s="48" t="s">
        <v>2030</v>
      </c>
      <c r="C627" s="47" t="s">
        <v>1285</v>
      </c>
      <c r="D627" s="48" t="s">
        <v>965</v>
      </c>
      <c r="E627" s="48" t="s">
        <v>966</v>
      </c>
      <c r="F627" s="48" t="s">
        <v>1286</v>
      </c>
      <c r="G627" s="48" t="s">
        <v>1287</v>
      </c>
      <c r="H627" s="47" t="s">
        <v>1288</v>
      </c>
      <c r="I627" s="47" t="s">
        <v>1289</v>
      </c>
      <c r="J627" s="47" t="s">
        <v>26</v>
      </c>
    </row>
    <row r="628" ht="54" customHeight="1" spans="1:10">
      <c r="A628" s="48" t="s">
        <v>197</v>
      </c>
      <c r="B628" s="48" t="s">
        <v>2031</v>
      </c>
      <c r="C628" s="47" t="s">
        <v>1137</v>
      </c>
      <c r="D628" s="48" t="s">
        <v>1138</v>
      </c>
      <c r="E628" s="48" t="s">
        <v>1139</v>
      </c>
      <c r="F628" s="48" t="s">
        <v>1140</v>
      </c>
      <c r="G628" s="48" t="s">
        <v>1141</v>
      </c>
      <c r="H628" s="47" t="s">
        <v>1142</v>
      </c>
      <c r="I628" s="47" t="s">
        <v>940</v>
      </c>
      <c r="J628" s="47" t="s">
        <v>26</v>
      </c>
    </row>
    <row r="629" ht="54" customHeight="1" spans="1:10">
      <c r="A629" s="48" t="s">
        <v>197</v>
      </c>
      <c r="B629" s="48" t="s">
        <v>2032</v>
      </c>
      <c r="C629" s="47" t="s">
        <v>1291</v>
      </c>
      <c r="D629" s="48" t="s">
        <v>965</v>
      </c>
      <c r="E629" s="48" t="s">
        <v>966</v>
      </c>
      <c r="F629" s="48" t="s">
        <v>1292</v>
      </c>
      <c r="G629" s="48" t="s">
        <v>1293</v>
      </c>
      <c r="H629" s="47" t="s">
        <v>1294</v>
      </c>
      <c r="I629" s="47" t="s">
        <v>1295</v>
      </c>
      <c r="J629" s="47" t="s">
        <v>26</v>
      </c>
    </row>
    <row r="630" ht="54" customHeight="1" spans="1:10">
      <c r="A630" s="48" t="s">
        <v>197</v>
      </c>
      <c r="B630" s="48" t="s">
        <v>2033</v>
      </c>
      <c r="C630" s="47" t="s">
        <v>977</v>
      </c>
      <c r="D630" s="48" t="s">
        <v>978</v>
      </c>
      <c r="E630" s="48" t="s">
        <v>979</v>
      </c>
      <c r="F630" s="48" t="s">
        <v>980</v>
      </c>
      <c r="G630" s="48" t="s">
        <v>981</v>
      </c>
      <c r="H630" s="47" t="s">
        <v>982</v>
      </c>
      <c r="I630" s="47" t="s">
        <v>983</v>
      </c>
      <c r="J630" s="47" t="s">
        <v>26</v>
      </c>
    </row>
    <row r="631" ht="54" customHeight="1" spans="1:10">
      <c r="A631" s="48" t="s">
        <v>197</v>
      </c>
      <c r="B631" s="48" t="s">
        <v>2034</v>
      </c>
      <c r="C631" s="47" t="s">
        <v>1313</v>
      </c>
      <c r="D631" s="48" t="s">
        <v>1037</v>
      </c>
      <c r="E631" s="48" t="s">
        <v>1038</v>
      </c>
      <c r="F631" s="48" t="s">
        <v>1314</v>
      </c>
      <c r="G631" s="48" t="s">
        <v>1315</v>
      </c>
      <c r="H631" s="47" t="s">
        <v>1316</v>
      </c>
      <c r="I631" s="47" t="s">
        <v>1317</v>
      </c>
      <c r="J631" s="47" t="s">
        <v>26</v>
      </c>
    </row>
    <row r="632" ht="54" customHeight="1" spans="1:10">
      <c r="A632" s="48" t="s">
        <v>199</v>
      </c>
      <c r="B632" s="48" t="s">
        <v>2035</v>
      </c>
      <c r="C632" s="47" t="s">
        <v>934</v>
      </c>
      <c r="D632" s="48" t="s">
        <v>935</v>
      </c>
      <c r="E632" s="48" t="s">
        <v>936</v>
      </c>
      <c r="F632" s="48" t="s">
        <v>937</v>
      </c>
      <c r="G632" s="48" t="s">
        <v>938</v>
      </c>
      <c r="H632" s="47" t="s">
        <v>939</v>
      </c>
      <c r="I632" s="47" t="s">
        <v>940</v>
      </c>
      <c r="J632" s="47" t="s">
        <v>26</v>
      </c>
    </row>
    <row r="633" ht="54" customHeight="1" spans="1:10">
      <c r="A633" s="48" t="s">
        <v>199</v>
      </c>
      <c r="B633" s="48" t="s">
        <v>2036</v>
      </c>
      <c r="C633" s="47" t="s">
        <v>1421</v>
      </c>
      <c r="D633" s="48" t="s">
        <v>1422</v>
      </c>
      <c r="E633" s="48" t="s">
        <v>1423</v>
      </c>
      <c r="F633" s="48" t="s">
        <v>1424</v>
      </c>
      <c r="G633" s="48" t="s">
        <v>1423</v>
      </c>
      <c r="H633" s="47" t="s">
        <v>1425</v>
      </c>
      <c r="I633" s="47" t="s">
        <v>1426</v>
      </c>
      <c r="J633" s="47" t="s">
        <v>26</v>
      </c>
    </row>
    <row r="634" ht="54" customHeight="1" spans="1:10">
      <c r="A634" s="48" t="s">
        <v>199</v>
      </c>
      <c r="B634" s="48" t="s">
        <v>2037</v>
      </c>
      <c r="C634" s="47" t="s">
        <v>942</v>
      </c>
      <c r="D634" s="48" t="s">
        <v>943</v>
      </c>
      <c r="E634" s="48" t="s">
        <v>944</v>
      </c>
      <c r="F634" s="48" t="s">
        <v>945</v>
      </c>
      <c r="G634" s="48" t="s">
        <v>946</v>
      </c>
      <c r="H634" s="47" t="s">
        <v>947</v>
      </c>
      <c r="I634" s="47" t="s">
        <v>948</v>
      </c>
      <c r="J634" s="47" t="s">
        <v>26</v>
      </c>
    </row>
    <row r="635" ht="54" customHeight="1" spans="1:10">
      <c r="A635" s="48" t="s">
        <v>199</v>
      </c>
      <c r="B635" s="48" t="s">
        <v>2038</v>
      </c>
      <c r="C635" s="47" t="s">
        <v>1934</v>
      </c>
      <c r="D635" s="48" t="s">
        <v>1184</v>
      </c>
      <c r="E635" s="48" t="s">
        <v>1185</v>
      </c>
      <c r="F635" s="48" t="s">
        <v>1935</v>
      </c>
      <c r="G635" s="48" t="s">
        <v>1936</v>
      </c>
      <c r="H635" s="47" t="s">
        <v>1937</v>
      </c>
      <c r="I635" s="47" t="s">
        <v>1938</v>
      </c>
      <c r="J635" s="47" t="s">
        <v>26</v>
      </c>
    </row>
    <row r="636" ht="54" customHeight="1" spans="1:10">
      <c r="A636" s="48" t="s">
        <v>199</v>
      </c>
      <c r="B636" s="48" t="s">
        <v>2039</v>
      </c>
      <c r="C636" s="47" t="s">
        <v>1337</v>
      </c>
      <c r="D636" s="48" t="s">
        <v>1009</v>
      </c>
      <c r="E636" s="48" t="s">
        <v>1010</v>
      </c>
      <c r="F636" s="48" t="s">
        <v>1338</v>
      </c>
      <c r="G636" s="48" t="s">
        <v>1339</v>
      </c>
      <c r="H636" s="47" t="s">
        <v>1340</v>
      </c>
      <c r="I636" s="47" t="s">
        <v>1341</v>
      </c>
      <c r="J636" s="47" t="s">
        <v>26</v>
      </c>
    </row>
    <row r="637" ht="54" customHeight="1" spans="1:10">
      <c r="A637" s="48" t="s">
        <v>199</v>
      </c>
      <c r="B637" s="48" t="s">
        <v>2040</v>
      </c>
      <c r="C637" s="47" t="s">
        <v>950</v>
      </c>
      <c r="D637" s="48" t="s">
        <v>935</v>
      </c>
      <c r="E637" s="48" t="s">
        <v>936</v>
      </c>
      <c r="F637" s="48" t="s">
        <v>951</v>
      </c>
      <c r="G637" s="48" t="s">
        <v>952</v>
      </c>
      <c r="H637" s="47" t="s">
        <v>953</v>
      </c>
      <c r="I637" s="47" t="s">
        <v>954</v>
      </c>
      <c r="J637" s="47" t="s">
        <v>26</v>
      </c>
    </row>
    <row r="638" ht="54" customHeight="1" spans="1:10">
      <c r="A638" s="48" t="s">
        <v>199</v>
      </c>
      <c r="B638" s="48" t="s">
        <v>2041</v>
      </c>
      <c r="C638" s="47" t="s">
        <v>956</v>
      </c>
      <c r="D638" s="48" t="s">
        <v>957</v>
      </c>
      <c r="E638" s="48" t="s">
        <v>958</v>
      </c>
      <c r="F638" s="48" t="s">
        <v>959</v>
      </c>
      <c r="G638" s="48" t="s">
        <v>960</v>
      </c>
      <c r="H638" s="47" t="s">
        <v>961</v>
      </c>
      <c r="I638" s="47" t="s">
        <v>962</v>
      </c>
      <c r="J638" s="47" t="s">
        <v>26</v>
      </c>
    </row>
    <row r="639" ht="54" customHeight="1" spans="1:10">
      <c r="A639" s="48" t="s">
        <v>199</v>
      </c>
      <c r="B639" s="48" t="s">
        <v>2042</v>
      </c>
      <c r="C639" s="47" t="s">
        <v>1105</v>
      </c>
      <c r="D639" s="48" t="s">
        <v>1009</v>
      </c>
      <c r="E639" s="48" t="s">
        <v>1010</v>
      </c>
      <c r="F639" s="48" t="s">
        <v>1106</v>
      </c>
      <c r="G639" s="48" t="s">
        <v>1107</v>
      </c>
      <c r="H639" s="47" t="s">
        <v>1108</v>
      </c>
      <c r="I639" s="47" t="s">
        <v>1109</v>
      </c>
      <c r="J639" s="47" t="s">
        <v>26</v>
      </c>
    </row>
    <row r="640" ht="54" customHeight="1" spans="1:10">
      <c r="A640" s="48" t="s">
        <v>199</v>
      </c>
      <c r="B640" s="48" t="s">
        <v>2043</v>
      </c>
      <c r="C640" s="47" t="s">
        <v>1767</v>
      </c>
      <c r="D640" s="48" t="s">
        <v>957</v>
      </c>
      <c r="E640" s="48" t="s">
        <v>958</v>
      </c>
      <c r="F640" s="48" t="s">
        <v>1768</v>
      </c>
      <c r="G640" s="48" t="s">
        <v>1769</v>
      </c>
      <c r="H640" s="47" t="s">
        <v>1770</v>
      </c>
      <c r="I640" s="47" t="s">
        <v>1771</v>
      </c>
      <c r="J640" s="47" t="s">
        <v>26</v>
      </c>
    </row>
    <row r="641" ht="54" customHeight="1" spans="1:10">
      <c r="A641" s="48" t="s">
        <v>199</v>
      </c>
      <c r="B641" s="48" t="s">
        <v>2044</v>
      </c>
      <c r="C641" s="47" t="s">
        <v>1052</v>
      </c>
      <c r="D641" s="48" t="s">
        <v>1009</v>
      </c>
      <c r="E641" s="48" t="s">
        <v>1010</v>
      </c>
      <c r="F641" s="48" t="s">
        <v>1053</v>
      </c>
      <c r="G641" s="48" t="s">
        <v>1054</v>
      </c>
      <c r="H641" s="47" t="s">
        <v>1055</v>
      </c>
      <c r="I641" s="47" t="s">
        <v>1056</v>
      </c>
      <c r="J641" s="47" t="s">
        <v>26</v>
      </c>
    </row>
    <row r="642" ht="54" customHeight="1" spans="1:10">
      <c r="A642" s="48" t="s">
        <v>199</v>
      </c>
      <c r="B642" s="48" t="s">
        <v>2045</v>
      </c>
      <c r="C642" s="47" t="s">
        <v>1097</v>
      </c>
      <c r="D642" s="48" t="s">
        <v>1098</v>
      </c>
      <c r="E642" s="48" t="s">
        <v>1099</v>
      </c>
      <c r="F642" s="48" t="s">
        <v>1100</v>
      </c>
      <c r="G642" s="48" t="s">
        <v>1101</v>
      </c>
      <c r="H642" s="47" t="s">
        <v>1102</v>
      </c>
      <c r="I642" s="47" t="s">
        <v>1103</v>
      </c>
      <c r="J642" s="47" t="s">
        <v>26</v>
      </c>
    </row>
    <row r="643" ht="54" customHeight="1" spans="1:10">
      <c r="A643" s="48" t="s">
        <v>199</v>
      </c>
      <c r="B643" s="48" t="s">
        <v>2046</v>
      </c>
      <c r="C643" s="47" t="s">
        <v>1111</v>
      </c>
      <c r="D643" s="48" t="s">
        <v>965</v>
      </c>
      <c r="E643" s="48" t="s">
        <v>966</v>
      </c>
      <c r="F643" s="48" t="s">
        <v>1112</v>
      </c>
      <c r="G643" s="48" t="s">
        <v>1113</v>
      </c>
      <c r="H643" s="47" t="s">
        <v>1114</v>
      </c>
      <c r="I643" s="47" t="s">
        <v>1115</v>
      </c>
      <c r="J643" s="47" t="s">
        <v>26</v>
      </c>
    </row>
    <row r="644" ht="54" customHeight="1" spans="1:10">
      <c r="A644" s="48" t="s">
        <v>201</v>
      </c>
      <c r="B644" s="48" t="s">
        <v>2047</v>
      </c>
      <c r="C644" s="47" t="s">
        <v>977</v>
      </c>
      <c r="D644" s="48" t="s">
        <v>978</v>
      </c>
      <c r="E644" s="48" t="s">
        <v>979</v>
      </c>
      <c r="F644" s="48" t="s">
        <v>980</v>
      </c>
      <c r="G644" s="48" t="s">
        <v>981</v>
      </c>
      <c r="H644" s="47" t="s">
        <v>982</v>
      </c>
      <c r="I644" s="47" t="s">
        <v>983</v>
      </c>
      <c r="J644" s="47" t="s">
        <v>26</v>
      </c>
    </row>
    <row r="645" ht="54" customHeight="1" spans="1:10">
      <c r="A645" s="48" t="s">
        <v>201</v>
      </c>
      <c r="B645" s="48" t="s">
        <v>2048</v>
      </c>
      <c r="C645" s="47" t="s">
        <v>1927</v>
      </c>
      <c r="D645" s="48" t="s">
        <v>1400</v>
      </c>
      <c r="E645" s="48" t="s">
        <v>1401</v>
      </c>
      <c r="F645" s="48" t="s">
        <v>1928</v>
      </c>
      <c r="G645" s="48" t="s">
        <v>1929</v>
      </c>
      <c r="H645" s="47" t="s">
        <v>1930</v>
      </c>
      <c r="I645" s="47" t="s">
        <v>1931</v>
      </c>
      <c r="J645" s="47" t="s">
        <v>26</v>
      </c>
    </row>
    <row r="646" ht="54" customHeight="1" spans="1:10">
      <c r="A646" s="48" t="s">
        <v>203</v>
      </c>
      <c r="B646" s="48" t="s">
        <v>2049</v>
      </c>
      <c r="C646" s="47" t="s">
        <v>1028</v>
      </c>
      <c r="D646" s="48" t="s">
        <v>1029</v>
      </c>
      <c r="E646" s="48" t="s">
        <v>1030</v>
      </c>
      <c r="F646" s="48" t="s">
        <v>1031</v>
      </c>
      <c r="G646" s="48" t="s">
        <v>1032</v>
      </c>
      <c r="H646" s="47" t="s">
        <v>1033</v>
      </c>
      <c r="I646" s="47" t="s">
        <v>1034</v>
      </c>
      <c r="J646" s="47" t="s">
        <v>26</v>
      </c>
    </row>
    <row r="647" ht="54" customHeight="1" spans="1:10">
      <c r="A647" s="48" t="s">
        <v>203</v>
      </c>
      <c r="B647" s="48" t="s">
        <v>2050</v>
      </c>
      <c r="C647" s="47" t="s">
        <v>1252</v>
      </c>
      <c r="D647" s="48" t="s">
        <v>1001</v>
      </c>
      <c r="E647" s="48" t="s">
        <v>1002</v>
      </c>
      <c r="F647" s="48" t="s">
        <v>1253</v>
      </c>
      <c r="G647" s="48" t="s">
        <v>1254</v>
      </c>
      <c r="H647" s="47" t="s">
        <v>1255</v>
      </c>
      <c r="I647" s="47" t="s">
        <v>1256</v>
      </c>
      <c r="J647" s="47" t="s">
        <v>26</v>
      </c>
    </row>
    <row r="648" ht="54" customHeight="1" spans="1:10">
      <c r="A648" s="48" t="s">
        <v>203</v>
      </c>
      <c r="B648" s="48" t="s">
        <v>2051</v>
      </c>
      <c r="C648" s="47" t="s">
        <v>1117</v>
      </c>
      <c r="D648" s="48" t="s">
        <v>1118</v>
      </c>
      <c r="E648" s="48" t="s">
        <v>1119</v>
      </c>
      <c r="F648" s="48" t="s">
        <v>1120</v>
      </c>
      <c r="G648" s="48" t="s">
        <v>1121</v>
      </c>
      <c r="H648" s="47" t="s">
        <v>1122</v>
      </c>
      <c r="I648" s="47" t="s">
        <v>1123</v>
      </c>
      <c r="J648" s="47" t="s">
        <v>26</v>
      </c>
    </row>
    <row r="649" ht="54" customHeight="1" spans="1:10">
      <c r="A649" s="48" t="s">
        <v>203</v>
      </c>
      <c r="B649" s="48" t="s">
        <v>2052</v>
      </c>
      <c r="C649" s="47" t="s">
        <v>971</v>
      </c>
      <c r="D649" s="48" t="s">
        <v>965</v>
      </c>
      <c r="E649" s="48" t="s">
        <v>966</v>
      </c>
      <c r="F649" s="48" t="s">
        <v>972</v>
      </c>
      <c r="G649" s="48" t="s">
        <v>973</v>
      </c>
      <c r="H649" s="47" t="s">
        <v>974</v>
      </c>
      <c r="I649" s="47" t="s">
        <v>975</v>
      </c>
      <c r="J649" s="47" t="s">
        <v>26</v>
      </c>
    </row>
    <row r="650" ht="54" customHeight="1" spans="1:10">
      <c r="A650" s="48" t="s">
        <v>203</v>
      </c>
      <c r="B650" s="48" t="s">
        <v>2053</v>
      </c>
      <c r="C650" s="47" t="s">
        <v>1356</v>
      </c>
      <c r="D650" s="48" t="s">
        <v>1082</v>
      </c>
      <c r="E650" s="48" t="s">
        <v>1083</v>
      </c>
      <c r="F650" s="48" t="s">
        <v>1357</v>
      </c>
      <c r="G650" s="48" t="s">
        <v>1358</v>
      </c>
      <c r="H650" s="47" t="s">
        <v>1359</v>
      </c>
      <c r="I650" s="47" t="s">
        <v>1360</v>
      </c>
      <c r="J650" s="47" t="s">
        <v>26</v>
      </c>
    </row>
    <row r="651" ht="54" customHeight="1" spans="1:10">
      <c r="A651" s="48" t="s">
        <v>203</v>
      </c>
      <c r="B651" s="48" t="s">
        <v>2054</v>
      </c>
      <c r="C651" s="47" t="s">
        <v>1159</v>
      </c>
      <c r="D651" s="48" t="s">
        <v>1146</v>
      </c>
      <c r="E651" s="48" t="s">
        <v>1147</v>
      </c>
      <c r="F651" s="48" t="s">
        <v>1160</v>
      </c>
      <c r="G651" s="48" t="s">
        <v>1161</v>
      </c>
      <c r="H651" s="47" t="s">
        <v>1162</v>
      </c>
      <c r="I651" s="47" t="s">
        <v>1151</v>
      </c>
      <c r="J651" s="47" t="s">
        <v>26</v>
      </c>
    </row>
    <row r="652" ht="54" customHeight="1" spans="1:10">
      <c r="A652" s="48" t="s">
        <v>203</v>
      </c>
      <c r="B652" s="48" t="s">
        <v>2055</v>
      </c>
      <c r="C652" s="47" t="s">
        <v>1245</v>
      </c>
      <c r="D652" s="48" t="s">
        <v>1171</v>
      </c>
      <c r="E652" s="48" t="s">
        <v>1172</v>
      </c>
      <c r="F652" s="48" t="s">
        <v>1246</v>
      </c>
      <c r="G652" s="48" t="s">
        <v>1247</v>
      </c>
      <c r="H652" s="47" t="s">
        <v>1248</v>
      </c>
      <c r="I652" s="47" t="s">
        <v>1176</v>
      </c>
      <c r="J652" s="47" t="s">
        <v>26</v>
      </c>
    </row>
    <row r="653" ht="54" customHeight="1" spans="1:10">
      <c r="A653" s="48" t="s">
        <v>203</v>
      </c>
      <c r="B653" s="48" t="s">
        <v>2056</v>
      </c>
      <c r="C653" s="47" t="s">
        <v>1196</v>
      </c>
      <c r="D653" s="48" t="s">
        <v>1118</v>
      </c>
      <c r="E653" s="48" t="s">
        <v>1119</v>
      </c>
      <c r="F653" s="48" t="s">
        <v>1197</v>
      </c>
      <c r="G653" s="48" t="s">
        <v>1198</v>
      </c>
      <c r="H653" s="47" t="s">
        <v>1199</v>
      </c>
      <c r="I653" s="47" t="s">
        <v>1200</v>
      </c>
      <c r="J653" s="47" t="s">
        <v>26</v>
      </c>
    </row>
    <row r="654" ht="54" customHeight="1" spans="1:10">
      <c r="A654" s="48" t="s">
        <v>205</v>
      </c>
      <c r="B654" s="48" t="s">
        <v>2057</v>
      </c>
      <c r="C654" s="47" t="s">
        <v>1022</v>
      </c>
      <c r="D654" s="48" t="s">
        <v>957</v>
      </c>
      <c r="E654" s="48" t="s">
        <v>958</v>
      </c>
      <c r="F654" s="48" t="s">
        <v>1023</v>
      </c>
      <c r="G654" s="48" t="s">
        <v>1024</v>
      </c>
      <c r="H654" s="47" t="s">
        <v>1025</v>
      </c>
      <c r="I654" s="47" t="s">
        <v>1026</v>
      </c>
      <c r="J654" s="47" t="s">
        <v>26</v>
      </c>
    </row>
    <row r="655" ht="54" customHeight="1" spans="1:10">
      <c r="A655" s="48" t="s">
        <v>205</v>
      </c>
      <c r="B655" s="48" t="s">
        <v>2058</v>
      </c>
      <c r="C655" s="47" t="s">
        <v>956</v>
      </c>
      <c r="D655" s="48" t="s">
        <v>957</v>
      </c>
      <c r="E655" s="48" t="s">
        <v>958</v>
      </c>
      <c r="F655" s="48" t="s">
        <v>959</v>
      </c>
      <c r="G655" s="48" t="s">
        <v>960</v>
      </c>
      <c r="H655" s="47" t="s">
        <v>961</v>
      </c>
      <c r="I655" s="47" t="s">
        <v>962</v>
      </c>
      <c r="J655" s="47" t="s">
        <v>26</v>
      </c>
    </row>
    <row r="656" ht="54" customHeight="1" spans="1:10">
      <c r="A656" s="48" t="s">
        <v>205</v>
      </c>
      <c r="B656" s="48" t="s">
        <v>2059</v>
      </c>
      <c r="C656" s="47" t="s">
        <v>1205</v>
      </c>
      <c r="D656" s="48" t="s">
        <v>978</v>
      </c>
      <c r="E656" s="48" t="s">
        <v>979</v>
      </c>
      <c r="F656" s="48" t="s">
        <v>1206</v>
      </c>
      <c r="G656" s="48" t="s">
        <v>1207</v>
      </c>
      <c r="H656" s="47" t="s">
        <v>1208</v>
      </c>
      <c r="I656" s="47" t="s">
        <v>1209</v>
      </c>
      <c r="J656" s="47" t="s">
        <v>26</v>
      </c>
    </row>
    <row r="657" ht="54" customHeight="1" spans="1:10">
      <c r="A657" s="48" t="s">
        <v>205</v>
      </c>
      <c r="B657" s="48" t="s">
        <v>2060</v>
      </c>
      <c r="C657" s="47" t="s">
        <v>2004</v>
      </c>
      <c r="D657" s="48" t="s">
        <v>1171</v>
      </c>
      <c r="E657" s="48" t="s">
        <v>1172</v>
      </c>
      <c r="F657" s="48" t="s">
        <v>2005</v>
      </c>
      <c r="G657" s="48" t="s">
        <v>2006</v>
      </c>
      <c r="H657" s="47" t="s">
        <v>2007</v>
      </c>
      <c r="I657" s="47" t="s">
        <v>1176</v>
      </c>
      <c r="J657" s="47" t="s">
        <v>26</v>
      </c>
    </row>
    <row r="658" ht="54" customHeight="1" spans="1:10">
      <c r="A658" s="48" t="s">
        <v>205</v>
      </c>
      <c r="B658" s="48" t="s">
        <v>2061</v>
      </c>
      <c r="C658" s="47" t="s">
        <v>1145</v>
      </c>
      <c r="D658" s="48" t="s">
        <v>1146</v>
      </c>
      <c r="E658" s="48" t="s">
        <v>1147</v>
      </c>
      <c r="F658" s="48" t="s">
        <v>1148</v>
      </c>
      <c r="G658" s="48" t="s">
        <v>1149</v>
      </c>
      <c r="H658" s="47" t="s">
        <v>1150</v>
      </c>
      <c r="I658" s="47" t="s">
        <v>1151</v>
      </c>
      <c r="J658" s="47" t="s">
        <v>26</v>
      </c>
    </row>
    <row r="659" ht="54" customHeight="1" spans="1:10">
      <c r="A659" s="48" t="s">
        <v>205</v>
      </c>
      <c r="B659" s="48" t="s">
        <v>2062</v>
      </c>
      <c r="C659" s="47" t="s">
        <v>1196</v>
      </c>
      <c r="D659" s="48" t="s">
        <v>1118</v>
      </c>
      <c r="E659" s="48" t="s">
        <v>1119</v>
      </c>
      <c r="F659" s="48" t="s">
        <v>1197</v>
      </c>
      <c r="G659" s="48" t="s">
        <v>1198</v>
      </c>
      <c r="H659" s="47" t="s">
        <v>1199</v>
      </c>
      <c r="I659" s="47" t="s">
        <v>1200</v>
      </c>
      <c r="J659" s="47" t="s">
        <v>26</v>
      </c>
    </row>
    <row r="660" ht="54" customHeight="1" spans="1:10">
      <c r="A660" s="48" t="s">
        <v>207</v>
      </c>
      <c r="B660" s="48" t="s">
        <v>2063</v>
      </c>
      <c r="C660" s="47" t="s">
        <v>934</v>
      </c>
      <c r="D660" s="48" t="s">
        <v>935</v>
      </c>
      <c r="E660" s="48" t="s">
        <v>936</v>
      </c>
      <c r="F660" s="48" t="s">
        <v>937</v>
      </c>
      <c r="G660" s="48" t="s">
        <v>938</v>
      </c>
      <c r="H660" s="47" t="s">
        <v>939</v>
      </c>
      <c r="I660" s="47" t="s">
        <v>940</v>
      </c>
      <c r="J660" s="47" t="s">
        <v>26</v>
      </c>
    </row>
    <row r="661" ht="54" customHeight="1" spans="1:10">
      <c r="A661" s="48" t="s">
        <v>207</v>
      </c>
      <c r="B661" s="48" t="s">
        <v>2064</v>
      </c>
      <c r="C661" s="47" t="s">
        <v>1008</v>
      </c>
      <c r="D661" s="48" t="s">
        <v>1009</v>
      </c>
      <c r="E661" s="48" t="s">
        <v>1010</v>
      </c>
      <c r="F661" s="48" t="s">
        <v>1011</v>
      </c>
      <c r="G661" s="48" t="s">
        <v>1012</v>
      </c>
      <c r="H661" s="47" t="s">
        <v>1013</v>
      </c>
      <c r="I661" s="47" t="s">
        <v>1014</v>
      </c>
      <c r="J661" s="47" t="s">
        <v>26</v>
      </c>
    </row>
    <row r="662" ht="54" customHeight="1" spans="1:10">
      <c r="A662" s="48" t="s">
        <v>207</v>
      </c>
      <c r="B662" s="48" t="s">
        <v>2065</v>
      </c>
      <c r="C662" s="47" t="s">
        <v>1022</v>
      </c>
      <c r="D662" s="48" t="s">
        <v>957</v>
      </c>
      <c r="E662" s="48" t="s">
        <v>958</v>
      </c>
      <c r="F662" s="48" t="s">
        <v>1023</v>
      </c>
      <c r="G662" s="48" t="s">
        <v>1024</v>
      </c>
      <c r="H662" s="47" t="s">
        <v>1025</v>
      </c>
      <c r="I662" s="47" t="s">
        <v>1026</v>
      </c>
      <c r="J662" s="47" t="s">
        <v>26</v>
      </c>
    </row>
    <row r="663" ht="54" customHeight="1" spans="1:10">
      <c r="A663" s="48" t="s">
        <v>207</v>
      </c>
      <c r="B663" s="48" t="s">
        <v>2066</v>
      </c>
      <c r="C663" s="47" t="s">
        <v>1089</v>
      </c>
      <c r="D663" s="48" t="s">
        <v>957</v>
      </c>
      <c r="E663" s="48" t="s">
        <v>958</v>
      </c>
      <c r="F663" s="48" t="s">
        <v>1090</v>
      </c>
      <c r="G663" s="48" t="s">
        <v>1091</v>
      </c>
      <c r="H663" s="47" t="s">
        <v>1092</v>
      </c>
      <c r="I663" s="47" t="s">
        <v>1093</v>
      </c>
      <c r="J663" s="47" t="s">
        <v>26</v>
      </c>
    </row>
    <row r="664" ht="54" customHeight="1" spans="1:10">
      <c r="A664" s="48" t="s">
        <v>207</v>
      </c>
      <c r="B664" s="48" t="s">
        <v>2067</v>
      </c>
      <c r="C664" s="47" t="s">
        <v>950</v>
      </c>
      <c r="D664" s="48" t="s">
        <v>935</v>
      </c>
      <c r="E664" s="48" t="s">
        <v>936</v>
      </c>
      <c r="F664" s="48" t="s">
        <v>951</v>
      </c>
      <c r="G664" s="48" t="s">
        <v>952</v>
      </c>
      <c r="H664" s="47" t="s">
        <v>953</v>
      </c>
      <c r="I664" s="47" t="s">
        <v>954</v>
      </c>
      <c r="J664" s="47" t="s">
        <v>26</v>
      </c>
    </row>
    <row r="665" ht="54" customHeight="1" spans="1:10">
      <c r="A665" s="48" t="s">
        <v>207</v>
      </c>
      <c r="B665" s="48" t="s">
        <v>2068</v>
      </c>
      <c r="C665" s="47" t="s">
        <v>1601</v>
      </c>
      <c r="D665" s="48" t="s">
        <v>1184</v>
      </c>
      <c r="E665" s="48" t="s">
        <v>1185</v>
      </c>
      <c r="F665" s="48" t="s">
        <v>1602</v>
      </c>
      <c r="G665" s="48" t="s">
        <v>1603</v>
      </c>
      <c r="H665" s="47" t="s">
        <v>1604</v>
      </c>
      <c r="I665" s="47" t="s">
        <v>1605</v>
      </c>
      <c r="J665" s="47" t="s">
        <v>26</v>
      </c>
    </row>
    <row r="666" ht="54" customHeight="1" spans="1:10">
      <c r="A666" s="48" t="s">
        <v>207</v>
      </c>
      <c r="B666" s="48" t="s">
        <v>2069</v>
      </c>
      <c r="C666" s="47" t="s">
        <v>956</v>
      </c>
      <c r="D666" s="48" t="s">
        <v>957</v>
      </c>
      <c r="E666" s="48" t="s">
        <v>958</v>
      </c>
      <c r="F666" s="48" t="s">
        <v>959</v>
      </c>
      <c r="G666" s="48" t="s">
        <v>960</v>
      </c>
      <c r="H666" s="47" t="s">
        <v>961</v>
      </c>
      <c r="I666" s="47" t="s">
        <v>962</v>
      </c>
      <c r="J666" s="47" t="s">
        <v>26</v>
      </c>
    </row>
    <row r="667" ht="54" customHeight="1" spans="1:10">
      <c r="A667" s="48" t="s">
        <v>207</v>
      </c>
      <c r="B667" s="48" t="s">
        <v>2070</v>
      </c>
      <c r="C667" s="47" t="s">
        <v>1066</v>
      </c>
      <c r="D667" s="48" t="s">
        <v>935</v>
      </c>
      <c r="E667" s="48" t="s">
        <v>936</v>
      </c>
      <c r="F667" s="48" t="s">
        <v>1067</v>
      </c>
      <c r="G667" s="48" t="s">
        <v>1068</v>
      </c>
      <c r="H667" s="47" t="s">
        <v>1069</v>
      </c>
      <c r="I667" s="47" t="s">
        <v>940</v>
      </c>
      <c r="J667" s="47" t="s">
        <v>26</v>
      </c>
    </row>
    <row r="668" ht="54" customHeight="1" spans="1:10">
      <c r="A668" s="48" t="s">
        <v>209</v>
      </c>
      <c r="B668" s="48" t="s">
        <v>2071</v>
      </c>
      <c r="C668" s="47" t="s">
        <v>934</v>
      </c>
      <c r="D668" s="48" t="s">
        <v>935</v>
      </c>
      <c r="E668" s="48" t="s">
        <v>936</v>
      </c>
      <c r="F668" s="48" t="s">
        <v>937</v>
      </c>
      <c r="G668" s="48" t="s">
        <v>938</v>
      </c>
      <c r="H668" s="47" t="s">
        <v>939</v>
      </c>
      <c r="I668" s="47" t="s">
        <v>940</v>
      </c>
      <c r="J668" s="47" t="s">
        <v>26</v>
      </c>
    </row>
    <row r="669" ht="54" customHeight="1" spans="1:10">
      <c r="A669" s="48" t="s">
        <v>209</v>
      </c>
      <c r="B669" s="48" t="s">
        <v>2072</v>
      </c>
      <c r="C669" s="47" t="s">
        <v>1072</v>
      </c>
      <c r="D669" s="48" t="s">
        <v>1073</v>
      </c>
      <c r="E669" s="48" t="s">
        <v>1074</v>
      </c>
      <c r="F669" s="48" t="s">
        <v>1075</v>
      </c>
      <c r="G669" s="48" t="s">
        <v>1076</v>
      </c>
      <c r="H669" s="47" t="s">
        <v>1077</v>
      </c>
      <c r="I669" s="47" t="s">
        <v>1078</v>
      </c>
      <c r="J669" s="47" t="s">
        <v>26</v>
      </c>
    </row>
    <row r="670" ht="54" customHeight="1" spans="1:10">
      <c r="A670" s="48" t="s">
        <v>209</v>
      </c>
      <c r="B670" s="48" t="s">
        <v>2073</v>
      </c>
      <c r="C670" s="47" t="s">
        <v>2074</v>
      </c>
      <c r="D670" s="48" t="s">
        <v>1029</v>
      </c>
      <c r="E670" s="48" t="s">
        <v>1030</v>
      </c>
      <c r="F670" s="48" t="s">
        <v>2075</v>
      </c>
      <c r="G670" s="48" t="s">
        <v>2076</v>
      </c>
      <c r="H670" s="47" t="s">
        <v>2077</v>
      </c>
      <c r="I670" s="47" t="s">
        <v>2078</v>
      </c>
      <c r="J670" s="47" t="s">
        <v>26</v>
      </c>
    </row>
    <row r="671" ht="54" customHeight="1" spans="1:10">
      <c r="A671" s="48" t="s">
        <v>209</v>
      </c>
      <c r="B671" s="48" t="s">
        <v>2079</v>
      </c>
      <c r="C671" s="47" t="s">
        <v>1572</v>
      </c>
      <c r="D671" s="48" t="s">
        <v>1098</v>
      </c>
      <c r="E671" s="48" t="s">
        <v>1099</v>
      </c>
      <c r="F671" s="48" t="s">
        <v>1573</v>
      </c>
      <c r="G671" s="48" t="s">
        <v>1574</v>
      </c>
      <c r="H671" s="47" t="s">
        <v>1575</v>
      </c>
      <c r="I671" s="47" t="s">
        <v>1576</v>
      </c>
      <c r="J671" s="47" t="s">
        <v>26</v>
      </c>
    </row>
    <row r="672" ht="54" customHeight="1" spans="1:10">
      <c r="A672" s="48" t="s">
        <v>209</v>
      </c>
      <c r="B672" s="48" t="s">
        <v>2080</v>
      </c>
      <c r="C672" s="47" t="s">
        <v>950</v>
      </c>
      <c r="D672" s="48" t="s">
        <v>935</v>
      </c>
      <c r="E672" s="48" t="s">
        <v>936</v>
      </c>
      <c r="F672" s="48" t="s">
        <v>951</v>
      </c>
      <c r="G672" s="48" t="s">
        <v>952</v>
      </c>
      <c r="H672" s="47" t="s">
        <v>953</v>
      </c>
      <c r="I672" s="47" t="s">
        <v>954</v>
      </c>
      <c r="J672" s="47" t="s">
        <v>26</v>
      </c>
    </row>
    <row r="673" ht="54" customHeight="1" spans="1:10">
      <c r="A673" s="48" t="s">
        <v>209</v>
      </c>
      <c r="B673" s="48" t="s">
        <v>2081</v>
      </c>
      <c r="C673" s="47" t="s">
        <v>1589</v>
      </c>
      <c r="D673" s="48" t="s">
        <v>943</v>
      </c>
      <c r="E673" s="48" t="s">
        <v>944</v>
      </c>
      <c r="F673" s="48" t="s">
        <v>1590</v>
      </c>
      <c r="G673" s="48" t="s">
        <v>1591</v>
      </c>
      <c r="H673" s="47" t="s">
        <v>1592</v>
      </c>
      <c r="I673" s="47" t="s">
        <v>1593</v>
      </c>
      <c r="J673" s="47" t="s">
        <v>26</v>
      </c>
    </row>
    <row r="674" ht="54" customHeight="1" spans="1:10">
      <c r="A674" s="48" t="s">
        <v>209</v>
      </c>
      <c r="B674" s="48" t="s">
        <v>2082</v>
      </c>
      <c r="C674" s="47" t="s">
        <v>1058</v>
      </c>
      <c r="D674" s="48" t="s">
        <v>1059</v>
      </c>
      <c r="E674" s="48" t="s">
        <v>1060</v>
      </c>
      <c r="F674" s="48" t="s">
        <v>1061</v>
      </c>
      <c r="G674" s="48" t="s">
        <v>1062</v>
      </c>
      <c r="H674" s="47" t="s">
        <v>1063</v>
      </c>
      <c r="I674" s="47" t="s">
        <v>1064</v>
      </c>
      <c r="J674" s="47" t="s">
        <v>26</v>
      </c>
    </row>
    <row r="675" ht="54" customHeight="1" spans="1:10">
      <c r="A675" s="48" t="s">
        <v>209</v>
      </c>
      <c r="B675" s="48" t="s">
        <v>2083</v>
      </c>
      <c r="C675" s="47" t="s">
        <v>1097</v>
      </c>
      <c r="D675" s="48" t="s">
        <v>1098</v>
      </c>
      <c r="E675" s="48" t="s">
        <v>1099</v>
      </c>
      <c r="F675" s="48" t="s">
        <v>1100</v>
      </c>
      <c r="G675" s="48" t="s">
        <v>1101</v>
      </c>
      <c r="H675" s="47" t="s">
        <v>1102</v>
      </c>
      <c r="I675" s="47" t="s">
        <v>1103</v>
      </c>
      <c r="J675" s="47" t="s">
        <v>26</v>
      </c>
    </row>
    <row r="676" ht="54" customHeight="1" spans="1:10">
      <c r="A676" s="48" t="s">
        <v>209</v>
      </c>
      <c r="B676" s="48" t="s">
        <v>2084</v>
      </c>
      <c r="C676" s="47" t="s">
        <v>1375</v>
      </c>
      <c r="D676" s="48" t="s">
        <v>1098</v>
      </c>
      <c r="E676" s="48" t="s">
        <v>1099</v>
      </c>
      <c r="F676" s="48" t="s">
        <v>1376</v>
      </c>
      <c r="G676" s="48" t="s">
        <v>1377</v>
      </c>
      <c r="H676" s="47" t="s">
        <v>1378</v>
      </c>
      <c r="I676" s="47" t="s">
        <v>1379</v>
      </c>
      <c r="J676" s="47" t="s">
        <v>26</v>
      </c>
    </row>
    <row r="677" ht="54" customHeight="1" spans="1:10">
      <c r="A677" s="48" t="s">
        <v>209</v>
      </c>
      <c r="B677" s="48" t="s">
        <v>2085</v>
      </c>
      <c r="C677" s="47" t="s">
        <v>1111</v>
      </c>
      <c r="D677" s="48" t="s">
        <v>965</v>
      </c>
      <c r="E677" s="48" t="s">
        <v>966</v>
      </c>
      <c r="F677" s="48" t="s">
        <v>1112</v>
      </c>
      <c r="G677" s="48" t="s">
        <v>1113</v>
      </c>
      <c r="H677" s="47" t="s">
        <v>1114</v>
      </c>
      <c r="I677" s="47" t="s">
        <v>1115</v>
      </c>
      <c r="J677" s="47" t="s">
        <v>26</v>
      </c>
    </row>
    <row r="678" ht="54" customHeight="1" spans="1:10">
      <c r="A678" s="48" t="s">
        <v>211</v>
      </c>
      <c r="B678" s="48" t="s">
        <v>2086</v>
      </c>
      <c r="C678" s="47" t="s">
        <v>934</v>
      </c>
      <c r="D678" s="48" t="s">
        <v>935</v>
      </c>
      <c r="E678" s="48" t="s">
        <v>936</v>
      </c>
      <c r="F678" s="48" t="s">
        <v>937</v>
      </c>
      <c r="G678" s="48" t="s">
        <v>938</v>
      </c>
      <c r="H678" s="47" t="s">
        <v>939</v>
      </c>
      <c r="I678" s="47" t="s">
        <v>940</v>
      </c>
      <c r="J678" s="47" t="s">
        <v>26</v>
      </c>
    </row>
    <row r="679" ht="54" customHeight="1" spans="1:10">
      <c r="A679" s="48" t="s">
        <v>211</v>
      </c>
      <c r="B679" s="48" t="s">
        <v>2087</v>
      </c>
      <c r="C679" s="47" t="s">
        <v>942</v>
      </c>
      <c r="D679" s="48" t="s">
        <v>943</v>
      </c>
      <c r="E679" s="48" t="s">
        <v>944</v>
      </c>
      <c r="F679" s="48" t="s">
        <v>945</v>
      </c>
      <c r="G679" s="48" t="s">
        <v>946</v>
      </c>
      <c r="H679" s="47" t="s">
        <v>947</v>
      </c>
      <c r="I679" s="47" t="s">
        <v>948</v>
      </c>
      <c r="J679" s="47" t="s">
        <v>26</v>
      </c>
    </row>
    <row r="680" ht="54" customHeight="1" spans="1:10">
      <c r="A680" s="48" t="s">
        <v>211</v>
      </c>
      <c r="B680" s="48" t="s">
        <v>2088</v>
      </c>
      <c r="C680" s="47" t="s">
        <v>1572</v>
      </c>
      <c r="D680" s="48" t="s">
        <v>1098</v>
      </c>
      <c r="E680" s="48" t="s">
        <v>1099</v>
      </c>
      <c r="F680" s="48" t="s">
        <v>1573</v>
      </c>
      <c r="G680" s="48" t="s">
        <v>1574</v>
      </c>
      <c r="H680" s="47" t="s">
        <v>1575</v>
      </c>
      <c r="I680" s="47" t="s">
        <v>1576</v>
      </c>
      <c r="J680" s="47" t="s">
        <v>26</v>
      </c>
    </row>
    <row r="681" ht="54" customHeight="1" spans="1:10">
      <c r="A681" s="48" t="s">
        <v>211</v>
      </c>
      <c r="B681" s="48" t="s">
        <v>2089</v>
      </c>
      <c r="C681" s="47" t="s">
        <v>1089</v>
      </c>
      <c r="D681" s="48" t="s">
        <v>957</v>
      </c>
      <c r="E681" s="48" t="s">
        <v>958</v>
      </c>
      <c r="F681" s="48" t="s">
        <v>1090</v>
      </c>
      <c r="G681" s="48" t="s">
        <v>1091</v>
      </c>
      <c r="H681" s="47" t="s">
        <v>1092</v>
      </c>
      <c r="I681" s="47" t="s">
        <v>1093</v>
      </c>
      <c r="J681" s="47" t="s">
        <v>26</v>
      </c>
    </row>
    <row r="682" ht="54" customHeight="1" spans="1:10">
      <c r="A682" s="48" t="s">
        <v>211</v>
      </c>
      <c r="B682" s="48" t="s">
        <v>2090</v>
      </c>
      <c r="C682" s="47" t="s">
        <v>950</v>
      </c>
      <c r="D682" s="48" t="s">
        <v>935</v>
      </c>
      <c r="E682" s="48" t="s">
        <v>936</v>
      </c>
      <c r="F682" s="48" t="s">
        <v>951</v>
      </c>
      <c r="G682" s="48" t="s">
        <v>952</v>
      </c>
      <c r="H682" s="47" t="s">
        <v>953</v>
      </c>
      <c r="I682" s="47" t="s">
        <v>954</v>
      </c>
      <c r="J682" s="47" t="s">
        <v>26</v>
      </c>
    </row>
    <row r="683" ht="54" customHeight="1" spans="1:10">
      <c r="A683" s="48" t="s">
        <v>211</v>
      </c>
      <c r="B683" s="48" t="s">
        <v>2091</v>
      </c>
      <c r="C683" s="47" t="s">
        <v>1105</v>
      </c>
      <c r="D683" s="48" t="s">
        <v>1009</v>
      </c>
      <c r="E683" s="48" t="s">
        <v>1010</v>
      </c>
      <c r="F683" s="48" t="s">
        <v>1106</v>
      </c>
      <c r="G683" s="48" t="s">
        <v>1107</v>
      </c>
      <c r="H683" s="47" t="s">
        <v>1108</v>
      </c>
      <c r="I683" s="47" t="s">
        <v>1109</v>
      </c>
      <c r="J683" s="47" t="s">
        <v>26</v>
      </c>
    </row>
    <row r="684" ht="54" customHeight="1" spans="1:10">
      <c r="A684" s="48" t="s">
        <v>211</v>
      </c>
      <c r="B684" s="48" t="s">
        <v>2092</v>
      </c>
      <c r="C684" s="47" t="s">
        <v>1097</v>
      </c>
      <c r="D684" s="48" t="s">
        <v>1098</v>
      </c>
      <c r="E684" s="48" t="s">
        <v>1099</v>
      </c>
      <c r="F684" s="48" t="s">
        <v>1100</v>
      </c>
      <c r="G684" s="48" t="s">
        <v>1101</v>
      </c>
      <c r="H684" s="47" t="s">
        <v>1102</v>
      </c>
      <c r="I684" s="47" t="s">
        <v>1103</v>
      </c>
      <c r="J684" s="47" t="s">
        <v>26</v>
      </c>
    </row>
    <row r="685" ht="54" customHeight="1" spans="1:10">
      <c r="A685" s="48" t="s">
        <v>211</v>
      </c>
      <c r="B685" s="48" t="s">
        <v>2093</v>
      </c>
      <c r="C685" s="47" t="s">
        <v>1666</v>
      </c>
      <c r="D685" s="48" t="s">
        <v>1082</v>
      </c>
      <c r="E685" s="48" t="s">
        <v>1083</v>
      </c>
      <c r="F685" s="48" t="s">
        <v>1667</v>
      </c>
      <c r="G685" s="48" t="s">
        <v>1668</v>
      </c>
      <c r="H685" s="47" t="s">
        <v>1669</v>
      </c>
      <c r="I685" s="47" t="s">
        <v>1670</v>
      </c>
      <c r="J685" s="47" t="s">
        <v>26</v>
      </c>
    </row>
    <row r="686" ht="54" customHeight="1" spans="1:10">
      <c r="A686" s="48" t="s">
        <v>211</v>
      </c>
      <c r="B686" s="48" t="s">
        <v>2094</v>
      </c>
      <c r="C686" s="47" t="s">
        <v>1252</v>
      </c>
      <c r="D686" s="48" t="s">
        <v>1001</v>
      </c>
      <c r="E686" s="48" t="s">
        <v>1002</v>
      </c>
      <c r="F686" s="48" t="s">
        <v>1253</v>
      </c>
      <c r="G686" s="48" t="s">
        <v>1254</v>
      </c>
      <c r="H686" s="47" t="s">
        <v>1255</v>
      </c>
      <c r="I686" s="47" t="s">
        <v>1256</v>
      </c>
      <c r="J686" s="47" t="s">
        <v>26</v>
      </c>
    </row>
    <row r="687" ht="54" customHeight="1" spans="1:10">
      <c r="A687" s="48" t="s">
        <v>211</v>
      </c>
      <c r="B687" s="48" t="s">
        <v>2095</v>
      </c>
      <c r="C687" s="47" t="s">
        <v>1111</v>
      </c>
      <c r="D687" s="48" t="s">
        <v>965</v>
      </c>
      <c r="E687" s="48" t="s">
        <v>966</v>
      </c>
      <c r="F687" s="48" t="s">
        <v>1112</v>
      </c>
      <c r="G687" s="48" t="s">
        <v>1113</v>
      </c>
      <c r="H687" s="47" t="s">
        <v>1114</v>
      </c>
      <c r="I687" s="47" t="s">
        <v>1115</v>
      </c>
      <c r="J687" s="47" t="s">
        <v>26</v>
      </c>
    </row>
    <row r="688" ht="54" customHeight="1" spans="1:10">
      <c r="A688" s="48" t="s">
        <v>213</v>
      </c>
      <c r="B688" s="48" t="s">
        <v>2096</v>
      </c>
      <c r="C688" s="47" t="s">
        <v>1480</v>
      </c>
      <c r="D688" s="48" t="s">
        <v>1001</v>
      </c>
      <c r="E688" s="48" t="s">
        <v>1002</v>
      </c>
      <c r="F688" s="48" t="s">
        <v>1481</v>
      </c>
      <c r="G688" s="48" t="s">
        <v>1482</v>
      </c>
      <c r="H688" s="47" t="s">
        <v>1483</v>
      </c>
      <c r="I688" s="47" t="s">
        <v>1484</v>
      </c>
      <c r="J688" s="47" t="s">
        <v>26</v>
      </c>
    </row>
    <row r="689" ht="54" customHeight="1" spans="1:10">
      <c r="A689" s="48" t="s">
        <v>213</v>
      </c>
      <c r="B689" s="48" t="s">
        <v>2097</v>
      </c>
      <c r="C689" s="47" t="s">
        <v>1022</v>
      </c>
      <c r="D689" s="48" t="s">
        <v>957</v>
      </c>
      <c r="E689" s="48" t="s">
        <v>958</v>
      </c>
      <c r="F689" s="48" t="s">
        <v>1023</v>
      </c>
      <c r="G689" s="48" t="s">
        <v>1024</v>
      </c>
      <c r="H689" s="47" t="s">
        <v>1025</v>
      </c>
      <c r="I689" s="47" t="s">
        <v>1026</v>
      </c>
      <c r="J689" s="47" t="s">
        <v>26</v>
      </c>
    </row>
    <row r="690" ht="54" customHeight="1" spans="1:10">
      <c r="A690" s="48" t="s">
        <v>213</v>
      </c>
      <c r="B690" s="48" t="s">
        <v>2098</v>
      </c>
      <c r="C690" s="47" t="s">
        <v>1081</v>
      </c>
      <c r="D690" s="48" t="s">
        <v>1082</v>
      </c>
      <c r="E690" s="48" t="s">
        <v>1083</v>
      </c>
      <c r="F690" s="48" t="s">
        <v>1084</v>
      </c>
      <c r="G690" s="48" t="s">
        <v>1085</v>
      </c>
      <c r="H690" s="47" t="s">
        <v>1086</v>
      </c>
      <c r="I690" s="47" t="s">
        <v>1087</v>
      </c>
      <c r="J690" s="47" t="s">
        <v>26</v>
      </c>
    </row>
    <row r="691" ht="54" customHeight="1" spans="1:10">
      <c r="A691" s="48" t="s">
        <v>213</v>
      </c>
      <c r="B691" s="48" t="s">
        <v>2099</v>
      </c>
      <c r="C691" s="47" t="s">
        <v>956</v>
      </c>
      <c r="D691" s="48" t="s">
        <v>957</v>
      </c>
      <c r="E691" s="48" t="s">
        <v>958</v>
      </c>
      <c r="F691" s="48" t="s">
        <v>959</v>
      </c>
      <c r="G691" s="48" t="s">
        <v>960</v>
      </c>
      <c r="H691" s="47" t="s">
        <v>961</v>
      </c>
      <c r="I691" s="47" t="s">
        <v>962</v>
      </c>
      <c r="J691" s="47" t="s">
        <v>26</v>
      </c>
    </row>
    <row r="692" ht="54" customHeight="1" spans="1:10">
      <c r="A692" s="48" t="s">
        <v>213</v>
      </c>
      <c r="B692" s="48" t="s">
        <v>2100</v>
      </c>
      <c r="C692" s="47" t="s">
        <v>1767</v>
      </c>
      <c r="D692" s="48" t="s">
        <v>957</v>
      </c>
      <c r="E692" s="48" t="s">
        <v>958</v>
      </c>
      <c r="F692" s="48" t="s">
        <v>1768</v>
      </c>
      <c r="G692" s="48" t="s">
        <v>1769</v>
      </c>
      <c r="H692" s="47" t="s">
        <v>1770</v>
      </c>
      <c r="I692" s="47" t="s">
        <v>1771</v>
      </c>
      <c r="J692" s="47" t="s">
        <v>26</v>
      </c>
    </row>
    <row r="693" ht="54" customHeight="1" spans="1:10">
      <c r="A693" s="48" t="s">
        <v>213</v>
      </c>
      <c r="B693" s="48" t="s">
        <v>2101</v>
      </c>
      <c r="C693" s="47" t="s">
        <v>971</v>
      </c>
      <c r="D693" s="48" t="s">
        <v>965</v>
      </c>
      <c r="E693" s="48" t="s">
        <v>966</v>
      </c>
      <c r="F693" s="48" t="s">
        <v>972</v>
      </c>
      <c r="G693" s="48" t="s">
        <v>973</v>
      </c>
      <c r="H693" s="47" t="s">
        <v>974</v>
      </c>
      <c r="I693" s="47" t="s">
        <v>975</v>
      </c>
      <c r="J693" s="47" t="s">
        <v>26</v>
      </c>
    </row>
    <row r="694" ht="54" customHeight="1" spans="1:10">
      <c r="A694" s="48" t="s">
        <v>213</v>
      </c>
      <c r="B694" s="48" t="s">
        <v>2102</v>
      </c>
      <c r="C694" s="47" t="s">
        <v>1205</v>
      </c>
      <c r="D694" s="48" t="s">
        <v>978</v>
      </c>
      <c r="E694" s="48" t="s">
        <v>979</v>
      </c>
      <c r="F694" s="48" t="s">
        <v>1206</v>
      </c>
      <c r="G694" s="48" t="s">
        <v>1207</v>
      </c>
      <c r="H694" s="47" t="s">
        <v>1208</v>
      </c>
      <c r="I694" s="47" t="s">
        <v>1209</v>
      </c>
      <c r="J694" s="47" t="s">
        <v>26</v>
      </c>
    </row>
    <row r="695" ht="54" customHeight="1" spans="1:10">
      <c r="A695" s="48" t="s">
        <v>215</v>
      </c>
      <c r="B695" s="48" t="s">
        <v>2103</v>
      </c>
      <c r="C695" s="47" t="s">
        <v>934</v>
      </c>
      <c r="D695" s="48" t="s">
        <v>935</v>
      </c>
      <c r="E695" s="48" t="s">
        <v>936</v>
      </c>
      <c r="F695" s="48" t="s">
        <v>937</v>
      </c>
      <c r="G695" s="48" t="s">
        <v>938</v>
      </c>
      <c r="H695" s="47" t="s">
        <v>939</v>
      </c>
      <c r="I695" s="47" t="s">
        <v>940</v>
      </c>
      <c r="J695" s="47" t="s">
        <v>26</v>
      </c>
    </row>
    <row r="696" ht="54" customHeight="1" spans="1:10">
      <c r="A696" s="48" t="s">
        <v>215</v>
      </c>
      <c r="B696" s="48" t="s">
        <v>2104</v>
      </c>
      <c r="C696" s="47" t="s">
        <v>1016</v>
      </c>
      <c r="D696" s="48" t="s">
        <v>935</v>
      </c>
      <c r="E696" s="48" t="s">
        <v>936</v>
      </c>
      <c r="F696" s="48" t="s">
        <v>1017</v>
      </c>
      <c r="G696" s="48" t="s">
        <v>1018</v>
      </c>
      <c r="H696" s="47" t="s">
        <v>1019</v>
      </c>
      <c r="I696" s="47" t="s">
        <v>1020</v>
      </c>
      <c r="J696" s="47" t="s">
        <v>26</v>
      </c>
    </row>
    <row r="697" ht="54" customHeight="1" spans="1:10">
      <c r="A697" s="48" t="s">
        <v>215</v>
      </c>
      <c r="B697" s="48" t="s">
        <v>2105</v>
      </c>
      <c r="C697" s="47" t="s">
        <v>1022</v>
      </c>
      <c r="D697" s="48" t="s">
        <v>957</v>
      </c>
      <c r="E697" s="48" t="s">
        <v>958</v>
      </c>
      <c r="F697" s="48" t="s">
        <v>1023</v>
      </c>
      <c r="G697" s="48" t="s">
        <v>1024</v>
      </c>
      <c r="H697" s="47" t="s">
        <v>1025</v>
      </c>
      <c r="I697" s="47" t="s">
        <v>1026</v>
      </c>
      <c r="J697" s="47" t="s">
        <v>26</v>
      </c>
    </row>
    <row r="698" ht="54" customHeight="1" spans="1:10">
      <c r="A698" s="48" t="s">
        <v>215</v>
      </c>
      <c r="B698" s="48" t="s">
        <v>2106</v>
      </c>
      <c r="C698" s="47" t="s">
        <v>1337</v>
      </c>
      <c r="D698" s="48" t="s">
        <v>1009</v>
      </c>
      <c r="E698" s="48" t="s">
        <v>1010</v>
      </c>
      <c r="F698" s="48" t="s">
        <v>1338</v>
      </c>
      <c r="G698" s="48" t="s">
        <v>1339</v>
      </c>
      <c r="H698" s="47" t="s">
        <v>1340</v>
      </c>
      <c r="I698" s="47" t="s">
        <v>1341</v>
      </c>
      <c r="J698" s="47" t="s">
        <v>26</v>
      </c>
    </row>
    <row r="699" ht="54" customHeight="1" spans="1:10">
      <c r="A699" s="48" t="s">
        <v>215</v>
      </c>
      <c r="B699" s="48" t="s">
        <v>2107</v>
      </c>
      <c r="C699" s="47" t="s">
        <v>950</v>
      </c>
      <c r="D699" s="48" t="s">
        <v>935</v>
      </c>
      <c r="E699" s="48" t="s">
        <v>936</v>
      </c>
      <c r="F699" s="48" t="s">
        <v>951</v>
      </c>
      <c r="G699" s="48" t="s">
        <v>952</v>
      </c>
      <c r="H699" s="47" t="s">
        <v>953</v>
      </c>
      <c r="I699" s="47" t="s">
        <v>954</v>
      </c>
      <c r="J699" s="47" t="s">
        <v>26</v>
      </c>
    </row>
    <row r="700" ht="54" customHeight="1" spans="1:10">
      <c r="A700" s="48" t="s">
        <v>215</v>
      </c>
      <c r="B700" s="48" t="s">
        <v>2108</v>
      </c>
      <c r="C700" s="47" t="s">
        <v>956</v>
      </c>
      <c r="D700" s="48" t="s">
        <v>957</v>
      </c>
      <c r="E700" s="48" t="s">
        <v>958</v>
      </c>
      <c r="F700" s="48" t="s">
        <v>959</v>
      </c>
      <c r="G700" s="48" t="s">
        <v>960</v>
      </c>
      <c r="H700" s="47" t="s">
        <v>961</v>
      </c>
      <c r="I700" s="47" t="s">
        <v>962</v>
      </c>
      <c r="J700" s="47" t="s">
        <v>26</v>
      </c>
    </row>
    <row r="701" ht="54" customHeight="1" spans="1:10">
      <c r="A701" s="48" t="s">
        <v>215</v>
      </c>
      <c r="B701" s="48" t="s">
        <v>2109</v>
      </c>
      <c r="C701" s="47" t="s">
        <v>1105</v>
      </c>
      <c r="D701" s="48" t="s">
        <v>1009</v>
      </c>
      <c r="E701" s="48" t="s">
        <v>1010</v>
      </c>
      <c r="F701" s="48" t="s">
        <v>1106</v>
      </c>
      <c r="G701" s="48" t="s">
        <v>1107</v>
      </c>
      <c r="H701" s="47" t="s">
        <v>1108</v>
      </c>
      <c r="I701" s="47" t="s">
        <v>1109</v>
      </c>
      <c r="J701" s="47" t="s">
        <v>26</v>
      </c>
    </row>
    <row r="702" ht="54" customHeight="1" spans="1:10">
      <c r="A702" s="48" t="s">
        <v>215</v>
      </c>
      <c r="B702" s="48" t="s">
        <v>2110</v>
      </c>
      <c r="C702" s="47" t="s">
        <v>1268</v>
      </c>
      <c r="D702" s="48" t="s">
        <v>957</v>
      </c>
      <c r="E702" s="48" t="s">
        <v>958</v>
      </c>
      <c r="F702" s="48" t="s">
        <v>1269</v>
      </c>
      <c r="G702" s="48" t="s">
        <v>1270</v>
      </c>
      <c r="H702" s="47" t="s">
        <v>1271</v>
      </c>
      <c r="I702" s="47" t="s">
        <v>1272</v>
      </c>
      <c r="J702" s="47" t="s">
        <v>26</v>
      </c>
    </row>
    <row r="703" ht="54" customHeight="1" spans="1:10">
      <c r="A703" s="48" t="s">
        <v>215</v>
      </c>
      <c r="B703" s="48" t="s">
        <v>2111</v>
      </c>
      <c r="C703" s="47" t="s">
        <v>1767</v>
      </c>
      <c r="D703" s="48" t="s">
        <v>957</v>
      </c>
      <c r="E703" s="48" t="s">
        <v>958</v>
      </c>
      <c r="F703" s="48" t="s">
        <v>1768</v>
      </c>
      <c r="G703" s="48" t="s">
        <v>1769</v>
      </c>
      <c r="H703" s="47" t="s">
        <v>1770</v>
      </c>
      <c r="I703" s="47" t="s">
        <v>1771</v>
      </c>
      <c r="J703" s="47" t="s">
        <v>26</v>
      </c>
    </row>
    <row r="704" ht="54" customHeight="1" spans="1:10">
      <c r="A704" s="48" t="s">
        <v>215</v>
      </c>
      <c r="B704" s="48" t="s">
        <v>2112</v>
      </c>
      <c r="C704" s="47" t="s">
        <v>1036</v>
      </c>
      <c r="D704" s="48" t="s">
        <v>1037</v>
      </c>
      <c r="E704" s="48" t="s">
        <v>1038</v>
      </c>
      <c r="F704" s="48" t="s">
        <v>1039</v>
      </c>
      <c r="G704" s="48" t="s">
        <v>1040</v>
      </c>
      <c r="H704" s="47" t="s">
        <v>1041</v>
      </c>
      <c r="I704" s="47" t="s">
        <v>1042</v>
      </c>
      <c r="J704" s="47" t="s">
        <v>26</v>
      </c>
    </row>
    <row r="705" ht="54" customHeight="1" spans="1:10">
      <c r="A705" s="48" t="s">
        <v>215</v>
      </c>
      <c r="B705" s="48" t="s">
        <v>2113</v>
      </c>
      <c r="C705" s="47" t="s">
        <v>1052</v>
      </c>
      <c r="D705" s="48" t="s">
        <v>1009</v>
      </c>
      <c r="E705" s="48" t="s">
        <v>1010</v>
      </c>
      <c r="F705" s="48" t="s">
        <v>1053</v>
      </c>
      <c r="G705" s="48" t="s">
        <v>1054</v>
      </c>
      <c r="H705" s="47" t="s">
        <v>1055</v>
      </c>
      <c r="I705" s="47" t="s">
        <v>1056</v>
      </c>
      <c r="J705" s="47" t="s">
        <v>26</v>
      </c>
    </row>
    <row r="706" ht="54" customHeight="1" spans="1:10">
      <c r="A706" s="48" t="s">
        <v>215</v>
      </c>
      <c r="B706" s="48" t="s">
        <v>2114</v>
      </c>
      <c r="C706" s="47" t="s">
        <v>1718</v>
      </c>
      <c r="D706" s="48" t="s">
        <v>1719</v>
      </c>
      <c r="E706" s="48" t="s">
        <v>1720</v>
      </c>
      <c r="F706" s="48" t="s">
        <v>1721</v>
      </c>
      <c r="G706" s="48" t="s">
        <v>1722</v>
      </c>
      <c r="H706" s="47" t="s">
        <v>1723</v>
      </c>
      <c r="I706" s="47" t="s">
        <v>1724</v>
      </c>
      <c r="J706" s="47" t="s">
        <v>26</v>
      </c>
    </row>
    <row r="707" ht="54" customHeight="1" spans="1:10">
      <c r="A707" s="48" t="s">
        <v>217</v>
      </c>
      <c r="B707" s="48" t="s">
        <v>2115</v>
      </c>
      <c r="C707" s="47" t="s">
        <v>1480</v>
      </c>
      <c r="D707" s="48" t="s">
        <v>1001</v>
      </c>
      <c r="E707" s="48" t="s">
        <v>1002</v>
      </c>
      <c r="F707" s="48" t="s">
        <v>1481</v>
      </c>
      <c r="G707" s="48" t="s">
        <v>1482</v>
      </c>
      <c r="H707" s="47" t="s">
        <v>1483</v>
      </c>
      <c r="I707" s="47" t="s">
        <v>1484</v>
      </c>
      <c r="J707" s="47" t="s">
        <v>26</v>
      </c>
    </row>
    <row r="708" ht="54" customHeight="1" spans="1:10">
      <c r="A708" s="48" t="s">
        <v>217</v>
      </c>
      <c r="B708" s="48" t="s">
        <v>2116</v>
      </c>
      <c r="C708" s="47" t="s">
        <v>1081</v>
      </c>
      <c r="D708" s="48" t="s">
        <v>1082</v>
      </c>
      <c r="E708" s="48" t="s">
        <v>1083</v>
      </c>
      <c r="F708" s="48" t="s">
        <v>1084</v>
      </c>
      <c r="G708" s="48" t="s">
        <v>1085</v>
      </c>
      <c r="H708" s="47" t="s">
        <v>1086</v>
      </c>
      <c r="I708" s="47" t="s">
        <v>1087</v>
      </c>
      <c r="J708" s="47" t="s">
        <v>26</v>
      </c>
    </row>
    <row r="709" ht="54" customHeight="1" spans="1:10">
      <c r="A709" s="48" t="s">
        <v>217</v>
      </c>
      <c r="B709" s="48" t="s">
        <v>2117</v>
      </c>
      <c r="C709" s="47" t="s">
        <v>1097</v>
      </c>
      <c r="D709" s="48" t="s">
        <v>1098</v>
      </c>
      <c r="E709" s="48" t="s">
        <v>1099</v>
      </c>
      <c r="F709" s="48" t="s">
        <v>1100</v>
      </c>
      <c r="G709" s="48" t="s">
        <v>1101</v>
      </c>
      <c r="H709" s="47" t="s">
        <v>1102</v>
      </c>
      <c r="I709" s="47" t="s">
        <v>1103</v>
      </c>
      <c r="J709" s="47" t="s">
        <v>26</v>
      </c>
    </row>
    <row r="710" ht="54" customHeight="1" spans="1:10">
      <c r="A710" s="48" t="s">
        <v>217</v>
      </c>
      <c r="B710" s="48" t="s">
        <v>2118</v>
      </c>
      <c r="C710" s="47" t="s">
        <v>1066</v>
      </c>
      <c r="D710" s="48" t="s">
        <v>935</v>
      </c>
      <c r="E710" s="48" t="s">
        <v>936</v>
      </c>
      <c r="F710" s="48" t="s">
        <v>1067</v>
      </c>
      <c r="G710" s="48" t="s">
        <v>1068</v>
      </c>
      <c r="H710" s="47" t="s">
        <v>1069</v>
      </c>
      <c r="I710" s="47" t="s">
        <v>940</v>
      </c>
      <c r="J710" s="47" t="s">
        <v>26</v>
      </c>
    </row>
    <row r="711" ht="54" customHeight="1" spans="1:10">
      <c r="A711" s="48" t="s">
        <v>217</v>
      </c>
      <c r="B711" s="48" t="s">
        <v>2119</v>
      </c>
      <c r="C711" s="47" t="s">
        <v>1137</v>
      </c>
      <c r="D711" s="48" t="s">
        <v>1138</v>
      </c>
      <c r="E711" s="48" t="s">
        <v>1139</v>
      </c>
      <c r="F711" s="48" t="s">
        <v>1140</v>
      </c>
      <c r="G711" s="48" t="s">
        <v>1141</v>
      </c>
      <c r="H711" s="47" t="s">
        <v>1142</v>
      </c>
      <c r="I711" s="47" t="s">
        <v>940</v>
      </c>
      <c r="J711" s="47" t="s">
        <v>26</v>
      </c>
    </row>
    <row r="712" ht="54" customHeight="1" spans="1:10">
      <c r="A712" s="48" t="s">
        <v>217</v>
      </c>
      <c r="B712" s="48" t="s">
        <v>2120</v>
      </c>
      <c r="C712" s="47" t="s">
        <v>1291</v>
      </c>
      <c r="D712" s="48" t="s">
        <v>965</v>
      </c>
      <c r="E712" s="48" t="s">
        <v>966</v>
      </c>
      <c r="F712" s="48" t="s">
        <v>1292</v>
      </c>
      <c r="G712" s="48" t="s">
        <v>1293</v>
      </c>
      <c r="H712" s="47" t="s">
        <v>1294</v>
      </c>
      <c r="I712" s="47" t="s">
        <v>1295</v>
      </c>
      <c r="J712" s="47" t="s">
        <v>26</v>
      </c>
    </row>
    <row r="713" ht="54" customHeight="1" spans="1:10">
      <c r="A713" s="48" t="s">
        <v>217</v>
      </c>
      <c r="B713" s="48" t="s">
        <v>2121</v>
      </c>
      <c r="C713" s="47" t="s">
        <v>1205</v>
      </c>
      <c r="D713" s="48" t="s">
        <v>978</v>
      </c>
      <c r="E713" s="48" t="s">
        <v>979</v>
      </c>
      <c r="F713" s="48" t="s">
        <v>1206</v>
      </c>
      <c r="G713" s="48" t="s">
        <v>1207</v>
      </c>
      <c r="H713" s="47" t="s">
        <v>1208</v>
      </c>
      <c r="I713" s="47" t="s">
        <v>1209</v>
      </c>
      <c r="J713" s="47" t="s">
        <v>26</v>
      </c>
    </row>
    <row r="714" ht="54" customHeight="1" spans="1:10">
      <c r="A714" s="48" t="s">
        <v>217</v>
      </c>
      <c r="B714" s="48" t="s">
        <v>2122</v>
      </c>
      <c r="C714" s="47" t="s">
        <v>1245</v>
      </c>
      <c r="D714" s="48" t="s">
        <v>1171</v>
      </c>
      <c r="E714" s="48" t="s">
        <v>1172</v>
      </c>
      <c r="F714" s="48" t="s">
        <v>1246</v>
      </c>
      <c r="G714" s="48" t="s">
        <v>1247</v>
      </c>
      <c r="H714" s="47" t="s">
        <v>1248</v>
      </c>
      <c r="I714" s="47" t="s">
        <v>1176</v>
      </c>
      <c r="J714" s="47" t="s">
        <v>26</v>
      </c>
    </row>
    <row r="715" ht="54" customHeight="1" spans="1:10">
      <c r="A715" s="48" t="s">
        <v>219</v>
      </c>
      <c r="B715" s="48" t="s">
        <v>2123</v>
      </c>
      <c r="C715" s="47" t="s">
        <v>934</v>
      </c>
      <c r="D715" s="48" t="s">
        <v>935</v>
      </c>
      <c r="E715" s="48" t="s">
        <v>936</v>
      </c>
      <c r="F715" s="48" t="s">
        <v>937</v>
      </c>
      <c r="G715" s="48" t="s">
        <v>938</v>
      </c>
      <c r="H715" s="47" t="s">
        <v>939</v>
      </c>
      <c r="I715" s="47" t="s">
        <v>940</v>
      </c>
      <c r="J715" s="47" t="s">
        <v>26</v>
      </c>
    </row>
    <row r="716" ht="54" customHeight="1" spans="1:10">
      <c r="A716" s="48" t="s">
        <v>219</v>
      </c>
      <c r="B716" s="48" t="s">
        <v>2124</v>
      </c>
      <c r="C716" s="47" t="s">
        <v>1008</v>
      </c>
      <c r="D716" s="48" t="s">
        <v>1009</v>
      </c>
      <c r="E716" s="48" t="s">
        <v>1010</v>
      </c>
      <c r="F716" s="48" t="s">
        <v>1011</v>
      </c>
      <c r="G716" s="48" t="s">
        <v>1012</v>
      </c>
      <c r="H716" s="47" t="s">
        <v>1013</v>
      </c>
      <c r="I716" s="47" t="s">
        <v>1014</v>
      </c>
      <c r="J716" s="47" t="s">
        <v>26</v>
      </c>
    </row>
    <row r="717" ht="54" customHeight="1" spans="1:10">
      <c r="A717" s="48" t="s">
        <v>219</v>
      </c>
      <c r="B717" s="48" t="s">
        <v>2125</v>
      </c>
      <c r="C717" s="47" t="s">
        <v>956</v>
      </c>
      <c r="D717" s="48" t="s">
        <v>957</v>
      </c>
      <c r="E717" s="48" t="s">
        <v>958</v>
      </c>
      <c r="F717" s="48" t="s">
        <v>959</v>
      </c>
      <c r="G717" s="48" t="s">
        <v>960</v>
      </c>
      <c r="H717" s="47" t="s">
        <v>961</v>
      </c>
      <c r="I717" s="47" t="s">
        <v>962</v>
      </c>
      <c r="J717" s="47" t="s">
        <v>26</v>
      </c>
    </row>
    <row r="718" ht="54" customHeight="1" spans="1:10">
      <c r="A718" s="48" t="s">
        <v>219</v>
      </c>
      <c r="B718" s="48" t="s">
        <v>2126</v>
      </c>
      <c r="C718" s="47" t="s">
        <v>1097</v>
      </c>
      <c r="D718" s="48" t="s">
        <v>1098</v>
      </c>
      <c r="E718" s="48" t="s">
        <v>1099</v>
      </c>
      <c r="F718" s="48" t="s">
        <v>1100</v>
      </c>
      <c r="G718" s="48" t="s">
        <v>1101</v>
      </c>
      <c r="H718" s="47" t="s">
        <v>1102</v>
      </c>
      <c r="I718" s="47" t="s">
        <v>1103</v>
      </c>
      <c r="J718" s="47" t="s">
        <v>26</v>
      </c>
    </row>
    <row r="719" ht="54" customHeight="1" spans="1:10">
      <c r="A719" s="48" t="s">
        <v>219</v>
      </c>
      <c r="B719" s="48" t="s">
        <v>2127</v>
      </c>
      <c r="C719" s="47" t="s">
        <v>1066</v>
      </c>
      <c r="D719" s="48" t="s">
        <v>935</v>
      </c>
      <c r="E719" s="48" t="s">
        <v>936</v>
      </c>
      <c r="F719" s="48" t="s">
        <v>1067</v>
      </c>
      <c r="G719" s="48" t="s">
        <v>1068</v>
      </c>
      <c r="H719" s="47" t="s">
        <v>1069</v>
      </c>
      <c r="I719" s="47" t="s">
        <v>940</v>
      </c>
      <c r="J719" s="47" t="s">
        <v>26</v>
      </c>
    </row>
    <row r="720" ht="54" customHeight="1" spans="1:10">
      <c r="A720" s="48" t="s">
        <v>219</v>
      </c>
      <c r="B720" s="48" t="s">
        <v>2128</v>
      </c>
      <c r="C720" s="47" t="s">
        <v>977</v>
      </c>
      <c r="D720" s="48" t="s">
        <v>978</v>
      </c>
      <c r="E720" s="48" t="s">
        <v>979</v>
      </c>
      <c r="F720" s="48" t="s">
        <v>980</v>
      </c>
      <c r="G720" s="48" t="s">
        <v>981</v>
      </c>
      <c r="H720" s="47" t="s">
        <v>982</v>
      </c>
      <c r="I720" s="47" t="s">
        <v>983</v>
      </c>
      <c r="J720" s="47" t="s">
        <v>26</v>
      </c>
    </row>
    <row r="721" ht="54" customHeight="1" spans="1:10">
      <c r="A721" s="48" t="s">
        <v>219</v>
      </c>
      <c r="B721" s="48" t="s">
        <v>2129</v>
      </c>
      <c r="C721" s="47" t="s">
        <v>1216</v>
      </c>
      <c r="D721" s="48" t="s">
        <v>993</v>
      </c>
      <c r="E721" s="48" t="s">
        <v>994</v>
      </c>
      <c r="F721" s="48" t="s">
        <v>1217</v>
      </c>
      <c r="G721" s="48" t="s">
        <v>1218</v>
      </c>
      <c r="H721" s="47" t="s">
        <v>1219</v>
      </c>
      <c r="I721" s="47" t="s">
        <v>1220</v>
      </c>
      <c r="J721" s="47" t="s">
        <v>26</v>
      </c>
    </row>
    <row r="722" ht="54" customHeight="1" spans="1:10">
      <c r="A722" s="48" t="s">
        <v>221</v>
      </c>
      <c r="B722" s="48" t="s">
        <v>2130</v>
      </c>
      <c r="C722" s="47" t="s">
        <v>934</v>
      </c>
      <c r="D722" s="48" t="s">
        <v>935</v>
      </c>
      <c r="E722" s="48" t="s">
        <v>936</v>
      </c>
      <c r="F722" s="48" t="s">
        <v>937</v>
      </c>
      <c r="G722" s="48" t="s">
        <v>938</v>
      </c>
      <c r="H722" s="47" t="s">
        <v>939</v>
      </c>
      <c r="I722" s="47" t="s">
        <v>940</v>
      </c>
      <c r="J722" s="47" t="s">
        <v>26</v>
      </c>
    </row>
    <row r="723" ht="54" customHeight="1" spans="1:10">
      <c r="A723" s="48" t="s">
        <v>221</v>
      </c>
      <c r="B723" s="48" t="s">
        <v>2131</v>
      </c>
      <c r="C723" s="47" t="s">
        <v>1036</v>
      </c>
      <c r="D723" s="48" t="s">
        <v>1037</v>
      </c>
      <c r="E723" s="48" t="s">
        <v>1038</v>
      </c>
      <c r="F723" s="48" t="s">
        <v>1039</v>
      </c>
      <c r="G723" s="48" t="s">
        <v>1040</v>
      </c>
      <c r="H723" s="47" t="s">
        <v>1041</v>
      </c>
      <c r="I723" s="47" t="s">
        <v>1042</v>
      </c>
      <c r="J723" s="47" t="s">
        <v>26</v>
      </c>
    </row>
    <row r="724" ht="54" customHeight="1" spans="1:10">
      <c r="A724" s="48" t="s">
        <v>221</v>
      </c>
      <c r="B724" s="48" t="s">
        <v>2132</v>
      </c>
      <c r="C724" s="47" t="s">
        <v>1066</v>
      </c>
      <c r="D724" s="48" t="s">
        <v>935</v>
      </c>
      <c r="E724" s="48" t="s">
        <v>936</v>
      </c>
      <c r="F724" s="48" t="s">
        <v>1067</v>
      </c>
      <c r="G724" s="48" t="s">
        <v>1068</v>
      </c>
      <c r="H724" s="47" t="s">
        <v>1069</v>
      </c>
      <c r="I724" s="47" t="s">
        <v>940</v>
      </c>
      <c r="J724" s="47" t="s">
        <v>26</v>
      </c>
    </row>
    <row r="725" ht="54" customHeight="1" spans="1:10">
      <c r="A725" s="48" t="s">
        <v>221</v>
      </c>
      <c r="B725" s="48" t="s">
        <v>2133</v>
      </c>
      <c r="C725" s="47" t="s">
        <v>971</v>
      </c>
      <c r="D725" s="48" t="s">
        <v>965</v>
      </c>
      <c r="E725" s="48" t="s">
        <v>966</v>
      </c>
      <c r="F725" s="48" t="s">
        <v>972</v>
      </c>
      <c r="G725" s="48" t="s">
        <v>973</v>
      </c>
      <c r="H725" s="47" t="s">
        <v>974</v>
      </c>
      <c r="I725" s="47" t="s">
        <v>975</v>
      </c>
      <c r="J725" s="47" t="s">
        <v>26</v>
      </c>
    </row>
    <row r="726" ht="54" customHeight="1" spans="1:10">
      <c r="A726" s="48" t="s">
        <v>221</v>
      </c>
      <c r="B726" s="48" t="s">
        <v>2134</v>
      </c>
      <c r="C726" s="47" t="s">
        <v>1170</v>
      </c>
      <c r="D726" s="48" t="s">
        <v>1171</v>
      </c>
      <c r="E726" s="48" t="s">
        <v>1172</v>
      </c>
      <c r="F726" s="48" t="s">
        <v>1173</v>
      </c>
      <c r="G726" s="48" t="s">
        <v>1174</v>
      </c>
      <c r="H726" s="47" t="s">
        <v>1175</v>
      </c>
      <c r="I726" s="47" t="s">
        <v>1176</v>
      </c>
      <c r="J726" s="47" t="s">
        <v>26</v>
      </c>
    </row>
    <row r="727" ht="54" customHeight="1" spans="1:10">
      <c r="A727" s="48" t="s">
        <v>223</v>
      </c>
      <c r="B727" s="48" t="s">
        <v>2135</v>
      </c>
      <c r="C727" s="47" t="s">
        <v>934</v>
      </c>
      <c r="D727" s="48" t="s">
        <v>935</v>
      </c>
      <c r="E727" s="48" t="s">
        <v>936</v>
      </c>
      <c r="F727" s="48" t="s">
        <v>937</v>
      </c>
      <c r="G727" s="48" t="s">
        <v>938</v>
      </c>
      <c r="H727" s="47" t="s">
        <v>939</v>
      </c>
      <c r="I727" s="47" t="s">
        <v>940</v>
      </c>
      <c r="J727" s="47" t="s">
        <v>26</v>
      </c>
    </row>
    <row r="728" ht="54" customHeight="1" spans="1:10">
      <c r="A728" s="48" t="s">
        <v>223</v>
      </c>
      <c r="B728" s="48" t="s">
        <v>2136</v>
      </c>
      <c r="C728" s="47" t="s">
        <v>942</v>
      </c>
      <c r="D728" s="48" t="s">
        <v>943</v>
      </c>
      <c r="E728" s="48" t="s">
        <v>944</v>
      </c>
      <c r="F728" s="48" t="s">
        <v>945</v>
      </c>
      <c r="G728" s="48" t="s">
        <v>946</v>
      </c>
      <c r="H728" s="47" t="s">
        <v>947</v>
      </c>
      <c r="I728" s="47" t="s">
        <v>948</v>
      </c>
      <c r="J728" s="47" t="s">
        <v>26</v>
      </c>
    </row>
    <row r="729" ht="54" customHeight="1" spans="1:10">
      <c r="A729" s="48" t="s">
        <v>223</v>
      </c>
      <c r="B729" s="48" t="s">
        <v>2137</v>
      </c>
      <c r="C729" s="47" t="s">
        <v>1572</v>
      </c>
      <c r="D729" s="48" t="s">
        <v>1098</v>
      </c>
      <c r="E729" s="48" t="s">
        <v>1099</v>
      </c>
      <c r="F729" s="48" t="s">
        <v>1573</v>
      </c>
      <c r="G729" s="48" t="s">
        <v>1574</v>
      </c>
      <c r="H729" s="47" t="s">
        <v>1575</v>
      </c>
      <c r="I729" s="47" t="s">
        <v>1576</v>
      </c>
      <c r="J729" s="47" t="s">
        <v>26</v>
      </c>
    </row>
    <row r="730" ht="54" customHeight="1" spans="1:10">
      <c r="A730" s="48" t="s">
        <v>223</v>
      </c>
      <c r="B730" s="48" t="s">
        <v>2138</v>
      </c>
      <c r="C730" s="47" t="s">
        <v>1089</v>
      </c>
      <c r="D730" s="48" t="s">
        <v>957</v>
      </c>
      <c r="E730" s="48" t="s">
        <v>958</v>
      </c>
      <c r="F730" s="48" t="s">
        <v>1090</v>
      </c>
      <c r="G730" s="48" t="s">
        <v>1091</v>
      </c>
      <c r="H730" s="47" t="s">
        <v>1092</v>
      </c>
      <c r="I730" s="47" t="s">
        <v>1093</v>
      </c>
      <c r="J730" s="47" t="s">
        <v>26</v>
      </c>
    </row>
    <row r="731" ht="54" customHeight="1" spans="1:10">
      <c r="A731" s="48" t="s">
        <v>223</v>
      </c>
      <c r="B731" s="48" t="s">
        <v>2139</v>
      </c>
      <c r="C731" s="47" t="s">
        <v>950</v>
      </c>
      <c r="D731" s="48" t="s">
        <v>935</v>
      </c>
      <c r="E731" s="48" t="s">
        <v>936</v>
      </c>
      <c r="F731" s="48" t="s">
        <v>951</v>
      </c>
      <c r="G731" s="48" t="s">
        <v>952</v>
      </c>
      <c r="H731" s="47" t="s">
        <v>953</v>
      </c>
      <c r="I731" s="47" t="s">
        <v>954</v>
      </c>
      <c r="J731" s="47" t="s">
        <v>26</v>
      </c>
    </row>
    <row r="732" ht="54" customHeight="1" spans="1:10">
      <c r="A732" s="48" t="s">
        <v>223</v>
      </c>
      <c r="B732" s="48" t="s">
        <v>2140</v>
      </c>
      <c r="C732" s="47" t="s">
        <v>956</v>
      </c>
      <c r="D732" s="48" t="s">
        <v>957</v>
      </c>
      <c r="E732" s="48" t="s">
        <v>958</v>
      </c>
      <c r="F732" s="48" t="s">
        <v>959</v>
      </c>
      <c r="G732" s="48" t="s">
        <v>960</v>
      </c>
      <c r="H732" s="47" t="s">
        <v>961</v>
      </c>
      <c r="I732" s="47" t="s">
        <v>962</v>
      </c>
      <c r="J732" s="47" t="s">
        <v>26</v>
      </c>
    </row>
    <row r="733" ht="54" customHeight="1" spans="1:10">
      <c r="A733" s="48" t="s">
        <v>223</v>
      </c>
      <c r="B733" s="48" t="s">
        <v>2141</v>
      </c>
      <c r="C733" s="47" t="s">
        <v>1105</v>
      </c>
      <c r="D733" s="48" t="s">
        <v>1009</v>
      </c>
      <c r="E733" s="48" t="s">
        <v>1010</v>
      </c>
      <c r="F733" s="48" t="s">
        <v>1106</v>
      </c>
      <c r="G733" s="48" t="s">
        <v>1107</v>
      </c>
      <c r="H733" s="47" t="s">
        <v>1108</v>
      </c>
      <c r="I733" s="47" t="s">
        <v>1109</v>
      </c>
      <c r="J733" s="47" t="s">
        <v>26</v>
      </c>
    </row>
    <row r="734" ht="54" customHeight="1" spans="1:10">
      <c r="A734" s="48" t="s">
        <v>223</v>
      </c>
      <c r="B734" s="48" t="s">
        <v>2142</v>
      </c>
      <c r="C734" s="47" t="s">
        <v>1052</v>
      </c>
      <c r="D734" s="48" t="s">
        <v>1009</v>
      </c>
      <c r="E734" s="48" t="s">
        <v>1010</v>
      </c>
      <c r="F734" s="48" t="s">
        <v>1053</v>
      </c>
      <c r="G734" s="48" t="s">
        <v>1054</v>
      </c>
      <c r="H734" s="47" t="s">
        <v>1055</v>
      </c>
      <c r="I734" s="47" t="s">
        <v>1056</v>
      </c>
      <c r="J734" s="47" t="s">
        <v>26</v>
      </c>
    </row>
    <row r="735" ht="54" customHeight="1" spans="1:10">
      <c r="A735" s="48" t="s">
        <v>223</v>
      </c>
      <c r="B735" s="48" t="s">
        <v>2143</v>
      </c>
      <c r="C735" s="47" t="s">
        <v>1058</v>
      </c>
      <c r="D735" s="48" t="s">
        <v>1059</v>
      </c>
      <c r="E735" s="48" t="s">
        <v>1060</v>
      </c>
      <c r="F735" s="48" t="s">
        <v>1061</v>
      </c>
      <c r="G735" s="48" t="s">
        <v>1062</v>
      </c>
      <c r="H735" s="47" t="s">
        <v>1063</v>
      </c>
      <c r="I735" s="47" t="s">
        <v>1064</v>
      </c>
      <c r="J735" s="47" t="s">
        <v>26</v>
      </c>
    </row>
    <row r="736" ht="54" customHeight="1" spans="1:10">
      <c r="A736" s="48" t="s">
        <v>223</v>
      </c>
      <c r="B736" s="48" t="s">
        <v>2144</v>
      </c>
      <c r="C736" s="47" t="s">
        <v>1097</v>
      </c>
      <c r="D736" s="48" t="s">
        <v>1098</v>
      </c>
      <c r="E736" s="48" t="s">
        <v>1099</v>
      </c>
      <c r="F736" s="48" t="s">
        <v>1100</v>
      </c>
      <c r="G736" s="48" t="s">
        <v>1101</v>
      </c>
      <c r="H736" s="47" t="s">
        <v>1102</v>
      </c>
      <c r="I736" s="47" t="s">
        <v>1103</v>
      </c>
      <c r="J736" s="47" t="s">
        <v>26</v>
      </c>
    </row>
    <row r="737" ht="54" customHeight="1" spans="1:10">
      <c r="A737" s="48" t="s">
        <v>225</v>
      </c>
      <c r="B737" s="48" t="s">
        <v>2145</v>
      </c>
      <c r="C737" s="47" t="s">
        <v>934</v>
      </c>
      <c r="D737" s="48" t="s">
        <v>935</v>
      </c>
      <c r="E737" s="48" t="s">
        <v>936</v>
      </c>
      <c r="F737" s="48" t="s">
        <v>937</v>
      </c>
      <c r="G737" s="48" t="s">
        <v>938</v>
      </c>
      <c r="H737" s="47" t="s">
        <v>939</v>
      </c>
      <c r="I737" s="47" t="s">
        <v>940</v>
      </c>
      <c r="J737" s="47" t="s">
        <v>26</v>
      </c>
    </row>
    <row r="738" ht="54" customHeight="1" spans="1:10">
      <c r="A738" s="48" t="s">
        <v>225</v>
      </c>
      <c r="B738" s="48" t="s">
        <v>2146</v>
      </c>
      <c r="C738" s="47" t="s">
        <v>1022</v>
      </c>
      <c r="D738" s="48" t="s">
        <v>957</v>
      </c>
      <c r="E738" s="48" t="s">
        <v>958</v>
      </c>
      <c r="F738" s="48" t="s">
        <v>1023</v>
      </c>
      <c r="G738" s="48" t="s">
        <v>1024</v>
      </c>
      <c r="H738" s="47" t="s">
        <v>1025</v>
      </c>
      <c r="I738" s="47" t="s">
        <v>1026</v>
      </c>
      <c r="J738" s="47" t="s">
        <v>26</v>
      </c>
    </row>
    <row r="739" ht="54" customHeight="1" spans="1:10">
      <c r="A739" s="48" t="s">
        <v>225</v>
      </c>
      <c r="B739" s="48" t="s">
        <v>2147</v>
      </c>
      <c r="C739" s="47" t="s">
        <v>1081</v>
      </c>
      <c r="D739" s="48" t="s">
        <v>1082</v>
      </c>
      <c r="E739" s="48" t="s">
        <v>1083</v>
      </c>
      <c r="F739" s="48" t="s">
        <v>1084</v>
      </c>
      <c r="G739" s="48" t="s">
        <v>1085</v>
      </c>
      <c r="H739" s="47" t="s">
        <v>1086</v>
      </c>
      <c r="I739" s="47" t="s">
        <v>1087</v>
      </c>
      <c r="J739" s="47" t="s">
        <v>26</v>
      </c>
    </row>
    <row r="740" ht="54" customHeight="1" spans="1:10">
      <c r="A740" s="48" t="s">
        <v>225</v>
      </c>
      <c r="B740" s="48" t="s">
        <v>2148</v>
      </c>
      <c r="C740" s="47" t="s">
        <v>1089</v>
      </c>
      <c r="D740" s="48" t="s">
        <v>957</v>
      </c>
      <c r="E740" s="48" t="s">
        <v>958</v>
      </c>
      <c r="F740" s="48" t="s">
        <v>1090</v>
      </c>
      <c r="G740" s="48" t="s">
        <v>1091</v>
      </c>
      <c r="H740" s="47" t="s">
        <v>1092</v>
      </c>
      <c r="I740" s="47" t="s">
        <v>1093</v>
      </c>
      <c r="J740" s="47" t="s">
        <v>26</v>
      </c>
    </row>
    <row r="741" ht="54" customHeight="1" spans="1:10">
      <c r="A741" s="48" t="s">
        <v>225</v>
      </c>
      <c r="B741" s="48" t="s">
        <v>2149</v>
      </c>
      <c r="C741" s="47" t="s">
        <v>950</v>
      </c>
      <c r="D741" s="48" t="s">
        <v>935</v>
      </c>
      <c r="E741" s="48" t="s">
        <v>936</v>
      </c>
      <c r="F741" s="48" t="s">
        <v>951</v>
      </c>
      <c r="G741" s="48" t="s">
        <v>952</v>
      </c>
      <c r="H741" s="47" t="s">
        <v>953</v>
      </c>
      <c r="I741" s="47" t="s">
        <v>954</v>
      </c>
      <c r="J741" s="47" t="s">
        <v>26</v>
      </c>
    </row>
    <row r="742" ht="54" customHeight="1" spans="1:10">
      <c r="A742" s="48" t="s">
        <v>225</v>
      </c>
      <c r="B742" s="48" t="s">
        <v>2150</v>
      </c>
      <c r="C742" s="47" t="s">
        <v>1052</v>
      </c>
      <c r="D742" s="48" t="s">
        <v>1009</v>
      </c>
      <c r="E742" s="48" t="s">
        <v>1010</v>
      </c>
      <c r="F742" s="48" t="s">
        <v>1053</v>
      </c>
      <c r="G742" s="48" t="s">
        <v>1054</v>
      </c>
      <c r="H742" s="47" t="s">
        <v>1055</v>
      </c>
      <c r="I742" s="47" t="s">
        <v>1056</v>
      </c>
      <c r="J742" s="47" t="s">
        <v>26</v>
      </c>
    </row>
    <row r="743" ht="54" customHeight="1" spans="1:10">
      <c r="A743" s="48" t="s">
        <v>225</v>
      </c>
      <c r="B743" s="48" t="s">
        <v>2151</v>
      </c>
      <c r="C743" s="47" t="s">
        <v>1058</v>
      </c>
      <c r="D743" s="48" t="s">
        <v>1059</v>
      </c>
      <c r="E743" s="48" t="s">
        <v>1060</v>
      </c>
      <c r="F743" s="48" t="s">
        <v>1061</v>
      </c>
      <c r="G743" s="48" t="s">
        <v>1062</v>
      </c>
      <c r="H743" s="47" t="s">
        <v>1063</v>
      </c>
      <c r="I743" s="47" t="s">
        <v>1064</v>
      </c>
      <c r="J743" s="47" t="s">
        <v>26</v>
      </c>
    </row>
    <row r="744" ht="54" customHeight="1" spans="1:10">
      <c r="A744" s="48" t="s">
        <v>225</v>
      </c>
      <c r="B744" s="48" t="s">
        <v>2152</v>
      </c>
      <c r="C744" s="47" t="s">
        <v>1097</v>
      </c>
      <c r="D744" s="48" t="s">
        <v>1098</v>
      </c>
      <c r="E744" s="48" t="s">
        <v>1099</v>
      </c>
      <c r="F744" s="48" t="s">
        <v>1100</v>
      </c>
      <c r="G744" s="48" t="s">
        <v>1101</v>
      </c>
      <c r="H744" s="47" t="s">
        <v>1102</v>
      </c>
      <c r="I744" s="47" t="s">
        <v>1103</v>
      </c>
      <c r="J744" s="47" t="s">
        <v>26</v>
      </c>
    </row>
    <row r="745" ht="54" customHeight="1" spans="1:10">
      <c r="A745" s="48" t="s">
        <v>225</v>
      </c>
      <c r="B745" s="48" t="s">
        <v>2153</v>
      </c>
      <c r="C745" s="47" t="s">
        <v>1285</v>
      </c>
      <c r="D745" s="48" t="s">
        <v>965</v>
      </c>
      <c r="E745" s="48" t="s">
        <v>966</v>
      </c>
      <c r="F745" s="48" t="s">
        <v>1286</v>
      </c>
      <c r="G745" s="48" t="s">
        <v>1287</v>
      </c>
      <c r="H745" s="47" t="s">
        <v>1288</v>
      </c>
      <c r="I745" s="47" t="s">
        <v>1289</v>
      </c>
      <c r="J745" s="47" t="s">
        <v>26</v>
      </c>
    </row>
    <row r="746" ht="54" customHeight="1" spans="1:10">
      <c r="A746" s="48" t="s">
        <v>225</v>
      </c>
      <c r="B746" s="48" t="s">
        <v>2154</v>
      </c>
      <c r="C746" s="47" t="s">
        <v>971</v>
      </c>
      <c r="D746" s="48" t="s">
        <v>965</v>
      </c>
      <c r="E746" s="48" t="s">
        <v>966</v>
      </c>
      <c r="F746" s="48" t="s">
        <v>972</v>
      </c>
      <c r="G746" s="48" t="s">
        <v>973</v>
      </c>
      <c r="H746" s="47" t="s">
        <v>974</v>
      </c>
      <c r="I746" s="47" t="s">
        <v>975</v>
      </c>
      <c r="J746" s="47" t="s">
        <v>26</v>
      </c>
    </row>
    <row r="747" ht="54" customHeight="1" spans="1:10">
      <c r="A747" s="48" t="s">
        <v>227</v>
      </c>
      <c r="B747" s="48" t="s">
        <v>2155</v>
      </c>
      <c r="C747" s="47" t="s">
        <v>956</v>
      </c>
      <c r="D747" s="48" t="s">
        <v>957</v>
      </c>
      <c r="E747" s="48" t="s">
        <v>958</v>
      </c>
      <c r="F747" s="48" t="s">
        <v>959</v>
      </c>
      <c r="G747" s="48" t="s">
        <v>960</v>
      </c>
      <c r="H747" s="47" t="s">
        <v>961</v>
      </c>
      <c r="I747" s="47" t="s">
        <v>962</v>
      </c>
      <c r="J747" s="47" t="s">
        <v>26</v>
      </c>
    </row>
    <row r="748" ht="54" customHeight="1" spans="1:10">
      <c r="A748" s="48" t="s">
        <v>227</v>
      </c>
      <c r="B748" s="48" t="s">
        <v>2156</v>
      </c>
      <c r="C748" s="47" t="s">
        <v>1097</v>
      </c>
      <c r="D748" s="48" t="s">
        <v>1098</v>
      </c>
      <c r="E748" s="48" t="s">
        <v>1099</v>
      </c>
      <c r="F748" s="48" t="s">
        <v>1100</v>
      </c>
      <c r="G748" s="48" t="s">
        <v>1101</v>
      </c>
      <c r="H748" s="47" t="s">
        <v>1102</v>
      </c>
      <c r="I748" s="47" t="s">
        <v>1103</v>
      </c>
      <c r="J748" s="47" t="s">
        <v>26</v>
      </c>
    </row>
    <row r="749" ht="54" customHeight="1" spans="1:10">
      <c r="A749" s="48" t="s">
        <v>227</v>
      </c>
      <c r="B749" s="48" t="s">
        <v>2157</v>
      </c>
      <c r="C749" s="47" t="s">
        <v>964</v>
      </c>
      <c r="D749" s="48" t="s">
        <v>965</v>
      </c>
      <c r="E749" s="48" t="s">
        <v>966</v>
      </c>
      <c r="F749" s="48" t="s">
        <v>967</v>
      </c>
      <c r="G749" s="48" t="s">
        <v>968</v>
      </c>
      <c r="H749" s="47" t="s">
        <v>969</v>
      </c>
      <c r="I749" s="47" t="s">
        <v>940</v>
      </c>
      <c r="J749" s="47" t="s">
        <v>26</v>
      </c>
    </row>
    <row r="750" ht="54" customHeight="1" spans="1:10">
      <c r="A750" s="48" t="s">
        <v>227</v>
      </c>
      <c r="B750" s="48" t="s">
        <v>2158</v>
      </c>
      <c r="C750" s="47" t="s">
        <v>971</v>
      </c>
      <c r="D750" s="48" t="s">
        <v>965</v>
      </c>
      <c r="E750" s="48" t="s">
        <v>966</v>
      </c>
      <c r="F750" s="48" t="s">
        <v>972</v>
      </c>
      <c r="G750" s="48" t="s">
        <v>973</v>
      </c>
      <c r="H750" s="47" t="s">
        <v>974</v>
      </c>
      <c r="I750" s="47" t="s">
        <v>975</v>
      </c>
      <c r="J750" s="47" t="s">
        <v>26</v>
      </c>
    </row>
    <row r="751" ht="54" customHeight="1" spans="1:10">
      <c r="A751" s="48" t="s">
        <v>227</v>
      </c>
      <c r="B751" s="48" t="s">
        <v>2159</v>
      </c>
      <c r="C751" s="47" t="s">
        <v>1164</v>
      </c>
      <c r="D751" s="48" t="s">
        <v>978</v>
      </c>
      <c r="E751" s="48" t="s">
        <v>979</v>
      </c>
      <c r="F751" s="48" t="s">
        <v>1165</v>
      </c>
      <c r="G751" s="48" t="s">
        <v>1166</v>
      </c>
      <c r="H751" s="47" t="s">
        <v>1167</v>
      </c>
      <c r="I751" s="47" t="s">
        <v>1168</v>
      </c>
      <c r="J751" s="47" t="s">
        <v>26</v>
      </c>
    </row>
    <row r="752" ht="54" customHeight="1" spans="1:10">
      <c r="A752" s="48" t="s">
        <v>229</v>
      </c>
      <c r="B752" s="48" t="s">
        <v>2160</v>
      </c>
      <c r="C752" s="47" t="s">
        <v>985</v>
      </c>
      <c r="D752" s="48" t="s">
        <v>986</v>
      </c>
      <c r="E752" s="48" t="s">
        <v>987</v>
      </c>
      <c r="F752" s="48" t="s">
        <v>988</v>
      </c>
      <c r="G752" s="48" t="s">
        <v>987</v>
      </c>
      <c r="H752" s="47" t="s">
        <v>989</v>
      </c>
      <c r="I752" s="47" t="s">
        <v>990</v>
      </c>
      <c r="J752" s="47" t="s">
        <v>26</v>
      </c>
    </row>
    <row r="753" ht="54" customHeight="1" spans="1:10">
      <c r="A753" s="48" t="s">
        <v>229</v>
      </c>
      <c r="B753" s="48" t="s">
        <v>2161</v>
      </c>
      <c r="C753" s="47" t="s">
        <v>934</v>
      </c>
      <c r="D753" s="48" t="s">
        <v>935</v>
      </c>
      <c r="E753" s="48" t="s">
        <v>936</v>
      </c>
      <c r="F753" s="48" t="s">
        <v>937</v>
      </c>
      <c r="G753" s="48" t="s">
        <v>938</v>
      </c>
      <c r="H753" s="47" t="s">
        <v>939</v>
      </c>
      <c r="I753" s="47" t="s">
        <v>940</v>
      </c>
      <c r="J753" s="47" t="s">
        <v>26</v>
      </c>
    </row>
    <row r="754" ht="54" customHeight="1" spans="1:10">
      <c r="A754" s="48" t="s">
        <v>229</v>
      </c>
      <c r="B754" s="48" t="s">
        <v>2162</v>
      </c>
      <c r="C754" s="47" t="s">
        <v>1421</v>
      </c>
      <c r="D754" s="48" t="s">
        <v>1422</v>
      </c>
      <c r="E754" s="48" t="s">
        <v>1423</v>
      </c>
      <c r="F754" s="48" t="s">
        <v>1424</v>
      </c>
      <c r="G754" s="48" t="s">
        <v>1423</v>
      </c>
      <c r="H754" s="47" t="s">
        <v>1425</v>
      </c>
      <c r="I754" s="47" t="s">
        <v>1426</v>
      </c>
      <c r="J754" s="47" t="s">
        <v>26</v>
      </c>
    </row>
    <row r="755" ht="54" customHeight="1" spans="1:10">
      <c r="A755" s="48" t="s">
        <v>229</v>
      </c>
      <c r="B755" s="48" t="s">
        <v>2163</v>
      </c>
      <c r="C755" s="47" t="s">
        <v>1681</v>
      </c>
      <c r="D755" s="48" t="s">
        <v>943</v>
      </c>
      <c r="E755" s="48" t="s">
        <v>944</v>
      </c>
      <c r="F755" s="48" t="s">
        <v>1682</v>
      </c>
      <c r="G755" s="48" t="s">
        <v>1683</v>
      </c>
      <c r="H755" s="47" t="s">
        <v>1684</v>
      </c>
      <c r="I755" s="47" t="s">
        <v>1685</v>
      </c>
      <c r="J755" s="47" t="s">
        <v>26</v>
      </c>
    </row>
    <row r="756" ht="54" customHeight="1" spans="1:10">
      <c r="A756" s="48" t="s">
        <v>229</v>
      </c>
      <c r="B756" s="48" t="s">
        <v>2164</v>
      </c>
      <c r="C756" s="47" t="s">
        <v>1089</v>
      </c>
      <c r="D756" s="48" t="s">
        <v>957</v>
      </c>
      <c r="E756" s="48" t="s">
        <v>958</v>
      </c>
      <c r="F756" s="48" t="s">
        <v>1090</v>
      </c>
      <c r="G756" s="48" t="s">
        <v>1091</v>
      </c>
      <c r="H756" s="47" t="s">
        <v>1092</v>
      </c>
      <c r="I756" s="47" t="s">
        <v>1093</v>
      </c>
      <c r="J756" s="47" t="s">
        <v>26</v>
      </c>
    </row>
    <row r="757" ht="54" customHeight="1" spans="1:10">
      <c r="A757" s="48" t="s">
        <v>229</v>
      </c>
      <c r="B757" s="48" t="s">
        <v>2165</v>
      </c>
      <c r="C757" s="47" t="s">
        <v>950</v>
      </c>
      <c r="D757" s="48" t="s">
        <v>935</v>
      </c>
      <c r="E757" s="48" t="s">
        <v>936</v>
      </c>
      <c r="F757" s="48" t="s">
        <v>951</v>
      </c>
      <c r="G757" s="48" t="s">
        <v>952</v>
      </c>
      <c r="H757" s="47" t="s">
        <v>953</v>
      </c>
      <c r="I757" s="47" t="s">
        <v>954</v>
      </c>
      <c r="J757" s="47" t="s">
        <v>26</v>
      </c>
    </row>
    <row r="758" ht="54" customHeight="1" spans="1:10">
      <c r="A758" s="48" t="s">
        <v>229</v>
      </c>
      <c r="B758" s="48" t="s">
        <v>2166</v>
      </c>
      <c r="C758" s="47" t="s">
        <v>956</v>
      </c>
      <c r="D758" s="48" t="s">
        <v>957</v>
      </c>
      <c r="E758" s="48" t="s">
        <v>958</v>
      </c>
      <c r="F758" s="48" t="s">
        <v>959</v>
      </c>
      <c r="G758" s="48" t="s">
        <v>960</v>
      </c>
      <c r="H758" s="47" t="s">
        <v>961</v>
      </c>
      <c r="I758" s="47" t="s">
        <v>962</v>
      </c>
      <c r="J758" s="47" t="s">
        <v>26</v>
      </c>
    </row>
    <row r="759" ht="54" customHeight="1" spans="1:10">
      <c r="A759" s="48" t="s">
        <v>229</v>
      </c>
      <c r="B759" s="48" t="s">
        <v>2167</v>
      </c>
      <c r="C759" s="47" t="s">
        <v>1767</v>
      </c>
      <c r="D759" s="48" t="s">
        <v>957</v>
      </c>
      <c r="E759" s="48" t="s">
        <v>958</v>
      </c>
      <c r="F759" s="48" t="s">
        <v>1768</v>
      </c>
      <c r="G759" s="48" t="s">
        <v>1769</v>
      </c>
      <c r="H759" s="47" t="s">
        <v>1770</v>
      </c>
      <c r="I759" s="47" t="s">
        <v>1771</v>
      </c>
      <c r="J759" s="47" t="s">
        <v>26</v>
      </c>
    </row>
    <row r="760" ht="54" customHeight="1" spans="1:10">
      <c r="A760" s="48" t="s">
        <v>229</v>
      </c>
      <c r="B760" s="48" t="s">
        <v>2168</v>
      </c>
      <c r="C760" s="47" t="s">
        <v>1044</v>
      </c>
      <c r="D760" s="48" t="s">
        <v>1045</v>
      </c>
      <c r="E760" s="48" t="s">
        <v>1046</v>
      </c>
      <c r="F760" s="48" t="s">
        <v>1047</v>
      </c>
      <c r="G760" s="48" t="s">
        <v>1048</v>
      </c>
      <c r="H760" s="47" t="s">
        <v>1049</v>
      </c>
      <c r="I760" s="47" t="s">
        <v>1050</v>
      </c>
      <c r="J760" s="47" t="s">
        <v>26</v>
      </c>
    </row>
    <row r="761" ht="54" customHeight="1" spans="1:10">
      <c r="A761" s="48" t="s">
        <v>229</v>
      </c>
      <c r="B761" s="48" t="s">
        <v>2169</v>
      </c>
      <c r="C761" s="47" t="s">
        <v>1052</v>
      </c>
      <c r="D761" s="48" t="s">
        <v>1009</v>
      </c>
      <c r="E761" s="48" t="s">
        <v>1010</v>
      </c>
      <c r="F761" s="48" t="s">
        <v>1053</v>
      </c>
      <c r="G761" s="48" t="s">
        <v>1054</v>
      </c>
      <c r="H761" s="47" t="s">
        <v>1055</v>
      </c>
      <c r="I761" s="47" t="s">
        <v>1056</v>
      </c>
      <c r="J761" s="47" t="s">
        <v>26</v>
      </c>
    </row>
    <row r="762" ht="54" customHeight="1" spans="1:10">
      <c r="A762" s="48" t="s">
        <v>229</v>
      </c>
      <c r="B762" s="48" t="s">
        <v>2170</v>
      </c>
      <c r="C762" s="47" t="s">
        <v>1718</v>
      </c>
      <c r="D762" s="48" t="s">
        <v>1719</v>
      </c>
      <c r="E762" s="48" t="s">
        <v>1720</v>
      </c>
      <c r="F762" s="48" t="s">
        <v>1721</v>
      </c>
      <c r="G762" s="48" t="s">
        <v>1722</v>
      </c>
      <c r="H762" s="47" t="s">
        <v>1723</v>
      </c>
      <c r="I762" s="47" t="s">
        <v>1724</v>
      </c>
      <c r="J762" s="47" t="s">
        <v>26</v>
      </c>
    </row>
    <row r="763" ht="54" customHeight="1" spans="1:10">
      <c r="A763" s="48" t="s">
        <v>229</v>
      </c>
      <c r="B763" s="48" t="s">
        <v>2171</v>
      </c>
      <c r="C763" s="47" t="s">
        <v>1277</v>
      </c>
      <c r="D763" s="48" t="s">
        <v>1278</v>
      </c>
      <c r="E763" s="48" t="s">
        <v>1279</v>
      </c>
      <c r="F763" s="48" t="s">
        <v>1280</v>
      </c>
      <c r="G763" s="48" t="s">
        <v>1281</v>
      </c>
      <c r="H763" s="47" t="s">
        <v>1282</v>
      </c>
      <c r="I763" s="47" t="s">
        <v>1283</v>
      </c>
      <c r="J763" s="47" t="s">
        <v>26</v>
      </c>
    </row>
    <row r="764" ht="54" customHeight="1" spans="1:10">
      <c r="A764" s="48" t="s">
        <v>231</v>
      </c>
      <c r="B764" s="48" t="s">
        <v>2172</v>
      </c>
      <c r="C764" s="47" t="s">
        <v>992</v>
      </c>
      <c r="D764" s="48" t="s">
        <v>993</v>
      </c>
      <c r="E764" s="48" t="s">
        <v>994</v>
      </c>
      <c r="F764" s="48" t="s">
        <v>995</v>
      </c>
      <c r="G764" s="48" t="s">
        <v>996</v>
      </c>
      <c r="H764" s="47" t="s">
        <v>997</v>
      </c>
      <c r="I764" s="47" t="s">
        <v>998</v>
      </c>
      <c r="J764" s="47" t="s">
        <v>26</v>
      </c>
    </row>
    <row r="765" ht="54" customHeight="1" spans="1:10">
      <c r="A765" s="48" t="s">
        <v>231</v>
      </c>
      <c r="B765" s="48" t="s">
        <v>2173</v>
      </c>
      <c r="C765" s="47" t="s">
        <v>1008</v>
      </c>
      <c r="D765" s="48" t="s">
        <v>1009</v>
      </c>
      <c r="E765" s="48" t="s">
        <v>1010</v>
      </c>
      <c r="F765" s="48" t="s">
        <v>1011</v>
      </c>
      <c r="G765" s="48" t="s">
        <v>1012</v>
      </c>
      <c r="H765" s="47" t="s">
        <v>1013</v>
      </c>
      <c r="I765" s="47" t="s">
        <v>1014</v>
      </c>
      <c r="J765" s="47" t="s">
        <v>26</v>
      </c>
    </row>
    <row r="766" ht="54" customHeight="1" spans="1:10">
      <c r="A766" s="48" t="s">
        <v>231</v>
      </c>
      <c r="B766" s="48" t="s">
        <v>2174</v>
      </c>
      <c r="C766" s="47" t="s">
        <v>1022</v>
      </c>
      <c r="D766" s="48" t="s">
        <v>957</v>
      </c>
      <c r="E766" s="48" t="s">
        <v>958</v>
      </c>
      <c r="F766" s="48" t="s">
        <v>1023</v>
      </c>
      <c r="G766" s="48" t="s">
        <v>1024</v>
      </c>
      <c r="H766" s="47" t="s">
        <v>1025</v>
      </c>
      <c r="I766" s="47" t="s">
        <v>1026</v>
      </c>
      <c r="J766" s="47" t="s">
        <v>26</v>
      </c>
    </row>
    <row r="767" ht="54" customHeight="1" spans="1:10">
      <c r="A767" s="48" t="s">
        <v>231</v>
      </c>
      <c r="B767" s="48" t="s">
        <v>2175</v>
      </c>
      <c r="C767" s="47" t="s">
        <v>956</v>
      </c>
      <c r="D767" s="48" t="s">
        <v>957</v>
      </c>
      <c r="E767" s="48" t="s">
        <v>958</v>
      </c>
      <c r="F767" s="48" t="s">
        <v>959</v>
      </c>
      <c r="G767" s="48" t="s">
        <v>960</v>
      </c>
      <c r="H767" s="47" t="s">
        <v>961</v>
      </c>
      <c r="I767" s="47" t="s">
        <v>962</v>
      </c>
      <c r="J767" s="47" t="s">
        <v>26</v>
      </c>
    </row>
    <row r="768" ht="54" customHeight="1" spans="1:10">
      <c r="A768" s="48" t="s">
        <v>231</v>
      </c>
      <c r="B768" s="48" t="s">
        <v>2176</v>
      </c>
      <c r="C768" s="47" t="s">
        <v>1052</v>
      </c>
      <c r="D768" s="48" t="s">
        <v>1009</v>
      </c>
      <c r="E768" s="48" t="s">
        <v>1010</v>
      </c>
      <c r="F768" s="48" t="s">
        <v>1053</v>
      </c>
      <c r="G768" s="48" t="s">
        <v>1054</v>
      </c>
      <c r="H768" s="47" t="s">
        <v>1055</v>
      </c>
      <c r="I768" s="47" t="s">
        <v>1056</v>
      </c>
      <c r="J768" s="47" t="s">
        <v>26</v>
      </c>
    </row>
    <row r="769" ht="54" customHeight="1" spans="1:10">
      <c r="A769" s="48" t="s">
        <v>231</v>
      </c>
      <c r="B769" s="48" t="s">
        <v>2177</v>
      </c>
      <c r="C769" s="47" t="s">
        <v>1125</v>
      </c>
      <c r="D769" s="48" t="s">
        <v>1059</v>
      </c>
      <c r="E769" s="48" t="s">
        <v>1060</v>
      </c>
      <c r="F769" s="48" t="s">
        <v>1126</v>
      </c>
      <c r="G769" s="48" t="s">
        <v>1127</v>
      </c>
      <c r="H769" s="47" t="s">
        <v>1128</v>
      </c>
      <c r="I769" s="47" t="s">
        <v>1129</v>
      </c>
      <c r="J769" s="47" t="s">
        <v>26</v>
      </c>
    </row>
    <row r="770" ht="54" customHeight="1" spans="1:10">
      <c r="A770" s="48" t="s">
        <v>233</v>
      </c>
      <c r="B770" s="48" t="s">
        <v>2178</v>
      </c>
      <c r="C770" s="47" t="s">
        <v>985</v>
      </c>
      <c r="D770" s="48" t="s">
        <v>986</v>
      </c>
      <c r="E770" s="48" t="s">
        <v>987</v>
      </c>
      <c r="F770" s="48" t="s">
        <v>988</v>
      </c>
      <c r="G770" s="48" t="s">
        <v>987</v>
      </c>
      <c r="H770" s="47" t="s">
        <v>989</v>
      </c>
      <c r="I770" s="47" t="s">
        <v>990</v>
      </c>
      <c r="J770" s="47" t="s">
        <v>29</v>
      </c>
    </row>
    <row r="771" ht="54" customHeight="1" spans="1:10">
      <c r="A771" s="48" t="s">
        <v>233</v>
      </c>
      <c r="B771" s="48" t="s">
        <v>2179</v>
      </c>
      <c r="C771" s="47" t="s">
        <v>934</v>
      </c>
      <c r="D771" s="48" t="s">
        <v>935</v>
      </c>
      <c r="E771" s="48" t="s">
        <v>936</v>
      </c>
      <c r="F771" s="48" t="s">
        <v>937</v>
      </c>
      <c r="G771" s="48" t="s">
        <v>938</v>
      </c>
      <c r="H771" s="47" t="s">
        <v>939</v>
      </c>
      <c r="I771" s="47" t="s">
        <v>940</v>
      </c>
      <c r="J771" s="47" t="s">
        <v>29</v>
      </c>
    </row>
    <row r="772" ht="54" customHeight="1" spans="1:10">
      <c r="A772" s="48" t="s">
        <v>233</v>
      </c>
      <c r="B772" s="48" t="s">
        <v>2180</v>
      </c>
      <c r="C772" s="47" t="s">
        <v>1505</v>
      </c>
      <c r="D772" s="48" t="s">
        <v>1506</v>
      </c>
      <c r="E772" s="48" t="s">
        <v>1507</v>
      </c>
      <c r="F772" s="48" t="s">
        <v>1508</v>
      </c>
      <c r="G772" s="48" t="s">
        <v>1507</v>
      </c>
      <c r="H772" s="47" t="s">
        <v>1509</v>
      </c>
      <c r="I772" s="47" t="s">
        <v>1510</v>
      </c>
      <c r="J772" s="47" t="s">
        <v>29</v>
      </c>
    </row>
    <row r="773" ht="54" customHeight="1" spans="1:10">
      <c r="A773" s="48" t="s">
        <v>233</v>
      </c>
      <c r="B773" s="48" t="s">
        <v>2181</v>
      </c>
      <c r="C773" s="47" t="s">
        <v>992</v>
      </c>
      <c r="D773" s="48" t="s">
        <v>993</v>
      </c>
      <c r="E773" s="48" t="s">
        <v>994</v>
      </c>
      <c r="F773" s="48" t="s">
        <v>995</v>
      </c>
      <c r="G773" s="48" t="s">
        <v>996</v>
      </c>
      <c r="H773" s="47" t="s">
        <v>997</v>
      </c>
      <c r="I773" s="47" t="s">
        <v>998</v>
      </c>
      <c r="J773" s="47" t="s">
        <v>29</v>
      </c>
    </row>
    <row r="774" ht="54" customHeight="1" spans="1:10">
      <c r="A774" s="48" t="s">
        <v>233</v>
      </c>
      <c r="B774" s="48" t="s">
        <v>2182</v>
      </c>
      <c r="C774" s="47" t="s">
        <v>1000</v>
      </c>
      <c r="D774" s="48" t="s">
        <v>1001</v>
      </c>
      <c r="E774" s="48" t="s">
        <v>1002</v>
      </c>
      <c r="F774" s="48" t="s">
        <v>1003</v>
      </c>
      <c r="G774" s="48" t="s">
        <v>1004</v>
      </c>
      <c r="H774" s="47" t="s">
        <v>1005</v>
      </c>
      <c r="I774" s="47" t="s">
        <v>1006</v>
      </c>
      <c r="J774" s="47" t="s">
        <v>29</v>
      </c>
    </row>
    <row r="775" ht="54" customHeight="1" spans="1:10">
      <c r="A775" s="48" t="s">
        <v>233</v>
      </c>
      <c r="B775" s="48" t="s">
        <v>2183</v>
      </c>
      <c r="C775" s="47" t="s">
        <v>1028</v>
      </c>
      <c r="D775" s="48" t="s">
        <v>1029</v>
      </c>
      <c r="E775" s="48" t="s">
        <v>1030</v>
      </c>
      <c r="F775" s="48" t="s">
        <v>1031</v>
      </c>
      <c r="G775" s="48" t="s">
        <v>1032</v>
      </c>
      <c r="H775" s="47" t="s">
        <v>1033</v>
      </c>
      <c r="I775" s="47" t="s">
        <v>1034</v>
      </c>
      <c r="J775" s="47" t="s">
        <v>29</v>
      </c>
    </row>
    <row r="776" ht="54" customHeight="1" spans="1:10">
      <c r="A776" s="48" t="s">
        <v>233</v>
      </c>
      <c r="B776" s="48" t="s">
        <v>2184</v>
      </c>
      <c r="C776" s="47" t="s">
        <v>1934</v>
      </c>
      <c r="D776" s="48" t="s">
        <v>1184</v>
      </c>
      <c r="E776" s="48" t="s">
        <v>1185</v>
      </c>
      <c r="F776" s="48" t="s">
        <v>1935</v>
      </c>
      <c r="G776" s="48" t="s">
        <v>1936</v>
      </c>
      <c r="H776" s="47" t="s">
        <v>1937</v>
      </c>
      <c r="I776" s="47" t="s">
        <v>1938</v>
      </c>
      <c r="J776" s="47" t="s">
        <v>29</v>
      </c>
    </row>
    <row r="777" ht="54" customHeight="1" spans="1:10">
      <c r="A777" s="48" t="s">
        <v>233</v>
      </c>
      <c r="B777" s="48" t="s">
        <v>2185</v>
      </c>
      <c r="C777" s="47" t="s">
        <v>950</v>
      </c>
      <c r="D777" s="48" t="s">
        <v>935</v>
      </c>
      <c r="E777" s="48" t="s">
        <v>936</v>
      </c>
      <c r="F777" s="48" t="s">
        <v>951</v>
      </c>
      <c r="G777" s="48" t="s">
        <v>952</v>
      </c>
      <c r="H777" s="47" t="s">
        <v>953</v>
      </c>
      <c r="I777" s="47" t="s">
        <v>954</v>
      </c>
      <c r="J777" s="47" t="s">
        <v>29</v>
      </c>
    </row>
    <row r="778" ht="54" customHeight="1" spans="1:10">
      <c r="A778" s="48" t="s">
        <v>235</v>
      </c>
      <c r="B778" s="48" t="s">
        <v>2186</v>
      </c>
      <c r="C778" s="47" t="s">
        <v>1459</v>
      </c>
      <c r="D778" s="48" t="s">
        <v>957</v>
      </c>
      <c r="E778" s="48" t="s">
        <v>958</v>
      </c>
      <c r="F778" s="48" t="s">
        <v>1460</v>
      </c>
      <c r="G778" s="48" t="s">
        <v>1461</v>
      </c>
      <c r="H778" s="47" t="s">
        <v>1462</v>
      </c>
      <c r="I778" s="47" t="s">
        <v>1463</v>
      </c>
      <c r="J778" s="47" t="s">
        <v>26</v>
      </c>
    </row>
    <row r="779" ht="54" customHeight="1" spans="1:10">
      <c r="A779" s="48" t="s">
        <v>235</v>
      </c>
      <c r="B779" s="48" t="s">
        <v>2187</v>
      </c>
      <c r="C779" s="47" t="s">
        <v>1105</v>
      </c>
      <c r="D779" s="48" t="s">
        <v>1009</v>
      </c>
      <c r="E779" s="48" t="s">
        <v>1010</v>
      </c>
      <c r="F779" s="48" t="s">
        <v>1106</v>
      </c>
      <c r="G779" s="48" t="s">
        <v>1107</v>
      </c>
      <c r="H779" s="47" t="s">
        <v>1108</v>
      </c>
      <c r="I779" s="47" t="s">
        <v>1109</v>
      </c>
      <c r="J779" s="47" t="s">
        <v>26</v>
      </c>
    </row>
    <row r="780" ht="54" customHeight="1" spans="1:10">
      <c r="A780" s="48" t="s">
        <v>235</v>
      </c>
      <c r="B780" s="48" t="s">
        <v>2188</v>
      </c>
      <c r="C780" s="47" t="s">
        <v>1268</v>
      </c>
      <c r="D780" s="48" t="s">
        <v>957</v>
      </c>
      <c r="E780" s="48" t="s">
        <v>958</v>
      </c>
      <c r="F780" s="48" t="s">
        <v>1269</v>
      </c>
      <c r="G780" s="48" t="s">
        <v>1270</v>
      </c>
      <c r="H780" s="47" t="s">
        <v>1271</v>
      </c>
      <c r="I780" s="47" t="s">
        <v>1272</v>
      </c>
      <c r="J780" s="47" t="s">
        <v>26</v>
      </c>
    </row>
    <row r="781" ht="54" customHeight="1" spans="1:10">
      <c r="A781" s="48" t="s">
        <v>235</v>
      </c>
      <c r="B781" s="48" t="s">
        <v>2189</v>
      </c>
      <c r="C781" s="47" t="s">
        <v>1651</v>
      </c>
      <c r="D781" s="48" t="s">
        <v>1082</v>
      </c>
      <c r="E781" s="48" t="s">
        <v>1083</v>
      </c>
      <c r="F781" s="48" t="s">
        <v>1652</v>
      </c>
      <c r="G781" s="48" t="s">
        <v>1653</v>
      </c>
      <c r="H781" s="47" t="s">
        <v>1654</v>
      </c>
      <c r="I781" s="47" t="s">
        <v>1655</v>
      </c>
      <c r="J781" s="47" t="s">
        <v>26</v>
      </c>
    </row>
    <row r="782" ht="54" customHeight="1" spans="1:10">
      <c r="A782" s="48" t="s">
        <v>235</v>
      </c>
      <c r="B782" s="48" t="s">
        <v>2190</v>
      </c>
      <c r="C782" s="47" t="s">
        <v>1097</v>
      </c>
      <c r="D782" s="48" t="s">
        <v>1098</v>
      </c>
      <c r="E782" s="48" t="s">
        <v>1099</v>
      </c>
      <c r="F782" s="48" t="s">
        <v>1100</v>
      </c>
      <c r="G782" s="48" t="s">
        <v>1101</v>
      </c>
      <c r="H782" s="47" t="s">
        <v>1102</v>
      </c>
      <c r="I782" s="47" t="s">
        <v>1103</v>
      </c>
      <c r="J782" s="47" t="s">
        <v>26</v>
      </c>
    </row>
    <row r="783" ht="54" customHeight="1" spans="1:10">
      <c r="A783" s="48" t="s">
        <v>235</v>
      </c>
      <c r="B783" s="48" t="s">
        <v>2191</v>
      </c>
      <c r="C783" s="47" t="s">
        <v>1066</v>
      </c>
      <c r="D783" s="48" t="s">
        <v>935</v>
      </c>
      <c r="E783" s="48" t="s">
        <v>936</v>
      </c>
      <c r="F783" s="48" t="s">
        <v>1067</v>
      </c>
      <c r="G783" s="48" t="s">
        <v>1068</v>
      </c>
      <c r="H783" s="47" t="s">
        <v>1069</v>
      </c>
      <c r="I783" s="47" t="s">
        <v>940</v>
      </c>
      <c r="J783" s="47" t="s">
        <v>26</v>
      </c>
    </row>
    <row r="784" ht="54" customHeight="1" spans="1:10">
      <c r="A784" s="48" t="s">
        <v>235</v>
      </c>
      <c r="B784" s="48" t="s">
        <v>2192</v>
      </c>
      <c r="C784" s="47" t="s">
        <v>971</v>
      </c>
      <c r="D784" s="48" t="s">
        <v>965</v>
      </c>
      <c r="E784" s="48" t="s">
        <v>966</v>
      </c>
      <c r="F784" s="48" t="s">
        <v>972</v>
      </c>
      <c r="G784" s="48" t="s">
        <v>973</v>
      </c>
      <c r="H784" s="47" t="s">
        <v>974</v>
      </c>
      <c r="I784" s="47" t="s">
        <v>975</v>
      </c>
      <c r="J784" s="47" t="s">
        <v>26</v>
      </c>
    </row>
    <row r="785" ht="54" customHeight="1" spans="1:10">
      <c r="A785" s="48" t="s">
        <v>235</v>
      </c>
      <c r="B785" s="48" t="s">
        <v>2193</v>
      </c>
      <c r="C785" s="47" t="s">
        <v>1291</v>
      </c>
      <c r="D785" s="48" t="s">
        <v>965</v>
      </c>
      <c r="E785" s="48" t="s">
        <v>966</v>
      </c>
      <c r="F785" s="48" t="s">
        <v>1292</v>
      </c>
      <c r="G785" s="48" t="s">
        <v>1293</v>
      </c>
      <c r="H785" s="47" t="s">
        <v>1294</v>
      </c>
      <c r="I785" s="47" t="s">
        <v>1295</v>
      </c>
      <c r="J785" s="47" t="s">
        <v>26</v>
      </c>
    </row>
    <row r="786" ht="54" customHeight="1" spans="1:10">
      <c r="A786" s="48" t="s">
        <v>237</v>
      </c>
      <c r="B786" s="48" t="s">
        <v>2194</v>
      </c>
      <c r="C786" s="47" t="s">
        <v>934</v>
      </c>
      <c r="D786" s="48" t="s">
        <v>935</v>
      </c>
      <c r="E786" s="48" t="s">
        <v>936</v>
      </c>
      <c r="F786" s="48" t="s">
        <v>937</v>
      </c>
      <c r="G786" s="48" t="s">
        <v>938</v>
      </c>
      <c r="H786" s="47" t="s">
        <v>939</v>
      </c>
      <c r="I786" s="47" t="s">
        <v>940</v>
      </c>
      <c r="J786" s="47" t="s">
        <v>26</v>
      </c>
    </row>
    <row r="787" ht="54" customHeight="1" spans="1:10">
      <c r="A787" s="48" t="s">
        <v>237</v>
      </c>
      <c r="B787" s="48" t="s">
        <v>2195</v>
      </c>
      <c r="C787" s="47" t="s">
        <v>992</v>
      </c>
      <c r="D787" s="48" t="s">
        <v>993</v>
      </c>
      <c r="E787" s="48" t="s">
        <v>994</v>
      </c>
      <c r="F787" s="48" t="s">
        <v>995</v>
      </c>
      <c r="G787" s="48" t="s">
        <v>996</v>
      </c>
      <c r="H787" s="47" t="s">
        <v>997</v>
      </c>
      <c r="I787" s="47" t="s">
        <v>998</v>
      </c>
      <c r="J787" s="47" t="s">
        <v>26</v>
      </c>
    </row>
    <row r="788" ht="54" customHeight="1" spans="1:10">
      <c r="A788" s="48" t="s">
        <v>237</v>
      </c>
      <c r="B788" s="48" t="s">
        <v>2196</v>
      </c>
      <c r="C788" s="47" t="s">
        <v>1125</v>
      </c>
      <c r="D788" s="48" t="s">
        <v>1059</v>
      </c>
      <c r="E788" s="48" t="s">
        <v>1060</v>
      </c>
      <c r="F788" s="48" t="s">
        <v>1126</v>
      </c>
      <c r="G788" s="48" t="s">
        <v>1127</v>
      </c>
      <c r="H788" s="47" t="s">
        <v>1128</v>
      </c>
      <c r="I788" s="47" t="s">
        <v>1129</v>
      </c>
      <c r="J788" s="47" t="s">
        <v>26</v>
      </c>
    </row>
    <row r="789" ht="54" customHeight="1" spans="1:10">
      <c r="A789" s="48" t="s">
        <v>237</v>
      </c>
      <c r="B789" s="48" t="s">
        <v>2197</v>
      </c>
      <c r="C789" s="47" t="s">
        <v>1429</v>
      </c>
      <c r="D789" s="48" t="s">
        <v>1430</v>
      </c>
      <c r="E789" s="48" t="s">
        <v>1431</v>
      </c>
      <c r="F789" s="48" t="s">
        <v>1432</v>
      </c>
      <c r="G789" s="48" t="s">
        <v>1433</v>
      </c>
      <c r="H789" s="47" t="s">
        <v>1434</v>
      </c>
      <c r="I789" s="47" t="s">
        <v>1435</v>
      </c>
      <c r="J789" s="47" t="s">
        <v>26</v>
      </c>
    </row>
    <row r="790" ht="54" customHeight="1" spans="1:10">
      <c r="A790" s="48" t="s">
        <v>237</v>
      </c>
      <c r="B790" s="48" t="s">
        <v>2198</v>
      </c>
      <c r="C790" s="47" t="s">
        <v>971</v>
      </c>
      <c r="D790" s="48" t="s">
        <v>965</v>
      </c>
      <c r="E790" s="48" t="s">
        <v>966</v>
      </c>
      <c r="F790" s="48" t="s">
        <v>972</v>
      </c>
      <c r="G790" s="48" t="s">
        <v>973</v>
      </c>
      <c r="H790" s="47" t="s">
        <v>974</v>
      </c>
      <c r="I790" s="47" t="s">
        <v>975</v>
      </c>
      <c r="J790" s="47" t="s">
        <v>26</v>
      </c>
    </row>
    <row r="791" ht="54" customHeight="1" spans="1:10">
      <c r="A791" s="48" t="s">
        <v>237</v>
      </c>
      <c r="B791" s="48" t="s">
        <v>2199</v>
      </c>
      <c r="C791" s="47" t="s">
        <v>1291</v>
      </c>
      <c r="D791" s="48" t="s">
        <v>965</v>
      </c>
      <c r="E791" s="48" t="s">
        <v>966</v>
      </c>
      <c r="F791" s="48" t="s">
        <v>1292</v>
      </c>
      <c r="G791" s="48" t="s">
        <v>1293</v>
      </c>
      <c r="H791" s="47" t="s">
        <v>1294</v>
      </c>
      <c r="I791" s="47" t="s">
        <v>1295</v>
      </c>
      <c r="J791" s="47" t="s">
        <v>26</v>
      </c>
    </row>
    <row r="792" ht="54" customHeight="1" spans="1:10">
      <c r="A792" s="48" t="s">
        <v>239</v>
      </c>
      <c r="B792" s="48" t="s">
        <v>2200</v>
      </c>
      <c r="C792" s="47" t="s">
        <v>1008</v>
      </c>
      <c r="D792" s="48" t="s">
        <v>1009</v>
      </c>
      <c r="E792" s="48" t="s">
        <v>1010</v>
      </c>
      <c r="F792" s="48" t="s">
        <v>1011</v>
      </c>
      <c r="G792" s="48" t="s">
        <v>1012</v>
      </c>
      <c r="H792" s="47" t="s">
        <v>1013</v>
      </c>
      <c r="I792" s="47" t="s">
        <v>1014</v>
      </c>
      <c r="J792" s="47" t="s">
        <v>26</v>
      </c>
    </row>
    <row r="793" ht="54" customHeight="1" spans="1:10">
      <c r="A793" s="48" t="s">
        <v>239</v>
      </c>
      <c r="B793" s="48" t="s">
        <v>2201</v>
      </c>
      <c r="C793" s="47" t="s">
        <v>1022</v>
      </c>
      <c r="D793" s="48" t="s">
        <v>957</v>
      </c>
      <c r="E793" s="48" t="s">
        <v>958</v>
      </c>
      <c r="F793" s="48" t="s">
        <v>1023</v>
      </c>
      <c r="G793" s="48" t="s">
        <v>1024</v>
      </c>
      <c r="H793" s="47" t="s">
        <v>1025</v>
      </c>
      <c r="I793" s="47" t="s">
        <v>1026</v>
      </c>
      <c r="J793" s="47" t="s">
        <v>26</v>
      </c>
    </row>
    <row r="794" ht="54" customHeight="1" spans="1:10">
      <c r="A794" s="48" t="s">
        <v>239</v>
      </c>
      <c r="B794" s="48" t="s">
        <v>2202</v>
      </c>
      <c r="C794" s="47" t="s">
        <v>956</v>
      </c>
      <c r="D794" s="48" t="s">
        <v>957</v>
      </c>
      <c r="E794" s="48" t="s">
        <v>958</v>
      </c>
      <c r="F794" s="48" t="s">
        <v>959</v>
      </c>
      <c r="G794" s="48" t="s">
        <v>960</v>
      </c>
      <c r="H794" s="47" t="s">
        <v>961</v>
      </c>
      <c r="I794" s="47" t="s">
        <v>962</v>
      </c>
      <c r="J794" s="47" t="s">
        <v>26</v>
      </c>
    </row>
    <row r="795" ht="54" customHeight="1" spans="1:10">
      <c r="A795" s="48" t="s">
        <v>239</v>
      </c>
      <c r="B795" s="48" t="s">
        <v>2203</v>
      </c>
      <c r="C795" s="47" t="s">
        <v>1036</v>
      </c>
      <c r="D795" s="48" t="s">
        <v>1037</v>
      </c>
      <c r="E795" s="48" t="s">
        <v>1038</v>
      </c>
      <c r="F795" s="48" t="s">
        <v>1039</v>
      </c>
      <c r="G795" s="48" t="s">
        <v>1040</v>
      </c>
      <c r="H795" s="47" t="s">
        <v>1041</v>
      </c>
      <c r="I795" s="47" t="s">
        <v>1042</v>
      </c>
      <c r="J795" s="47" t="s">
        <v>26</v>
      </c>
    </row>
    <row r="796" ht="54" customHeight="1" spans="1:10">
      <c r="A796" s="48" t="s">
        <v>239</v>
      </c>
      <c r="B796" s="48" t="s">
        <v>2204</v>
      </c>
      <c r="C796" s="47" t="s">
        <v>1651</v>
      </c>
      <c r="D796" s="48" t="s">
        <v>1082</v>
      </c>
      <c r="E796" s="48" t="s">
        <v>1083</v>
      </c>
      <c r="F796" s="48" t="s">
        <v>1652</v>
      </c>
      <c r="G796" s="48" t="s">
        <v>1653</v>
      </c>
      <c r="H796" s="47" t="s">
        <v>1654</v>
      </c>
      <c r="I796" s="47" t="s">
        <v>1655</v>
      </c>
      <c r="J796" s="47" t="s">
        <v>26</v>
      </c>
    </row>
    <row r="797" ht="54" customHeight="1" spans="1:10">
      <c r="A797" s="48" t="s">
        <v>239</v>
      </c>
      <c r="B797" s="48" t="s">
        <v>2205</v>
      </c>
      <c r="C797" s="47" t="s">
        <v>1052</v>
      </c>
      <c r="D797" s="48" t="s">
        <v>1009</v>
      </c>
      <c r="E797" s="48" t="s">
        <v>1010</v>
      </c>
      <c r="F797" s="48" t="s">
        <v>1053</v>
      </c>
      <c r="G797" s="48" t="s">
        <v>1054</v>
      </c>
      <c r="H797" s="47" t="s">
        <v>1055</v>
      </c>
      <c r="I797" s="47" t="s">
        <v>1056</v>
      </c>
      <c r="J797" s="47" t="s">
        <v>26</v>
      </c>
    </row>
    <row r="798" ht="54" customHeight="1" spans="1:10">
      <c r="A798" s="48" t="s">
        <v>239</v>
      </c>
      <c r="B798" s="48" t="s">
        <v>2206</v>
      </c>
      <c r="C798" s="47" t="s">
        <v>1097</v>
      </c>
      <c r="D798" s="48" t="s">
        <v>1098</v>
      </c>
      <c r="E798" s="48" t="s">
        <v>1099</v>
      </c>
      <c r="F798" s="48" t="s">
        <v>1100</v>
      </c>
      <c r="G798" s="48" t="s">
        <v>1101</v>
      </c>
      <c r="H798" s="47" t="s">
        <v>1102</v>
      </c>
      <c r="I798" s="47" t="s">
        <v>1103</v>
      </c>
      <c r="J798" s="47" t="s">
        <v>26</v>
      </c>
    </row>
    <row r="799" ht="54" customHeight="1" spans="1:10">
      <c r="A799" s="48" t="s">
        <v>239</v>
      </c>
      <c r="B799" s="48" t="s">
        <v>2207</v>
      </c>
      <c r="C799" s="47" t="s">
        <v>1285</v>
      </c>
      <c r="D799" s="48" t="s">
        <v>965</v>
      </c>
      <c r="E799" s="48" t="s">
        <v>966</v>
      </c>
      <c r="F799" s="48" t="s">
        <v>1286</v>
      </c>
      <c r="G799" s="48" t="s">
        <v>1287</v>
      </c>
      <c r="H799" s="47" t="s">
        <v>1288</v>
      </c>
      <c r="I799" s="47" t="s">
        <v>1289</v>
      </c>
      <c r="J799" s="47" t="s">
        <v>26</v>
      </c>
    </row>
    <row r="800" ht="54" customHeight="1" spans="1:10">
      <c r="A800" s="48" t="s">
        <v>241</v>
      </c>
      <c r="B800" s="48" t="s">
        <v>2208</v>
      </c>
      <c r="C800" s="47" t="s">
        <v>1516</v>
      </c>
      <c r="D800" s="48" t="s">
        <v>1073</v>
      </c>
      <c r="E800" s="48" t="s">
        <v>1074</v>
      </c>
      <c r="F800" s="48" t="s">
        <v>1517</v>
      </c>
      <c r="G800" s="48" t="s">
        <v>1518</v>
      </c>
      <c r="H800" s="47" t="s">
        <v>1519</v>
      </c>
      <c r="I800" s="47" t="s">
        <v>1520</v>
      </c>
      <c r="J800" s="47" t="s">
        <v>26</v>
      </c>
    </row>
    <row r="801" ht="54" customHeight="1" spans="1:10">
      <c r="A801" s="48" t="s">
        <v>241</v>
      </c>
      <c r="B801" s="48" t="s">
        <v>2209</v>
      </c>
      <c r="C801" s="47" t="s">
        <v>992</v>
      </c>
      <c r="D801" s="48" t="s">
        <v>993</v>
      </c>
      <c r="E801" s="48" t="s">
        <v>994</v>
      </c>
      <c r="F801" s="48" t="s">
        <v>995</v>
      </c>
      <c r="G801" s="48" t="s">
        <v>996</v>
      </c>
      <c r="H801" s="47" t="s">
        <v>997</v>
      </c>
      <c r="I801" s="47" t="s">
        <v>998</v>
      </c>
      <c r="J801" s="47" t="s">
        <v>26</v>
      </c>
    </row>
    <row r="802" ht="54" customHeight="1" spans="1:10">
      <c r="A802" s="48" t="s">
        <v>241</v>
      </c>
      <c r="B802" s="48" t="s">
        <v>2210</v>
      </c>
      <c r="C802" s="47" t="s">
        <v>942</v>
      </c>
      <c r="D802" s="48" t="s">
        <v>943</v>
      </c>
      <c r="E802" s="48" t="s">
        <v>944</v>
      </c>
      <c r="F802" s="48" t="s">
        <v>945</v>
      </c>
      <c r="G802" s="48" t="s">
        <v>946</v>
      </c>
      <c r="H802" s="47" t="s">
        <v>947</v>
      </c>
      <c r="I802" s="47" t="s">
        <v>948</v>
      </c>
      <c r="J802" s="47" t="s">
        <v>26</v>
      </c>
    </row>
    <row r="803" ht="54" customHeight="1" spans="1:10">
      <c r="A803" s="48" t="s">
        <v>241</v>
      </c>
      <c r="B803" s="48" t="s">
        <v>2211</v>
      </c>
      <c r="C803" s="47" t="s">
        <v>1572</v>
      </c>
      <c r="D803" s="48" t="s">
        <v>1098</v>
      </c>
      <c r="E803" s="48" t="s">
        <v>1099</v>
      </c>
      <c r="F803" s="48" t="s">
        <v>1573</v>
      </c>
      <c r="G803" s="48" t="s">
        <v>1574</v>
      </c>
      <c r="H803" s="47" t="s">
        <v>1575</v>
      </c>
      <c r="I803" s="47" t="s">
        <v>1576</v>
      </c>
      <c r="J803" s="47" t="s">
        <v>26</v>
      </c>
    </row>
    <row r="804" ht="54" customHeight="1" spans="1:10">
      <c r="A804" s="48" t="s">
        <v>241</v>
      </c>
      <c r="B804" s="48" t="s">
        <v>2212</v>
      </c>
      <c r="C804" s="47" t="s">
        <v>956</v>
      </c>
      <c r="D804" s="48" t="s">
        <v>957</v>
      </c>
      <c r="E804" s="48" t="s">
        <v>958</v>
      </c>
      <c r="F804" s="48" t="s">
        <v>959</v>
      </c>
      <c r="G804" s="48" t="s">
        <v>960</v>
      </c>
      <c r="H804" s="47" t="s">
        <v>961</v>
      </c>
      <c r="I804" s="47" t="s">
        <v>962</v>
      </c>
      <c r="J804" s="47" t="s">
        <v>26</v>
      </c>
    </row>
    <row r="805" ht="54" customHeight="1" spans="1:10">
      <c r="A805" s="48" t="s">
        <v>241</v>
      </c>
      <c r="B805" s="48" t="s">
        <v>2213</v>
      </c>
      <c r="C805" s="47" t="s">
        <v>1277</v>
      </c>
      <c r="D805" s="48" t="s">
        <v>1278</v>
      </c>
      <c r="E805" s="48" t="s">
        <v>1279</v>
      </c>
      <c r="F805" s="48" t="s">
        <v>1280</v>
      </c>
      <c r="G805" s="48" t="s">
        <v>1281</v>
      </c>
      <c r="H805" s="47" t="s">
        <v>1282</v>
      </c>
      <c r="I805" s="47" t="s">
        <v>1283</v>
      </c>
      <c r="J805" s="47" t="s">
        <v>26</v>
      </c>
    </row>
    <row r="806" ht="54" customHeight="1" spans="1:10">
      <c r="A806" s="48" t="s">
        <v>241</v>
      </c>
      <c r="B806" s="48" t="s">
        <v>2214</v>
      </c>
      <c r="C806" s="47" t="s">
        <v>1375</v>
      </c>
      <c r="D806" s="48" t="s">
        <v>1098</v>
      </c>
      <c r="E806" s="48" t="s">
        <v>1099</v>
      </c>
      <c r="F806" s="48" t="s">
        <v>1376</v>
      </c>
      <c r="G806" s="48" t="s">
        <v>1377</v>
      </c>
      <c r="H806" s="47" t="s">
        <v>1378</v>
      </c>
      <c r="I806" s="47" t="s">
        <v>1379</v>
      </c>
      <c r="J806" s="47" t="s">
        <v>26</v>
      </c>
    </row>
    <row r="807" ht="54" customHeight="1" spans="1:10">
      <c r="A807" s="48" t="s">
        <v>241</v>
      </c>
      <c r="B807" s="48" t="s">
        <v>2215</v>
      </c>
      <c r="C807" s="47" t="s">
        <v>1638</v>
      </c>
      <c r="D807" s="48" t="s">
        <v>1118</v>
      </c>
      <c r="E807" s="48" t="s">
        <v>1119</v>
      </c>
      <c r="F807" s="48" t="s">
        <v>1639</v>
      </c>
      <c r="G807" s="48" t="s">
        <v>1640</v>
      </c>
      <c r="H807" s="47" t="s">
        <v>1641</v>
      </c>
      <c r="I807" s="47" t="s">
        <v>1642</v>
      </c>
      <c r="J807" s="47" t="s">
        <v>26</v>
      </c>
    </row>
    <row r="808" ht="54" customHeight="1" spans="1:10">
      <c r="A808" s="48" t="s">
        <v>241</v>
      </c>
      <c r="B808" s="48" t="s">
        <v>2216</v>
      </c>
      <c r="C808" s="47" t="s">
        <v>1967</v>
      </c>
      <c r="D808" s="48" t="s">
        <v>965</v>
      </c>
      <c r="E808" s="48" t="s">
        <v>966</v>
      </c>
      <c r="F808" s="48" t="s">
        <v>1968</v>
      </c>
      <c r="G808" s="48" t="s">
        <v>1969</v>
      </c>
      <c r="H808" s="47" t="s">
        <v>1970</v>
      </c>
      <c r="I808" s="47" t="s">
        <v>940</v>
      </c>
      <c r="J808" s="47" t="s">
        <v>26</v>
      </c>
    </row>
    <row r="809" ht="54" customHeight="1" spans="1:10">
      <c r="A809" s="48" t="s">
        <v>241</v>
      </c>
      <c r="B809" s="48" t="s">
        <v>2217</v>
      </c>
      <c r="C809" s="47" t="s">
        <v>1388</v>
      </c>
      <c r="D809" s="48" t="s">
        <v>1037</v>
      </c>
      <c r="E809" s="48" t="s">
        <v>1038</v>
      </c>
      <c r="F809" s="48" t="s">
        <v>1389</v>
      </c>
      <c r="G809" s="48" t="s">
        <v>1390</v>
      </c>
      <c r="H809" s="47" t="s">
        <v>1391</v>
      </c>
      <c r="I809" s="47" t="s">
        <v>1392</v>
      </c>
      <c r="J809" s="47" t="s">
        <v>26</v>
      </c>
    </row>
    <row r="810" ht="54" customHeight="1" spans="1:10">
      <c r="A810" s="48" t="s">
        <v>241</v>
      </c>
      <c r="B810" s="48" t="s">
        <v>2218</v>
      </c>
      <c r="C810" s="47" t="s">
        <v>1125</v>
      </c>
      <c r="D810" s="48" t="s">
        <v>1059</v>
      </c>
      <c r="E810" s="48" t="s">
        <v>1060</v>
      </c>
      <c r="F810" s="48" t="s">
        <v>1126</v>
      </c>
      <c r="G810" s="48" t="s">
        <v>1127</v>
      </c>
      <c r="H810" s="47" t="s">
        <v>1128</v>
      </c>
      <c r="I810" s="47" t="s">
        <v>1129</v>
      </c>
      <c r="J810" s="47" t="s">
        <v>26</v>
      </c>
    </row>
    <row r="811" ht="54" customHeight="1" spans="1:10">
      <c r="A811" s="48" t="s">
        <v>241</v>
      </c>
      <c r="B811" s="48" t="s">
        <v>2219</v>
      </c>
      <c r="C811" s="47" t="s">
        <v>1285</v>
      </c>
      <c r="D811" s="48" t="s">
        <v>965</v>
      </c>
      <c r="E811" s="48" t="s">
        <v>966</v>
      </c>
      <c r="F811" s="48" t="s">
        <v>1286</v>
      </c>
      <c r="G811" s="48" t="s">
        <v>1287</v>
      </c>
      <c r="H811" s="47" t="s">
        <v>1288</v>
      </c>
      <c r="I811" s="47" t="s">
        <v>1289</v>
      </c>
      <c r="J811" s="47" t="s">
        <v>26</v>
      </c>
    </row>
    <row r="812" ht="54" customHeight="1" spans="1:10">
      <c r="A812" s="48" t="s">
        <v>243</v>
      </c>
      <c r="B812" s="48" t="s">
        <v>2220</v>
      </c>
      <c r="C812" s="47" t="s">
        <v>934</v>
      </c>
      <c r="D812" s="48" t="s">
        <v>935</v>
      </c>
      <c r="E812" s="48" t="s">
        <v>936</v>
      </c>
      <c r="F812" s="48" t="s">
        <v>937</v>
      </c>
      <c r="G812" s="48" t="s">
        <v>938</v>
      </c>
      <c r="H812" s="47" t="s">
        <v>939</v>
      </c>
      <c r="I812" s="47" t="s">
        <v>940</v>
      </c>
      <c r="J812" s="47" t="s">
        <v>26</v>
      </c>
    </row>
    <row r="813" ht="54" customHeight="1" spans="1:10">
      <c r="A813" s="48" t="s">
        <v>243</v>
      </c>
      <c r="B813" s="48" t="s">
        <v>2221</v>
      </c>
      <c r="C813" s="47" t="s">
        <v>1008</v>
      </c>
      <c r="D813" s="48" t="s">
        <v>1009</v>
      </c>
      <c r="E813" s="48" t="s">
        <v>1010</v>
      </c>
      <c r="F813" s="48" t="s">
        <v>1011</v>
      </c>
      <c r="G813" s="48" t="s">
        <v>1012</v>
      </c>
      <c r="H813" s="47" t="s">
        <v>1013</v>
      </c>
      <c r="I813" s="47" t="s">
        <v>1014</v>
      </c>
      <c r="J813" s="47" t="s">
        <v>26</v>
      </c>
    </row>
    <row r="814" ht="54" customHeight="1" spans="1:10">
      <c r="A814" s="48" t="s">
        <v>243</v>
      </c>
      <c r="B814" s="48" t="s">
        <v>2222</v>
      </c>
      <c r="C814" s="47" t="s">
        <v>1480</v>
      </c>
      <c r="D814" s="48" t="s">
        <v>1001</v>
      </c>
      <c r="E814" s="48" t="s">
        <v>1002</v>
      </c>
      <c r="F814" s="48" t="s">
        <v>1481</v>
      </c>
      <c r="G814" s="48" t="s">
        <v>1482</v>
      </c>
      <c r="H814" s="47" t="s">
        <v>1483</v>
      </c>
      <c r="I814" s="47" t="s">
        <v>1484</v>
      </c>
      <c r="J814" s="47" t="s">
        <v>26</v>
      </c>
    </row>
    <row r="815" ht="54" customHeight="1" spans="1:10">
      <c r="A815" s="48" t="s">
        <v>243</v>
      </c>
      <c r="B815" s="48" t="s">
        <v>2223</v>
      </c>
      <c r="C815" s="47" t="s">
        <v>950</v>
      </c>
      <c r="D815" s="48" t="s">
        <v>935</v>
      </c>
      <c r="E815" s="48" t="s">
        <v>936</v>
      </c>
      <c r="F815" s="48" t="s">
        <v>951</v>
      </c>
      <c r="G815" s="48" t="s">
        <v>952</v>
      </c>
      <c r="H815" s="47" t="s">
        <v>953</v>
      </c>
      <c r="I815" s="47" t="s">
        <v>954</v>
      </c>
      <c r="J815" s="47" t="s">
        <v>26</v>
      </c>
    </row>
    <row r="816" ht="54" customHeight="1" spans="1:10">
      <c r="A816" s="48" t="s">
        <v>243</v>
      </c>
      <c r="B816" s="48" t="s">
        <v>2224</v>
      </c>
      <c r="C816" s="47" t="s">
        <v>956</v>
      </c>
      <c r="D816" s="48" t="s">
        <v>957</v>
      </c>
      <c r="E816" s="48" t="s">
        <v>958</v>
      </c>
      <c r="F816" s="48" t="s">
        <v>959</v>
      </c>
      <c r="G816" s="48" t="s">
        <v>960</v>
      </c>
      <c r="H816" s="47" t="s">
        <v>961</v>
      </c>
      <c r="I816" s="47" t="s">
        <v>962</v>
      </c>
      <c r="J816" s="47" t="s">
        <v>26</v>
      </c>
    </row>
    <row r="817" ht="54" customHeight="1" spans="1:10">
      <c r="A817" s="48" t="s">
        <v>243</v>
      </c>
      <c r="B817" s="48" t="s">
        <v>2225</v>
      </c>
      <c r="C817" s="47" t="s">
        <v>1105</v>
      </c>
      <c r="D817" s="48" t="s">
        <v>1009</v>
      </c>
      <c r="E817" s="48" t="s">
        <v>1010</v>
      </c>
      <c r="F817" s="48" t="s">
        <v>1106</v>
      </c>
      <c r="G817" s="48" t="s">
        <v>1107</v>
      </c>
      <c r="H817" s="47" t="s">
        <v>1108</v>
      </c>
      <c r="I817" s="47" t="s">
        <v>1109</v>
      </c>
      <c r="J817" s="47" t="s">
        <v>26</v>
      </c>
    </row>
    <row r="818" ht="54" customHeight="1" spans="1:10">
      <c r="A818" s="48" t="s">
        <v>243</v>
      </c>
      <c r="B818" s="48" t="s">
        <v>2226</v>
      </c>
      <c r="C818" s="47" t="s">
        <v>1718</v>
      </c>
      <c r="D818" s="48" t="s">
        <v>1719</v>
      </c>
      <c r="E818" s="48" t="s">
        <v>1720</v>
      </c>
      <c r="F818" s="48" t="s">
        <v>1721</v>
      </c>
      <c r="G818" s="48" t="s">
        <v>1722</v>
      </c>
      <c r="H818" s="47" t="s">
        <v>1723</v>
      </c>
      <c r="I818" s="47" t="s">
        <v>1724</v>
      </c>
      <c r="J818" s="47" t="s">
        <v>26</v>
      </c>
    </row>
    <row r="819" ht="54" customHeight="1" spans="1:10">
      <c r="A819" s="48" t="s">
        <v>243</v>
      </c>
      <c r="B819" s="48" t="s">
        <v>2227</v>
      </c>
      <c r="C819" s="47" t="s">
        <v>1469</v>
      </c>
      <c r="D819" s="48" t="s">
        <v>957</v>
      </c>
      <c r="E819" s="48" t="s">
        <v>958</v>
      </c>
      <c r="F819" s="48" t="s">
        <v>1470</v>
      </c>
      <c r="G819" s="48" t="s">
        <v>1471</v>
      </c>
      <c r="H819" s="47" t="s">
        <v>1472</v>
      </c>
      <c r="I819" s="47" t="s">
        <v>1473</v>
      </c>
      <c r="J819" s="47" t="s">
        <v>26</v>
      </c>
    </row>
    <row r="820" ht="54" customHeight="1" spans="1:10">
      <c r="A820" s="48" t="s">
        <v>243</v>
      </c>
      <c r="B820" s="48" t="s">
        <v>2228</v>
      </c>
      <c r="C820" s="47" t="s">
        <v>1277</v>
      </c>
      <c r="D820" s="48" t="s">
        <v>1278</v>
      </c>
      <c r="E820" s="48" t="s">
        <v>1279</v>
      </c>
      <c r="F820" s="48" t="s">
        <v>1280</v>
      </c>
      <c r="G820" s="48" t="s">
        <v>1281</v>
      </c>
      <c r="H820" s="47" t="s">
        <v>1282</v>
      </c>
      <c r="I820" s="47" t="s">
        <v>1283</v>
      </c>
      <c r="J820" s="47" t="s">
        <v>26</v>
      </c>
    </row>
    <row r="821" ht="54" customHeight="1" spans="1:10">
      <c r="A821" s="48" t="s">
        <v>243</v>
      </c>
      <c r="B821" s="48" t="s">
        <v>2229</v>
      </c>
      <c r="C821" s="47" t="s">
        <v>1388</v>
      </c>
      <c r="D821" s="48" t="s">
        <v>1037</v>
      </c>
      <c r="E821" s="48" t="s">
        <v>1038</v>
      </c>
      <c r="F821" s="48" t="s">
        <v>1389</v>
      </c>
      <c r="G821" s="48" t="s">
        <v>1390</v>
      </c>
      <c r="H821" s="47" t="s">
        <v>1391</v>
      </c>
      <c r="I821" s="47" t="s">
        <v>1392</v>
      </c>
      <c r="J821" s="47" t="s">
        <v>26</v>
      </c>
    </row>
    <row r="822" ht="54" customHeight="1" spans="1:10">
      <c r="A822" s="48" t="s">
        <v>243</v>
      </c>
      <c r="B822" s="48" t="s">
        <v>2230</v>
      </c>
      <c r="C822" s="47" t="s">
        <v>971</v>
      </c>
      <c r="D822" s="48" t="s">
        <v>965</v>
      </c>
      <c r="E822" s="48" t="s">
        <v>966</v>
      </c>
      <c r="F822" s="48" t="s">
        <v>972</v>
      </c>
      <c r="G822" s="48" t="s">
        <v>973</v>
      </c>
      <c r="H822" s="47" t="s">
        <v>974</v>
      </c>
      <c r="I822" s="47" t="s">
        <v>975</v>
      </c>
      <c r="J822" s="47" t="s">
        <v>26</v>
      </c>
    </row>
    <row r="823" ht="54" customHeight="1" spans="1:10">
      <c r="A823" s="48" t="s">
        <v>243</v>
      </c>
      <c r="B823" s="48" t="s">
        <v>2231</v>
      </c>
      <c r="C823" s="47" t="s">
        <v>1313</v>
      </c>
      <c r="D823" s="48" t="s">
        <v>1037</v>
      </c>
      <c r="E823" s="48" t="s">
        <v>1038</v>
      </c>
      <c r="F823" s="48" t="s">
        <v>1314</v>
      </c>
      <c r="G823" s="48" t="s">
        <v>1315</v>
      </c>
      <c r="H823" s="47" t="s">
        <v>1316</v>
      </c>
      <c r="I823" s="47" t="s">
        <v>1317</v>
      </c>
      <c r="J823" s="47" t="s">
        <v>26</v>
      </c>
    </row>
    <row r="824" ht="54" customHeight="1" spans="1:10">
      <c r="A824" s="48" t="s">
        <v>245</v>
      </c>
      <c r="B824" s="48" t="s">
        <v>2232</v>
      </c>
      <c r="C824" s="47" t="s">
        <v>1081</v>
      </c>
      <c r="D824" s="48" t="s">
        <v>1082</v>
      </c>
      <c r="E824" s="48" t="s">
        <v>1083</v>
      </c>
      <c r="F824" s="48" t="s">
        <v>1084</v>
      </c>
      <c r="G824" s="48" t="s">
        <v>1085</v>
      </c>
      <c r="H824" s="47" t="s">
        <v>1086</v>
      </c>
      <c r="I824" s="47" t="s">
        <v>1087</v>
      </c>
      <c r="J824" s="47" t="s">
        <v>26</v>
      </c>
    </row>
    <row r="825" ht="54" customHeight="1" spans="1:10">
      <c r="A825" s="48" t="s">
        <v>245</v>
      </c>
      <c r="B825" s="48" t="s">
        <v>2233</v>
      </c>
      <c r="C825" s="47" t="s">
        <v>956</v>
      </c>
      <c r="D825" s="48" t="s">
        <v>957</v>
      </c>
      <c r="E825" s="48" t="s">
        <v>958</v>
      </c>
      <c r="F825" s="48" t="s">
        <v>959</v>
      </c>
      <c r="G825" s="48" t="s">
        <v>960</v>
      </c>
      <c r="H825" s="47" t="s">
        <v>961</v>
      </c>
      <c r="I825" s="47" t="s">
        <v>962</v>
      </c>
      <c r="J825" s="47" t="s">
        <v>26</v>
      </c>
    </row>
    <row r="826" ht="54" customHeight="1" spans="1:10">
      <c r="A826" s="48" t="s">
        <v>245</v>
      </c>
      <c r="B826" s="48" t="s">
        <v>2234</v>
      </c>
      <c r="C826" s="47" t="s">
        <v>1097</v>
      </c>
      <c r="D826" s="48" t="s">
        <v>1098</v>
      </c>
      <c r="E826" s="48" t="s">
        <v>1099</v>
      </c>
      <c r="F826" s="48" t="s">
        <v>1100</v>
      </c>
      <c r="G826" s="48" t="s">
        <v>1101</v>
      </c>
      <c r="H826" s="47" t="s">
        <v>1102</v>
      </c>
      <c r="I826" s="47" t="s">
        <v>1103</v>
      </c>
      <c r="J826" s="47" t="s">
        <v>26</v>
      </c>
    </row>
    <row r="827" ht="54" customHeight="1" spans="1:10">
      <c r="A827" s="48" t="s">
        <v>245</v>
      </c>
      <c r="B827" s="48" t="s">
        <v>2235</v>
      </c>
      <c r="C827" s="47" t="s">
        <v>1111</v>
      </c>
      <c r="D827" s="48" t="s">
        <v>965</v>
      </c>
      <c r="E827" s="48" t="s">
        <v>966</v>
      </c>
      <c r="F827" s="48" t="s">
        <v>1112</v>
      </c>
      <c r="G827" s="48" t="s">
        <v>1113</v>
      </c>
      <c r="H827" s="47" t="s">
        <v>1114</v>
      </c>
      <c r="I827" s="47" t="s">
        <v>1115</v>
      </c>
      <c r="J827" s="47" t="s">
        <v>26</v>
      </c>
    </row>
    <row r="828" ht="54" customHeight="1" spans="1:10">
      <c r="A828" s="48" t="s">
        <v>245</v>
      </c>
      <c r="B828" s="48" t="s">
        <v>2236</v>
      </c>
      <c r="C828" s="47" t="s">
        <v>1137</v>
      </c>
      <c r="D828" s="48" t="s">
        <v>1138</v>
      </c>
      <c r="E828" s="48" t="s">
        <v>1139</v>
      </c>
      <c r="F828" s="48" t="s">
        <v>1140</v>
      </c>
      <c r="G828" s="48" t="s">
        <v>1141</v>
      </c>
      <c r="H828" s="47" t="s">
        <v>1142</v>
      </c>
      <c r="I828" s="47" t="s">
        <v>940</v>
      </c>
      <c r="J828" s="47" t="s">
        <v>26</v>
      </c>
    </row>
    <row r="829" ht="54" customHeight="1" spans="1:10">
      <c r="A829" s="48" t="s">
        <v>245</v>
      </c>
      <c r="B829" s="48" t="s">
        <v>2237</v>
      </c>
      <c r="C829" s="47" t="s">
        <v>1291</v>
      </c>
      <c r="D829" s="48" t="s">
        <v>965</v>
      </c>
      <c r="E829" s="48" t="s">
        <v>966</v>
      </c>
      <c r="F829" s="48" t="s">
        <v>1292</v>
      </c>
      <c r="G829" s="48" t="s">
        <v>1293</v>
      </c>
      <c r="H829" s="47" t="s">
        <v>1294</v>
      </c>
      <c r="I829" s="47" t="s">
        <v>1295</v>
      </c>
      <c r="J829" s="47" t="s">
        <v>26</v>
      </c>
    </row>
    <row r="830" ht="54" customHeight="1" spans="1:10">
      <c r="A830" s="48" t="s">
        <v>245</v>
      </c>
      <c r="B830" s="48" t="s">
        <v>2238</v>
      </c>
      <c r="C830" s="47" t="s">
        <v>1205</v>
      </c>
      <c r="D830" s="48" t="s">
        <v>978</v>
      </c>
      <c r="E830" s="48" t="s">
        <v>979</v>
      </c>
      <c r="F830" s="48" t="s">
        <v>1206</v>
      </c>
      <c r="G830" s="48" t="s">
        <v>1207</v>
      </c>
      <c r="H830" s="47" t="s">
        <v>1208</v>
      </c>
      <c r="I830" s="47" t="s">
        <v>1209</v>
      </c>
      <c r="J830" s="47" t="s">
        <v>26</v>
      </c>
    </row>
    <row r="831" ht="54" customHeight="1" spans="1:10">
      <c r="A831" s="48" t="s">
        <v>245</v>
      </c>
      <c r="B831" s="48" t="s">
        <v>2239</v>
      </c>
      <c r="C831" s="47" t="s">
        <v>1211</v>
      </c>
      <c r="D831" s="48" t="s">
        <v>965</v>
      </c>
      <c r="E831" s="48" t="s">
        <v>966</v>
      </c>
      <c r="F831" s="48" t="s">
        <v>1212</v>
      </c>
      <c r="G831" s="48" t="s">
        <v>1213</v>
      </c>
      <c r="H831" s="47" t="s">
        <v>1214</v>
      </c>
      <c r="I831" s="47" t="s">
        <v>940</v>
      </c>
      <c r="J831" s="47" t="s">
        <v>26</v>
      </c>
    </row>
    <row r="832" ht="54" customHeight="1" spans="1:10">
      <c r="A832" s="48" t="s">
        <v>247</v>
      </c>
      <c r="B832" s="48" t="s">
        <v>2240</v>
      </c>
      <c r="C832" s="47" t="s">
        <v>1008</v>
      </c>
      <c r="D832" s="48" t="s">
        <v>1009</v>
      </c>
      <c r="E832" s="48" t="s">
        <v>1010</v>
      </c>
      <c r="F832" s="48" t="s">
        <v>1011</v>
      </c>
      <c r="G832" s="48" t="s">
        <v>1012</v>
      </c>
      <c r="H832" s="47" t="s">
        <v>1013</v>
      </c>
      <c r="I832" s="47" t="s">
        <v>1014</v>
      </c>
      <c r="J832" s="47" t="s">
        <v>26</v>
      </c>
    </row>
    <row r="833" ht="54" customHeight="1" spans="1:10">
      <c r="A833" s="48" t="s">
        <v>247</v>
      </c>
      <c r="B833" s="48" t="s">
        <v>2241</v>
      </c>
      <c r="C833" s="47" t="s">
        <v>1022</v>
      </c>
      <c r="D833" s="48" t="s">
        <v>957</v>
      </c>
      <c r="E833" s="48" t="s">
        <v>958</v>
      </c>
      <c r="F833" s="48" t="s">
        <v>1023</v>
      </c>
      <c r="G833" s="48" t="s">
        <v>1024</v>
      </c>
      <c r="H833" s="47" t="s">
        <v>1025</v>
      </c>
      <c r="I833" s="47" t="s">
        <v>1026</v>
      </c>
      <c r="J833" s="47" t="s">
        <v>26</v>
      </c>
    </row>
    <row r="834" ht="54" customHeight="1" spans="1:10">
      <c r="A834" s="48" t="s">
        <v>247</v>
      </c>
      <c r="B834" s="48" t="s">
        <v>2242</v>
      </c>
      <c r="C834" s="47" t="s">
        <v>1105</v>
      </c>
      <c r="D834" s="48" t="s">
        <v>1009</v>
      </c>
      <c r="E834" s="48" t="s">
        <v>1010</v>
      </c>
      <c r="F834" s="48" t="s">
        <v>1106</v>
      </c>
      <c r="G834" s="48" t="s">
        <v>1107</v>
      </c>
      <c r="H834" s="47" t="s">
        <v>1108</v>
      </c>
      <c r="I834" s="47" t="s">
        <v>1109</v>
      </c>
      <c r="J834" s="47" t="s">
        <v>26</v>
      </c>
    </row>
    <row r="835" ht="54" customHeight="1" spans="1:10">
      <c r="A835" s="48" t="s">
        <v>247</v>
      </c>
      <c r="B835" s="48" t="s">
        <v>2243</v>
      </c>
      <c r="C835" s="47" t="s">
        <v>1097</v>
      </c>
      <c r="D835" s="48" t="s">
        <v>1098</v>
      </c>
      <c r="E835" s="48" t="s">
        <v>1099</v>
      </c>
      <c r="F835" s="48" t="s">
        <v>1100</v>
      </c>
      <c r="G835" s="48" t="s">
        <v>1101</v>
      </c>
      <c r="H835" s="47" t="s">
        <v>1102</v>
      </c>
      <c r="I835" s="47" t="s">
        <v>1103</v>
      </c>
      <c r="J835" s="47" t="s">
        <v>26</v>
      </c>
    </row>
    <row r="836" ht="54" customHeight="1" spans="1:10">
      <c r="A836" s="48" t="s">
        <v>247</v>
      </c>
      <c r="B836" s="48" t="s">
        <v>2244</v>
      </c>
      <c r="C836" s="47" t="s">
        <v>1137</v>
      </c>
      <c r="D836" s="48" t="s">
        <v>1138</v>
      </c>
      <c r="E836" s="48" t="s">
        <v>1139</v>
      </c>
      <c r="F836" s="48" t="s">
        <v>1140</v>
      </c>
      <c r="G836" s="48" t="s">
        <v>1141</v>
      </c>
      <c r="H836" s="47" t="s">
        <v>1142</v>
      </c>
      <c r="I836" s="47" t="s">
        <v>940</v>
      </c>
      <c r="J836" s="47" t="s">
        <v>26</v>
      </c>
    </row>
    <row r="837" ht="54" customHeight="1" spans="1:10">
      <c r="A837" s="48" t="s">
        <v>247</v>
      </c>
      <c r="B837" s="48" t="s">
        <v>2245</v>
      </c>
      <c r="C837" s="47" t="s">
        <v>971</v>
      </c>
      <c r="D837" s="48" t="s">
        <v>965</v>
      </c>
      <c r="E837" s="48" t="s">
        <v>966</v>
      </c>
      <c r="F837" s="48" t="s">
        <v>972</v>
      </c>
      <c r="G837" s="48" t="s">
        <v>973</v>
      </c>
      <c r="H837" s="47" t="s">
        <v>974</v>
      </c>
      <c r="I837" s="47" t="s">
        <v>975</v>
      </c>
      <c r="J837" s="47" t="s">
        <v>26</v>
      </c>
    </row>
    <row r="838" ht="54" customHeight="1" spans="1:10">
      <c r="A838" s="48" t="s">
        <v>247</v>
      </c>
      <c r="B838" s="48" t="s">
        <v>2246</v>
      </c>
      <c r="C838" s="47" t="s">
        <v>1313</v>
      </c>
      <c r="D838" s="48" t="s">
        <v>1037</v>
      </c>
      <c r="E838" s="48" t="s">
        <v>1038</v>
      </c>
      <c r="F838" s="48" t="s">
        <v>1314</v>
      </c>
      <c r="G838" s="48" t="s">
        <v>1315</v>
      </c>
      <c r="H838" s="47" t="s">
        <v>1316</v>
      </c>
      <c r="I838" s="47" t="s">
        <v>1317</v>
      </c>
      <c r="J838" s="47" t="s">
        <v>26</v>
      </c>
    </row>
    <row r="839" ht="54" customHeight="1" spans="1:10">
      <c r="A839" s="48" t="s">
        <v>247</v>
      </c>
      <c r="B839" s="48" t="s">
        <v>2247</v>
      </c>
      <c r="C839" s="47" t="s">
        <v>1356</v>
      </c>
      <c r="D839" s="48" t="s">
        <v>1082</v>
      </c>
      <c r="E839" s="48" t="s">
        <v>1083</v>
      </c>
      <c r="F839" s="48" t="s">
        <v>1357</v>
      </c>
      <c r="G839" s="48" t="s">
        <v>1358</v>
      </c>
      <c r="H839" s="47" t="s">
        <v>1359</v>
      </c>
      <c r="I839" s="47" t="s">
        <v>1360</v>
      </c>
      <c r="J839" s="47" t="s">
        <v>26</v>
      </c>
    </row>
    <row r="840" ht="54" customHeight="1" spans="1:10">
      <c r="A840" s="48" t="s">
        <v>249</v>
      </c>
      <c r="B840" s="48" t="s">
        <v>2248</v>
      </c>
      <c r="C840" s="47" t="s">
        <v>1072</v>
      </c>
      <c r="D840" s="48" t="s">
        <v>1073</v>
      </c>
      <c r="E840" s="48" t="s">
        <v>1074</v>
      </c>
      <c r="F840" s="48" t="s">
        <v>1075</v>
      </c>
      <c r="G840" s="48" t="s">
        <v>1076</v>
      </c>
      <c r="H840" s="47" t="s">
        <v>1077</v>
      </c>
      <c r="I840" s="47" t="s">
        <v>1078</v>
      </c>
      <c r="J840" s="47" t="s">
        <v>26</v>
      </c>
    </row>
    <row r="841" ht="54" customHeight="1" spans="1:10">
      <c r="A841" s="48" t="s">
        <v>249</v>
      </c>
      <c r="B841" s="48" t="s">
        <v>2249</v>
      </c>
      <c r="C841" s="47" t="s">
        <v>964</v>
      </c>
      <c r="D841" s="48" t="s">
        <v>965</v>
      </c>
      <c r="E841" s="48" t="s">
        <v>966</v>
      </c>
      <c r="F841" s="48" t="s">
        <v>967</v>
      </c>
      <c r="G841" s="48" t="s">
        <v>968</v>
      </c>
      <c r="H841" s="47" t="s">
        <v>969</v>
      </c>
      <c r="I841" s="47" t="s">
        <v>940</v>
      </c>
      <c r="J841" s="47" t="s">
        <v>26</v>
      </c>
    </row>
    <row r="842" ht="54" customHeight="1" spans="1:10">
      <c r="A842" s="48" t="s">
        <v>249</v>
      </c>
      <c r="B842" s="48" t="s">
        <v>2250</v>
      </c>
      <c r="C842" s="47" t="s">
        <v>1388</v>
      </c>
      <c r="D842" s="48" t="s">
        <v>1037</v>
      </c>
      <c r="E842" s="48" t="s">
        <v>1038</v>
      </c>
      <c r="F842" s="48" t="s">
        <v>1389</v>
      </c>
      <c r="G842" s="48" t="s">
        <v>1390</v>
      </c>
      <c r="H842" s="47" t="s">
        <v>1391</v>
      </c>
      <c r="I842" s="47" t="s">
        <v>1392</v>
      </c>
      <c r="J842" s="47" t="s">
        <v>26</v>
      </c>
    </row>
    <row r="843" ht="54" customHeight="1" spans="1:10">
      <c r="A843" s="48" t="s">
        <v>249</v>
      </c>
      <c r="B843" s="48" t="s">
        <v>2251</v>
      </c>
      <c r="C843" s="47" t="s">
        <v>1137</v>
      </c>
      <c r="D843" s="48" t="s">
        <v>1138</v>
      </c>
      <c r="E843" s="48" t="s">
        <v>1139</v>
      </c>
      <c r="F843" s="48" t="s">
        <v>1140</v>
      </c>
      <c r="G843" s="48" t="s">
        <v>1141</v>
      </c>
      <c r="H843" s="47" t="s">
        <v>1142</v>
      </c>
      <c r="I843" s="47" t="s">
        <v>940</v>
      </c>
      <c r="J843" s="47" t="s">
        <v>26</v>
      </c>
    </row>
    <row r="844" ht="54" customHeight="1" spans="1:10">
      <c r="A844" s="48" t="s">
        <v>249</v>
      </c>
      <c r="B844" s="48" t="s">
        <v>2252</v>
      </c>
      <c r="C844" s="47" t="s">
        <v>1313</v>
      </c>
      <c r="D844" s="48" t="s">
        <v>1037</v>
      </c>
      <c r="E844" s="48" t="s">
        <v>1038</v>
      </c>
      <c r="F844" s="48" t="s">
        <v>1314</v>
      </c>
      <c r="G844" s="48" t="s">
        <v>1315</v>
      </c>
      <c r="H844" s="47" t="s">
        <v>1316</v>
      </c>
      <c r="I844" s="47" t="s">
        <v>1317</v>
      </c>
      <c r="J844" s="47" t="s">
        <v>26</v>
      </c>
    </row>
    <row r="845" ht="54" customHeight="1" spans="1:10">
      <c r="A845" s="48" t="s">
        <v>249</v>
      </c>
      <c r="B845" s="48" t="s">
        <v>2253</v>
      </c>
      <c r="C845" s="47" t="s">
        <v>1205</v>
      </c>
      <c r="D845" s="48" t="s">
        <v>978</v>
      </c>
      <c r="E845" s="48" t="s">
        <v>979</v>
      </c>
      <c r="F845" s="48" t="s">
        <v>1206</v>
      </c>
      <c r="G845" s="48" t="s">
        <v>1207</v>
      </c>
      <c r="H845" s="47" t="s">
        <v>1208</v>
      </c>
      <c r="I845" s="47" t="s">
        <v>1209</v>
      </c>
      <c r="J845" s="47" t="s">
        <v>26</v>
      </c>
    </row>
    <row r="846" ht="54" customHeight="1" spans="1:10">
      <c r="A846" s="48" t="s">
        <v>251</v>
      </c>
      <c r="B846" s="48" t="s">
        <v>2254</v>
      </c>
      <c r="C846" s="47" t="s">
        <v>934</v>
      </c>
      <c r="D846" s="48" t="s">
        <v>935</v>
      </c>
      <c r="E846" s="48" t="s">
        <v>936</v>
      </c>
      <c r="F846" s="48" t="s">
        <v>937</v>
      </c>
      <c r="G846" s="48" t="s">
        <v>938</v>
      </c>
      <c r="H846" s="47" t="s">
        <v>939</v>
      </c>
      <c r="I846" s="47" t="s">
        <v>940</v>
      </c>
      <c r="J846" s="47" t="s">
        <v>26</v>
      </c>
    </row>
    <row r="847" ht="54" customHeight="1" spans="1:10">
      <c r="A847" s="48" t="s">
        <v>251</v>
      </c>
      <c r="B847" s="48" t="s">
        <v>2255</v>
      </c>
      <c r="C847" s="47" t="s">
        <v>1022</v>
      </c>
      <c r="D847" s="48" t="s">
        <v>957</v>
      </c>
      <c r="E847" s="48" t="s">
        <v>958</v>
      </c>
      <c r="F847" s="48" t="s">
        <v>1023</v>
      </c>
      <c r="G847" s="48" t="s">
        <v>1024</v>
      </c>
      <c r="H847" s="47" t="s">
        <v>1025</v>
      </c>
      <c r="I847" s="47" t="s">
        <v>1026</v>
      </c>
      <c r="J847" s="47" t="s">
        <v>26</v>
      </c>
    </row>
    <row r="848" ht="54" customHeight="1" spans="1:10">
      <c r="A848" s="48" t="s">
        <v>251</v>
      </c>
      <c r="B848" s="48" t="s">
        <v>2256</v>
      </c>
      <c r="C848" s="47" t="s">
        <v>950</v>
      </c>
      <c r="D848" s="48" t="s">
        <v>935</v>
      </c>
      <c r="E848" s="48" t="s">
        <v>936</v>
      </c>
      <c r="F848" s="48" t="s">
        <v>951</v>
      </c>
      <c r="G848" s="48" t="s">
        <v>952</v>
      </c>
      <c r="H848" s="47" t="s">
        <v>953</v>
      </c>
      <c r="I848" s="47" t="s">
        <v>954</v>
      </c>
      <c r="J848" s="47" t="s">
        <v>26</v>
      </c>
    </row>
    <row r="849" ht="54" customHeight="1" spans="1:10">
      <c r="A849" s="48" t="s">
        <v>251</v>
      </c>
      <c r="B849" s="48" t="s">
        <v>2257</v>
      </c>
      <c r="C849" s="47" t="s">
        <v>1388</v>
      </c>
      <c r="D849" s="48" t="s">
        <v>1037</v>
      </c>
      <c r="E849" s="48" t="s">
        <v>1038</v>
      </c>
      <c r="F849" s="48" t="s">
        <v>1389</v>
      </c>
      <c r="G849" s="48" t="s">
        <v>1390</v>
      </c>
      <c r="H849" s="47" t="s">
        <v>1391</v>
      </c>
      <c r="I849" s="47" t="s">
        <v>1392</v>
      </c>
      <c r="J849" s="47" t="s">
        <v>26</v>
      </c>
    </row>
    <row r="850" ht="54" customHeight="1" spans="1:10">
      <c r="A850" s="48" t="s">
        <v>251</v>
      </c>
      <c r="B850" s="48" t="s">
        <v>2258</v>
      </c>
      <c r="C850" s="47" t="s">
        <v>977</v>
      </c>
      <c r="D850" s="48" t="s">
        <v>978</v>
      </c>
      <c r="E850" s="48" t="s">
        <v>979</v>
      </c>
      <c r="F850" s="48" t="s">
        <v>980</v>
      </c>
      <c r="G850" s="48" t="s">
        <v>981</v>
      </c>
      <c r="H850" s="47" t="s">
        <v>982</v>
      </c>
      <c r="I850" s="47" t="s">
        <v>983</v>
      </c>
      <c r="J850" s="47" t="s">
        <v>26</v>
      </c>
    </row>
    <row r="851" ht="54" customHeight="1" spans="1:10">
      <c r="A851" s="48" t="s">
        <v>251</v>
      </c>
      <c r="B851" s="48" t="s">
        <v>2259</v>
      </c>
      <c r="C851" s="47" t="s">
        <v>1245</v>
      </c>
      <c r="D851" s="48" t="s">
        <v>1171</v>
      </c>
      <c r="E851" s="48" t="s">
        <v>1172</v>
      </c>
      <c r="F851" s="48" t="s">
        <v>1246</v>
      </c>
      <c r="G851" s="48" t="s">
        <v>1247</v>
      </c>
      <c r="H851" s="47" t="s">
        <v>1248</v>
      </c>
      <c r="I851" s="47" t="s">
        <v>1176</v>
      </c>
      <c r="J851" s="47" t="s">
        <v>26</v>
      </c>
    </row>
    <row r="852" ht="54" customHeight="1" spans="1:10">
      <c r="A852" s="48" t="s">
        <v>253</v>
      </c>
      <c r="B852" s="48" t="s">
        <v>2260</v>
      </c>
      <c r="C852" s="47" t="s">
        <v>1516</v>
      </c>
      <c r="D852" s="48" t="s">
        <v>1073</v>
      </c>
      <c r="E852" s="48" t="s">
        <v>1074</v>
      </c>
      <c r="F852" s="48" t="s">
        <v>1517</v>
      </c>
      <c r="G852" s="48" t="s">
        <v>1518</v>
      </c>
      <c r="H852" s="47" t="s">
        <v>1519</v>
      </c>
      <c r="I852" s="47" t="s">
        <v>1520</v>
      </c>
      <c r="J852" s="47" t="s">
        <v>26</v>
      </c>
    </row>
    <row r="853" ht="54" customHeight="1" spans="1:10">
      <c r="A853" s="48" t="s">
        <v>253</v>
      </c>
      <c r="B853" s="48" t="s">
        <v>2261</v>
      </c>
      <c r="C853" s="47" t="s">
        <v>1459</v>
      </c>
      <c r="D853" s="48" t="s">
        <v>957</v>
      </c>
      <c r="E853" s="48" t="s">
        <v>958</v>
      </c>
      <c r="F853" s="48" t="s">
        <v>1460</v>
      </c>
      <c r="G853" s="48" t="s">
        <v>1461</v>
      </c>
      <c r="H853" s="47" t="s">
        <v>1462</v>
      </c>
      <c r="I853" s="47" t="s">
        <v>1463</v>
      </c>
      <c r="J853" s="47" t="s">
        <v>26</v>
      </c>
    </row>
    <row r="854" ht="54" customHeight="1" spans="1:10">
      <c r="A854" s="48" t="s">
        <v>253</v>
      </c>
      <c r="B854" s="48" t="s">
        <v>2262</v>
      </c>
      <c r="C854" s="47" t="s">
        <v>1097</v>
      </c>
      <c r="D854" s="48" t="s">
        <v>1098</v>
      </c>
      <c r="E854" s="48" t="s">
        <v>1099</v>
      </c>
      <c r="F854" s="48" t="s">
        <v>1100</v>
      </c>
      <c r="G854" s="48" t="s">
        <v>1101</v>
      </c>
      <c r="H854" s="47" t="s">
        <v>1102</v>
      </c>
      <c r="I854" s="47" t="s">
        <v>1103</v>
      </c>
      <c r="J854" s="47" t="s">
        <v>26</v>
      </c>
    </row>
    <row r="855" ht="54" customHeight="1" spans="1:10">
      <c r="A855" s="48" t="s">
        <v>253</v>
      </c>
      <c r="B855" s="48" t="s">
        <v>2263</v>
      </c>
      <c r="C855" s="47" t="s">
        <v>1216</v>
      </c>
      <c r="D855" s="48" t="s">
        <v>993</v>
      </c>
      <c r="E855" s="48" t="s">
        <v>994</v>
      </c>
      <c r="F855" s="48" t="s">
        <v>1217</v>
      </c>
      <c r="G855" s="48" t="s">
        <v>1218</v>
      </c>
      <c r="H855" s="47" t="s">
        <v>1219</v>
      </c>
      <c r="I855" s="47" t="s">
        <v>1220</v>
      </c>
      <c r="J855" s="47" t="s">
        <v>26</v>
      </c>
    </row>
    <row r="856" ht="54" customHeight="1" spans="1:10">
      <c r="A856" s="48" t="s">
        <v>253</v>
      </c>
      <c r="B856" s="48" t="s">
        <v>2264</v>
      </c>
      <c r="C856" s="47" t="s">
        <v>1145</v>
      </c>
      <c r="D856" s="48" t="s">
        <v>1146</v>
      </c>
      <c r="E856" s="48" t="s">
        <v>1147</v>
      </c>
      <c r="F856" s="48" t="s">
        <v>1148</v>
      </c>
      <c r="G856" s="48" t="s">
        <v>1149</v>
      </c>
      <c r="H856" s="47" t="s">
        <v>1150</v>
      </c>
      <c r="I856" s="47" t="s">
        <v>1151</v>
      </c>
      <c r="J856" s="47" t="s">
        <v>26</v>
      </c>
    </row>
    <row r="857" ht="54" customHeight="1" spans="1:10">
      <c r="A857" s="48" t="s">
        <v>253</v>
      </c>
      <c r="B857" s="48" t="s">
        <v>2265</v>
      </c>
      <c r="C857" s="47" t="s">
        <v>1196</v>
      </c>
      <c r="D857" s="48" t="s">
        <v>1118</v>
      </c>
      <c r="E857" s="48" t="s">
        <v>1119</v>
      </c>
      <c r="F857" s="48" t="s">
        <v>1197</v>
      </c>
      <c r="G857" s="48" t="s">
        <v>1198</v>
      </c>
      <c r="H857" s="47" t="s">
        <v>1199</v>
      </c>
      <c r="I857" s="47" t="s">
        <v>1200</v>
      </c>
      <c r="J857" s="47" t="s">
        <v>26</v>
      </c>
    </row>
    <row r="858" ht="54" customHeight="1" spans="1:10">
      <c r="A858" s="48" t="s">
        <v>255</v>
      </c>
      <c r="B858" s="48" t="s">
        <v>2266</v>
      </c>
      <c r="C858" s="47" t="s">
        <v>934</v>
      </c>
      <c r="D858" s="48" t="s">
        <v>935</v>
      </c>
      <c r="E858" s="48" t="s">
        <v>936</v>
      </c>
      <c r="F858" s="48" t="s">
        <v>937</v>
      </c>
      <c r="G858" s="48" t="s">
        <v>938</v>
      </c>
      <c r="H858" s="47" t="s">
        <v>939</v>
      </c>
      <c r="I858" s="47" t="s">
        <v>940</v>
      </c>
      <c r="J858" s="47" t="s">
        <v>26</v>
      </c>
    </row>
    <row r="859" ht="54" customHeight="1" spans="1:10">
      <c r="A859" s="48" t="s">
        <v>255</v>
      </c>
      <c r="B859" s="48" t="s">
        <v>2267</v>
      </c>
      <c r="C859" s="47" t="s">
        <v>1089</v>
      </c>
      <c r="D859" s="48" t="s">
        <v>957</v>
      </c>
      <c r="E859" s="48" t="s">
        <v>958</v>
      </c>
      <c r="F859" s="48" t="s">
        <v>1090</v>
      </c>
      <c r="G859" s="48" t="s">
        <v>1091</v>
      </c>
      <c r="H859" s="47" t="s">
        <v>1092</v>
      </c>
      <c r="I859" s="47" t="s">
        <v>1093</v>
      </c>
      <c r="J859" s="47" t="s">
        <v>26</v>
      </c>
    </row>
    <row r="860" ht="54" customHeight="1" spans="1:10">
      <c r="A860" s="48" t="s">
        <v>255</v>
      </c>
      <c r="B860" s="48" t="s">
        <v>2268</v>
      </c>
      <c r="C860" s="47" t="s">
        <v>950</v>
      </c>
      <c r="D860" s="48" t="s">
        <v>935</v>
      </c>
      <c r="E860" s="48" t="s">
        <v>936</v>
      </c>
      <c r="F860" s="48" t="s">
        <v>951</v>
      </c>
      <c r="G860" s="48" t="s">
        <v>952</v>
      </c>
      <c r="H860" s="47" t="s">
        <v>953</v>
      </c>
      <c r="I860" s="47" t="s">
        <v>954</v>
      </c>
      <c r="J860" s="47" t="s">
        <v>26</v>
      </c>
    </row>
    <row r="861" ht="54" customHeight="1" spans="1:10">
      <c r="A861" s="48" t="s">
        <v>255</v>
      </c>
      <c r="B861" s="48" t="s">
        <v>2269</v>
      </c>
      <c r="C861" s="47" t="s">
        <v>1097</v>
      </c>
      <c r="D861" s="48" t="s">
        <v>1098</v>
      </c>
      <c r="E861" s="48" t="s">
        <v>1099</v>
      </c>
      <c r="F861" s="48" t="s">
        <v>1100</v>
      </c>
      <c r="G861" s="48" t="s">
        <v>1101</v>
      </c>
      <c r="H861" s="47" t="s">
        <v>1102</v>
      </c>
      <c r="I861" s="47" t="s">
        <v>1103</v>
      </c>
      <c r="J861" s="47" t="s">
        <v>26</v>
      </c>
    </row>
    <row r="862" ht="54" customHeight="1" spans="1:10">
      <c r="A862" s="48" t="s">
        <v>255</v>
      </c>
      <c r="B862" s="48" t="s">
        <v>2270</v>
      </c>
      <c r="C862" s="47" t="s">
        <v>1111</v>
      </c>
      <c r="D862" s="48" t="s">
        <v>965</v>
      </c>
      <c r="E862" s="48" t="s">
        <v>966</v>
      </c>
      <c r="F862" s="48" t="s">
        <v>1112</v>
      </c>
      <c r="G862" s="48" t="s">
        <v>1113</v>
      </c>
      <c r="H862" s="47" t="s">
        <v>1114</v>
      </c>
      <c r="I862" s="47" t="s">
        <v>1115</v>
      </c>
      <c r="J862" s="47" t="s">
        <v>26</v>
      </c>
    </row>
    <row r="863" ht="54" customHeight="1" spans="1:10">
      <c r="A863" s="48" t="s">
        <v>255</v>
      </c>
      <c r="B863" s="48" t="s">
        <v>2271</v>
      </c>
      <c r="C863" s="47" t="s">
        <v>1205</v>
      </c>
      <c r="D863" s="48" t="s">
        <v>978</v>
      </c>
      <c r="E863" s="48" t="s">
        <v>979</v>
      </c>
      <c r="F863" s="48" t="s">
        <v>1206</v>
      </c>
      <c r="G863" s="48" t="s">
        <v>1207</v>
      </c>
      <c r="H863" s="47" t="s">
        <v>1208</v>
      </c>
      <c r="I863" s="47" t="s">
        <v>1209</v>
      </c>
      <c r="J863" s="47" t="s">
        <v>26</v>
      </c>
    </row>
    <row r="864" ht="54" customHeight="1" spans="1:10">
      <c r="A864" s="48" t="s">
        <v>255</v>
      </c>
      <c r="B864" s="48" t="s">
        <v>2272</v>
      </c>
      <c r="C864" s="47" t="s">
        <v>1211</v>
      </c>
      <c r="D864" s="48" t="s">
        <v>965</v>
      </c>
      <c r="E864" s="48" t="s">
        <v>966</v>
      </c>
      <c r="F864" s="48" t="s">
        <v>1212</v>
      </c>
      <c r="G864" s="48" t="s">
        <v>1213</v>
      </c>
      <c r="H864" s="47" t="s">
        <v>1214</v>
      </c>
      <c r="I864" s="47" t="s">
        <v>940</v>
      </c>
      <c r="J864" s="47" t="s">
        <v>26</v>
      </c>
    </row>
    <row r="865" ht="54" customHeight="1" spans="1:10">
      <c r="A865" s="48" t="s">
        <v>255</v>
      </c>
      <c r="B865" s="48" t="s">
        <v>2273</v>
      </c>
      <c r="C865" s="47" t="s">
        <v>1216</v>
      </c>
      <c r="D865" s="48" t="s">
        <v>993</v>
      </c>
      <c r="E865" s="48" t="s">
        <v>994</v>
      </c>
      <c r="F865" s="48" t="s">
        <v>1217</v>
      </c>
      <c r="G865" s="48" t="s">
        <v>1218</v>
      </c>
      <c r="H865" s="47" t="s">
        <v>1219</v>
      </c>
      <c r="I865" s="47" t="s">
        <v>1220</v>
      </c>
      <c r="J865" s="47" t="s">
        <v>26</v>
      </c>
    </row>
    <row r="866" ht="54" customHeight="1" spans="1:10">
      <c r="A866" s="48" t="s">
        <v>255</v>
      </c>
      <c r="B866" s="48" t="s">
        <v>2274</v>
      </c>
      <c r="C866" s="47" t="s">
        <v>1245</v>
      </c>
      <c r="D866" s="48" t="s">
        <v>1171</v>
      </c>
      <c r="E866" s="48" t="s">
        <v>1172</v>
      </c>
      <c r="F866" s="48" t="s">
        <v>1246</v>
      </c>
      <c r="G866" s="48" t="s">
        <v>1247</v>
      </c>
      <c r="H866" s="47" t="s">
        <v>1248</v>
      </c>
      <c r="I866" s="47" t="s">
        <v>1176</v>
      </c>
      <c r="J866" s="47" t="s">
        <v>26</v>
      </c>
    </row>
    <row r="867" ht="54" customHeight="1" spans="1:10">
      <c r="A867" s="48" t="s">
        <v>257</v>
      </c>
      <c r="B867" s="48" t="s">
        <v>2275</v>
      </c>
      <c r="C867" s="47" t="s">
        <v>1459</v>
      </c>
      <c r="D867" s="48" t="s">
        <v>957</v>
      </c>
      <c r="E867" s="48" t="s">
        <v>958</v>
      </c>
      <c r="F867" s="48" t="s">
        <v>1460</v>
      </c>
      <c r="G867" s="48" t="s">
        <v>1461</v>
      </c>
      <c r="H867" s="47" t="s">
        <v>1462</v>
      </c>
      <c r="I867" s="47" t="s">
        <v>1463</v>
      </c>
      <c r="J867" s="47" t="s">
        <v>26</v>
      </c>
    </row>
    <row r="868" ht="54" customHeight="1" spans="1:10">
      <c r="A868" s="48" t="s">
        <v>257</v>
      </c>
      <c r="B868" s="48" t="s">
        <v>2276</v>
      </c>
      <c r="C868" s="47" t="s">
        <v>1097</v>
      </c>
      <c r="D868" s="48" t="s">
        <v>1098</v>
      </c>
      <c r="E868" s="48" t="s">
        <v>1099</v>
      </c>
      <c r="F868" s="48" t="s">
        <v>1100</v>
      </c>
      <c r="G868" s="48" t="s">
        <v>1101</v>
      </c>
      <c r="H868" s="47" t="s">
        <v>1102</v>
      </c>
      <c r="I868" s="47" t="s">
        <v>1103</v>
      </c>
      <c r="J868" s="47" t="s">
        <v>26</v>
      </c>
    </row>
    <row r="869" ht="54" customHeight="1" spans="1:10">
      <c r="A869" s="48" t="s">
        <v>257</v>
      </c>
      <c r="B869" s="48" t="s">
        <v>2277</v>
      </c>
      <c r="C869" s="47" t="s">
        <v>1137</v>
      </c>
      <c r="D869" s="48" t="s">
        <v>1138</v>
      </c>
      <c r="E869" s="48" t="s">
        <v>1139</v>
      </c>
      <c r="F869" s="48" t="s">
        <v>1140</v>
      </c>
      <c r="G869" s="48" t="s">
        <v>1141</v>
      </c>
      <c r="H869" s="47" t="s">
        <v>1142</v>
      </c>
      <c r="I869" s="47" t="s">
        <v>940</v>
      </c>
      <c r="J869" s="47" t="s">
        <v>26</v>
      </c>
    </row>
    <row r="870" ht="54" customHeight="1" spans="1:10">
      <c r="A870" s="48" t="s">
        <v>257</v>
      </c>
      <c r="B870" s="48" t="s">
        <v>2278</v>
      </c>
      <c r="C870" s="47" t="s">
        <v>971</v>
      </c>
      <c r="D870" s="48" t="s">
        <v>965</v>
      </c>
      <c r="E870" s="48" t="s">
        <v>966</v>
      </c>
      <c r="F870" s="48" t="s">
        <v>972</v>
      </c>
      <c r="G870" s="48" t="s">
        <v>973</v>
      </c>
      <c r="H870" s="47" t="s">
        <v>974</v>
      </c>
      <c r="I870" s="47" t="s">
        <v>975</v>
      </c>
      <c r="J870" s="47" t="s">
        <v>26</v>
      </c>
    </row>
    <row r="871" ht="54" customHeight="1" spans="1:10">
      <c r="A871" s="48" t="s">
        <v>257</v>
      </c>
      <c r="B871" s="48" t="s">
        <v>2279</v>
      </c>
      <c r="C871" s="47" t="s">
        <v>1291</v>
      </c>
      <c r="D871" s="48" t="s">
        <v>965</v>
      </c>
      <c r="E871" s="48" t="s">
        <v>966</v>
      </c>
      <c r="F871" s="48" t="s">
        <v>1292</v>
      </c>
      <c r="G871" s="48" t="s">
        <v>1293</v>
      </c>
      <c r="H871" s="47" t="s">
        <v>1294</v>
      </c>
      <c r="I871" s="47" t="s">
        <v>1295</v>
      </c>
      <c r="J871" s="47" t="s">
        <v>26</v>
      </c>
    </row>
    <row r="872" ht="54" customHeight="1" spans="1:10">
      <c r="A872" s="48" t="s">
        <v>257</v>
      </c>
      <c r="B872" s="48" t="s">
        <v>2280</v>
      </c>
      <c r="C872" s="47" t="s">
        <v>1211</v>
      </c>
      <c r="D872" s="48" t="s">
        <v>965</v>
      </c>
      <c r="E872" s="48" t="s">
        <v>966</v>
      </c>
      <c r="F872" s="48" t="s">
        <v>1212</v>
      </c>
      <c r="G872" s="48" t="s">
        <v>1213</v>
      </c>
      <c r="H872" s="47" t="s">
        <v>1214</v>
      </c>
      <c r="I872" s="47" t="s">
        <v>940</v>
      </c>
      <c r="J872" s="47" t="s">
        <v>26</v>
      </c>
    </row>
    <row r="873" ht="54" customHeight="1" spans="1:10">
      <c r="A873" s="48" t="s">
        <v>259</v>
      </c>
      <c r="B873" s="48" t="s">
        <v>2281</v>
      </c>
      <c r="C873" s="47" t="s">
        <v>1072</v>
      </c>
      <c r="D873" s="48" t="s">
        <v>1073</v>
      </c>
      <c r="E873" s="48" t="s">
        <v>1074</v>
      </c>
      <c r="F873" s="48" t="s">
        <v>1075</v>
      </c>
      <c r="G873" s="48" t="s">
        <v>1076</v>
      </c>
      <c r="H873" s="47" t="s">
        <v>1077</v>
      </c>
      <c r="I873" s="47" t="s">
        <v>1078</v>
      </c>
      <c r="J873" s="47" t="s">
        <v>26</v>
      </c>
    </row>
    <row r="874" ht="54" customHeight="1" spans="1:10">
      <c r="A874" s="48" t="s">
        <v>259</v>
      </c>
      <c r="B874" s="48" t="s">
        <v>2282</v>
      </c>
      <c r="C874" s="47" t="s">
        <v>956</v>
      </c>
      <c r="D874" s="48" t="s">
        <v>957</v>
      </c>
      <c r="E874" s="48" t="s">
        <v>958</v>
      </c>
      <c r="F874" s="48" t="s">
        <v>959</v>
      </c>
      <c r="G874" s="48" t="s">
        <v>960</v>
      </c>
      <c r="H874" s="47" t="s">
        <v>961</v>
      </c>
      <c r="I874" s="47" t="s">
        <v>962</v>
      </c>
      <c r="J874" s="47" t="s">
        <v>26</v>
      </c>
    </row>
    <row r="875" ht="54" customHeight="1" spans="1:10">
      <c r="A875" s="48" t="s">
        <v>259</v>
      </c>
      <c r="B875" s="48" t="s">
        <v>2283</v>
      </c>
      <c r="C875" s="47" t="s">
        <v>1767</v>
      </c>
      <c r="D875" s="48" t="s">
        <v>957</v>
      </c>
      <c r="E875" s="48" t="s">
        <v>958</v>
      </c>
      <c r="F875" s="48" t="s">
        <v>1768</v>
      </c>
      <c r="G875" s="48" t="s">
        <v>1769</v>
      </c>
      <c r="H875" s="47" t="s">
        <v>1770</v>
      </c>
      <c r="I875" s="47" t="s">
        <v>1771</v>
      </c>
      <c r="J875" s="47" t="s">
        <v>26</v>
      </c>
    </row>
    <row r="876" ht="54" customHeight="1" spans="1:10">
      <c r="A876" s="48" t="s">
        <v>259</v>
      </c>
      <c r="B876" s="48" t="s">
        <v>2284</v>
      </c>
      <c r="C876" s="47" t="s">
        <v>1036</v>
      </c>
      <c r="D876" s="48" t="s">
        <v>1037</v>
      </c>
      <c r="E876" s="48" t="s">
        <v>1038</v>
      </c>
      <c r="F876" s="48" t="s">
        <v>1039</v>
      </c>
      <c r="G876" s="48" t="s">
        <v>1040</v>
      </c>
      <c r="H876" s="47" t="s">
        <v>1041</v>
      </c>
      <c r="I876" s="47" t="s">
        <v>1042</v>
      </c>
      <c r="J876" s="47" t="s">
        <v>26</v>
      </c>
    </row>
    <row r="877" ht="54" customHeight="1" spans="1:10">
      <c r="A877" s="48" t="s">
        <v>259</v>
      </c>
      <c r="B877" s="48" t="s">
        <v>2285</v>
      </c>
      <c r="C877" s="47" t="s">
        <v>1589</v>
      </c>
      <c r="D877" s="48" t="s">
        <v>943</v>
      </c>
      <c r="E877" s="48" t="s">
        <v>944</v>
      </c>
      <c r="F877" s="48" t="s">
        <v>1590</v>
      </c>
      <c r="G877" s="48" t="s">
        <v>1591</v>
      </c>
      <c r="H877" s="47" t="s">
        <v>1592</v>
      </c>
      <c r="I877" s="47" t="s">
        <v>1593</v>
      </c>
      <c r="J877" s="47" t="s">
        <v>26</v>
      </c>
    </row>
    <row r="878" ht="54" customHeight="1" spans="1:10">
      <c r="A878" s="48" t="s">
        <v>259</v>
      </c>
      <c r="B878" s="48" t="s">
        <v>2286</v>
      </c>
      <c r="C878" s="47" t="s">
        <v>1097</v>
      </c>
      <c r="D878" s="48" t="s">
        <v>1098</v>
      </c>
      <c r="E878" s="48" t="s">
        <v>1099</v>
      </c>
      <c r="F878" s="48" t="s">
        <v>1100</v>
      </c>
      <c r="G878" s="48" t="s">
        <v>1101</v>
      </c>
      <c r="H878" s="47" t="s">
        <v>1102</v>
      </c>
      <c r="I878" s="47" t="s">
        <v>1103</v>
      </c>
      <c r="J878" s="47" t="s">
        <v>26</v>
      </c>
    </row>
    <row r="879" ht="54" customHeight="1" spans="1:10">
      <c r="A879" s="48" t="s">
        <v>259</v>
      </c>
      <c r="B879" s="48" t="s">
        <v>2287</v>
      </c>
      <c r="C879" s="47" t="s">
        <v>1388</v>
      </c>
      <c r="D879" s="48" t="s">
        <v>1037</v>
      </c>
      <c r="E879" s="48" t="s">
        <v>1038</v>
      </c>
      <c r="F879" s="48" t="s">
        <v>1389</v>
      </c>
      <c r="G879" s="48" t="s">
        <v>1390</v>
      </c>
      <c r="H879" s="47" t="s">
        <v>1391</v>
      </c>
      <c r="I879" s="47" t="s">
        <v>1392</v>
      </c>
      <c r="J879" s="47" t="s">
        <v>26</v>
      </c>
    </row>
    <row r="880" ht="54" customHeight="1" spans="1:10">
      <c r="A880" s="48" t="s">
        <v>259</v>
      </c>
      <c r="B880" s="48" t="s">
        <v>2288</v>
      </c>
      <c r="C880" s="47" t="s">
        <v>1285</v>
      </c>
      <c r="D880" s="48" t="s">
        <v>965</v>
      </c>
      <c r="E880" s="48" t="s">
        <v>966</v>
      </c>
      <c r="F880" s="48" t="s">
        <v>1286</v>
      </c>
      <c r="G880" s="48" t="s">
        <v>1287</v>
      </c>
      <c r="H880" s="47" t="s">
        <v>1288</v>
      </c>
      <c r="I880" s="47" t="s">
        <v>1289</v>
      </c>
      <c r="J880" s="47" t="s">
        <v>26</v>
      </c>
    </row>
    <row r="881" ht="54" customHeight="1" spans="1:10">
      <c r="A881" s="48" t="s">
        <v>261</v>
      </c>
      <c r="B881" s="48" t="s">
        <v>2289</v>
      </c>
      <c r="C881" s="47" t="s">
        <v>1072</v>
      </c>
      <c r="D881" s="48" t="s">
        <v>1073</v>
      </c>
      <c r="E881" s="48" t="s">
        <v>1074</v>
      </c>
      <c r="F881" s="48" t="s">
        <v>1075</v>
      </c>
      <c r="G881" s="48" t="s">
        <v>1076</v>
      </c>
      <c r="H881" s="47" t="s">
        <v>1077</v>
      </c>
      <c r="I881" s="47" t="s">
        <v>1078</v>
      </c>
      <c r="J881" s="47" t="s">
        <v>26</v>
      </c>
    </row>
    <row r="882" ht="54" customHeight="1" spans="1:10">
      <c r="A882" s="48" t="s">
        <v>261</v>
      </c>
      <c r="B882" s="48" t="s">
        <v>2290</v>
      </c>
      <c r="C882" s="47" t="s">
        <v>1388</v>
      </c>
      <c r="D882" s="48" t="s">
        <v>1037</v>
      </c>
      <c r="E882" s="48" t="s">
        <v>1038</v>
      </c>
      <c r="F882" s="48" t="s">
        <v>1389</v>
      </c>
      <c r="G882" s="48" t="s">
        <v>1390</v>
      </c>
      <c r="H882" s="47" t="s">
        <v>1391</v>
      </c>
      <c r="I882" s="47" t="s">
        <v>1392</v>
      </c>
      <c r="J882" s="47" t="s">
        <v>26</v>
      </c>
    </row>
    <row r="883" ht="54" customHeight="1" spans="1:10">
      <c r="A883" s="48" t="s">
        <v>261</v>
      </c>
      <c r="B883" s="48" t="s">
        <v>2291</v>
      </c>
      <c r="C883" s="47" t="s">
        <v>1313</v>
      </c>
      <c r="D883" s="48" t="s">
        <v>1037</v>
      </c>
      <c r="E883" s="48" t="s">
        <v>1038</v>
      </c>
      <c r="F883" s="48" t="s">
        <v>1314</v>
      </c>
      <c r="G883" s="48" t="s">
        <v>1315</v>
      </c>
      <c r="H883" s="47" t="s">
        <v>1316</v>
      </c>
      <c r="I883" s="47" t="s">
        <v>1317</v>
      </c>
      <c r="J883" s="47" t="s">
        <v>26</v>
      </c>
    </row>
    <row r="884" ht="54" customHeight="1" spans="1:10">
      <c r="A884" s="48" t="s">
        <v>261</v>
      </c>
      <c r="B884" s="48" t="s">
        <v>2292</v>
      </c>
      <c r="C884" s="47" t="s">
        <v>1235</v>
      </c>
      <c r="D884" s="48" t="s">
        <v>1118</v>
      </c>
      <c r="E884" s="48" t="s">
        <v>1119</v>
      </c>
      <c r="F884" s="48" t="s">
        <v>1236</v>
      </c>
      <c r="G884" s="48" t="s">
        <v>1237</v>
      </c>
      <c r="H884" s="47" t="s">
        <v>1238</v>
      </c>
      <c r="I884" s="47" t="s">
        <v>1239</v>
      </c>
      <c r="J884" s="47" t="s">
        <v>26</v>
      </c>
    </row>
    <row r="885" ht="54" customHeight="1" spans="1:10">
      <c r="A885" s="48" t="s">
        <v>261</v>
      </c>
      <c r="B885" s="48" t="s">
        <v>2293</v>
      </c>
      <c r="C885" s="47" t="s">
        <v>1145</v>
      </c>
      <c r="D885" s="48" t="s">
        <v>1146</v>
      </c>
      <c r="E885" s="48" t="s">
        <v>1147</v>
      </c>
      <c r="F885" s="48" t="s">
        <v>1148</v>
      </c>
      <c r="G885" s="48" t="s">
        <v>1149</v>
      </c>
      <c r="H885" s="47" t="s">
        <v>1150</v>
      </c>
      <c r="I885" s="47" t="s">
        <v>1151</v>
      </c>
      <c r="J885" s="47" t="s">
        <v>26</v>
      </c>
    </row>
    <row r="886" ht="54" customHeight="1" spans="1:10">
      <c r="A886" s="48" t="s">
        <v>261</v>
      </c>
      <c r="B886" s="48" t="s">
        <v>2294</v>
      </c>
      <c r="C886" s="47" t="s">
        <v>1196</v>
      </c>
      <c r="D886" s="48" t="s">
        <v>1118</v>
      </c>
      <c r="E886" s="48" t="s">
        <v>1119</v>
      </c>
      <c r="F886" s="48" t="s">
        <v>1197</v>
      </c>
      <c r="G886" s="48" t="s">
        <v>1198</v>
      </c>
      <c r="H886" s="47" t="s">
        <v>1199</v>
      </c>
      <c r="I886" s="47" t="s">
        <v>1200</v>
      </c>
      <c r="J886" s="47" t="s">
        <v>26</v>
      </c>
    </row>
    <row r="887" ht="54" customHeight="1" spans="1:10">
      <c r="A887" s="48" t="s">
        <v>263</v>
      </c>
      <c r="B887" s="48" t="s">
        <v>2295</v>
      </c>
      <c r="C887" s="47" t="s">
        <v>1022</v>
      </c>
      <c r="D887" s="48" t="s">
        <v>957</v>
      </c>
      <c r="E887" s="48" t="s">
        <v>958</v>
      </c>
      <c r="F887" s="48" t="s">
        <v>1023</v>
      </c>
      <c r="G887" s="48" t="s">
        <v>1024</v>
      </c>
      <c r="H887" s="47" t="s">
        <v>1025</v>
      </c>
      <c r="I887" s="47" t="s">
        <v>1026</v>
      </c>
      <c r="J887" s="47" t="s">
        <v>26</v>
      </c>
    </row>
    <row r="888" ht="54" customHeight="1" spans="1:10">
      <c r="A888" s="48" t="s">
        <v>263</v>
      </c>
      <c r="B888" s="48" t="s">
        <v>2296</v>
      </c>
      <c r="C888" s="47" t="s">
        <v>1105</v>
      </c>
      <c r="D888" s="48" t="s">
        <v>1009</v>
      </c>
      <c r="E888" s="48" t="s">
        <v>1010</v>
      </c>
      <c r="F888" s="48" t="s">
        <v>1106</v>
      </c>
      <c r="G888" s="48" t="s">
        <v>1107</v>
      </c>
      <c r="H888" s="47" t="s">
        <v>1108</v>
      </c>
      <c r="I888" s="47" t="s">
        <v>1109</v>
      </c>
      <c r="J888" s="47" t="s">
        <v>26</v>
      </c>
    </row>
    <row r="889" ht="54" customHeight="1" spans="1:10">
      <c r="A889" s="48" t="s">
        <v>263</v>
      </c>
      <c r="B889" s="48" t="s">
        <v>2297</v>
      </c>
      <c r="C889" s="47" t="s">
        <v>1767</v>
      </c>
      <c r="D889" s="48" t="s">
        <v>957</v>
      </c>
      <c r="E889" s="48" t="s">
        <v>958</v>
      </c>
      <c r="F889" s="48" t="s">
        <v>1768</v>
      </c>
      <c r="G889" s="48" t="s">
        <v>1769</v>
      </c>
      <c r="H889" s="47" t="s">
        <v>1770</v>
      </c>
      <c r="I889" s="47" t="s">
        <v>1771</v>
      </c>
      <c r="J889" s="47" t="s">
        <v>26</v>
      </c>
    </row>
    <row r="890" ht="54" customHeight="1" spans="1:10">
      <c r="A890" s="48" t="s">
        <v>263</v>
      </c>
      <c r="B890" s="48" t="s">
        <v>2298</v>
      </c>
      <c r="C890" s="47" t="s">
        <v>1058</v>
      </c>
      <c r="D890" s="48" t="s">
        <v>1059</v>
      </c>
      <c r="E890" s="48" t="s">
        <v>1060</v>
      </c>
      <c r="F890" s="48" t="s">
        <v>1061</v>
      </c>
      <c r="G890" s="48" t="s">
        <v>1062</v>
      </c>
      <c r="H890" s="47" t="s">
        <v>1063</v>
      </c>
      <c r="I890" s="47" t="s">
        <v>1064</v>
      </c>
      <c r="J890" s="47" t="s">
        <v>26</v>
      </c>
    </row>
    <row r="891" ht="54" customHeight="1" spans="1:10">
      <c r="A891" s="48" t="s">
        <v>263</v>
      </c>
      <c r="B891" s="48" t="s">
        <v>2299</v>
      </c>
      <c r="C891" s="47" t="s">
        <v>1297</v>
      </c>
      <c r="D891" s="48" t="s">
        <v>1009</v>
      </c>
      <c r="E891" s="48" t="s">
        <v>1010</v>
      </c>
      <c r="F891" s="48" t="s">
        <v>1298</v>
      </c>
      <c r="G891" s="48" t="s">
        <v>1299</v>
      </c>
      <c r="H891" s="47" t="s">
        <v>1300</v>
      </c>
      <c r="I891" s="47" t="s">
        <v>1301</v>
      </c>
      <c r="J891" s="47" t="s">
        <v>26</v>
      </c>
    </row>
    <row r="892" ht="54" customHeight="1" spans="1:10">
      <c r="A892" s="48" t="s">
        <v>263</v>
      </c>
      <c r="B892" s="48" t="s">
        <v>2300</v>
      </c>
      <c r="C892" s="47" t="s">
        <v>1097</v>
      </c>
      <c r="D892" s="48" t="s">
        <v>1098</v>
      </c>
      <c r="E892" s="48" t="s">
        <v>1099</v>
      </c>
      <c r="F892" s="48" t="s">
        <v>1100</v>
      </c>
      <c r="G892" s="48" t="s">
        <v>1101</v>
      </c>
      <c r="H892" s="47" t="s">
        <v>1102</v>
      </c>
      <c r="I892" s="47" t="s">
        <v>1103</v>
      </c>
      <c r="J892" s="47" t="s">
        <v>26</v>
      </c>
    </row>
    <row r="893" ht="54" customHeight="1" spans="1:10">
      <c r="A893" s="48" t="s">
        <v>263</v>
      </c>
      <c r="B893" s="48" t="s">
        <v>2301</v>
      </c>
      <c r="C893" s="47" t="s">
        <v>1066</v>
      </c>
      <c r="D893" s="48" t="s">
        <v>935</v>
      </c>
      <c r="E893" s="48" t="s">
        <v>936</v>
      </c>
      <c r="F893" s="48" t="s">
        <v>1067</v>
      </c>
      <c r="G893" s="48" t="s">
        <v>1068</v>
      </c>
      <c r="H893" s="47" t="s">
        <v>1069</v>
      </c>
      <c r="I893" s="47" t="s">
        <v>940</v>
      </c>
      <c r="J893" s="47" t="s">
        <v>26</v>
      </c>
    </row>
    <row r="894" ht="54" customHeight="1" spans="1:10">
      <c r="A894" s="48" t="s">
        <v>263</v>
      </c>
      <c r="B894" s="48" t="s">
        <v>2302</v>
      </c>
      <c r="C894" s="47" t="s">
        <v>1610</v>
      </c>
      <c r="D894" s="48" t="s">
        <v>1098</v>
      </c>
      <c r="E894" s="48" t="s">
        <v>1099</v>
      </c>
      <c r="F894" s="48" t="s">
        <v>1611</v>
      </c>
      <c r="G894" s="48" t="s">
        <v>1612</v>
      </c>
      <c r="H894" s="47" t="s">
        <v>1613</v>
      </c>
      <c r="I894" s="47" t="s">
        <v>1614</v>
      </c>
      <c r="J894" s="47" t="s">
        <v>26</v>
      </c>
    </row>
    <row r="895" ht="54" customHeight="1" spans="1:10">
      <c r="A895" s="48" t="s">
        <v>263</v>
      </c>
      <c r="B895" s="48" t="s">
        <v>2303</v>
      </c>
      <c r="C895" s="47" t="s">
        <v>1388</v>
      </c>
      <c r="D895" s="48" t="s">
        <v>1037</v>
      </c>
      <c r="E895" s="48" t="s">
        <v>1038</v>
      </c>
      <c r="F895" s="48" t="s">
        <v>1389</v>
      </c>
      <c r="G895" s="48" t="s">
        <v>1390</v>
      </c>
      <c r="H895" s="47" t="s">
        <v>1391</v>
      </c>
      <c r="I895" s="47" t="s">
        <v>1392</v>
      </c>
      <c r="J895" s="47" t="s">
        <v>26</v>
      </c>
    </row>
    <row r="896" ht="54" customHeight="1" spans="1:10">
      <c r="A896" s="48" t="s">
        <v>263</v>
      </c>
      <c r="B896" s="48" t="s">
        <v>2304</v>
      </c>
      <c r="C896" s="47" t="s">
        <v>1285</v>
      </c>
      <c r="D896" s="48" t="s">
        <v>965</v>
      </c>
      <c r="E896" s="48" t="s">
        <v>966</v>
      </c>
      <c r="F896" s="48" t="s">
        <v>1286</v>
      </c>
      <c r="G896" s="48" t="s">
        <v>1287</v>
      </c>
      <c r="H896" s="47" t="s">
        <v>1288</v>
      </c>
      <c r="I896" s="47" t="s">
        <v>1289</v>
      </c>
      <c r="J896" s="47" t="s">
        <v>26</v>
      </c>
    </row>
    <row r="897" ht="54" customHeight="1" spans="1:10">
      <c r="A897" s="48" t="s">
        <v>263</v>
      </c>
      <c r="B897" s="48" t="s">
        <v>2305</v>
      </c>
      <c r="C897" s="47" t="s">
        <v>1137</v>
      </c>
      <c r="D897" s="48" t="s">
        <v>1138</v>
      </c>
      <c r="E897" s="48" t="s">
        <v>1139</v>
      </c>
      <c r="F897" s="48" t="s">
        <v>1140</v>
      </c>
      <c r="G897" s="48" t="s">
        <v>1141</v>
      </c>
      <c r="H897" s="47" t="s">
        <v>1142</v>
      </c>
      <c r="I897" s="47" t="s">
        <v>940</v>
      </c>
      <c r="J897" s="47" t="s">
        <v>26</v>
      </c>
    </row>
    <row r="898" ht="54" customHeight="1" spans="1:10">
      <c r="A898" s="48" t="s">
        <v>263</v>
      </c>
      <c r="B898" s="48" t="s">
        <v>2306</v>
      </c>
      <c r="C898" s="47" t="s">
        <v>971</v>
      </c>
      <c r="D898" s="48" t="s">
        <v>965</v>
      </c>
      <c r="E898" s="48" t="s">
        <v>966</v>
      </c>
      <c r="F898" s="48" t="s">
        <v>972</v>
      </c>
      <c r="G898" s="48" t="s">
        <v>973</v>
      </c>
      <c r="H898" s="47" t="s">
        <v>974</v>
      </c>
      <c r="I898" s="47" t="s">
        <v>975</v>
      </c>
      <c r="J898" s="47" t="s">
        <v>26</v>
      </c>
    </row>
    <row r="899" ht="54" customHeight="1" spans="1:10">
      <c r="A899" s="48" t="s">
        <v>265</v>
      </c>
      <c r="B899" s="48" t="s">
        <v>2307</v>
      </c>
      <c r="C899" s="47" t="s">
        <v>1097</v>
      </c>
      <c r="D899" s="48" t="s">
        <v>1098</v>
      </c>
      <c r="E899" s="48" t="s">
        <v>1099</v>
      </c>
      <c r="F899" s="48" t="s">
        <v>1100</v>
      </c>
      <c r="G899" s="48" t="s">
        <v>1101</v>
      </c>
      <c r="H899" s="47" t="s">
        <v>1102</v>
      </c>
      <c r="I899" s="47" t="s">
        <v>1103</v>
      </c>
      <c r="J899" s="47" t="s">
        <v>26</v>
      </c>
    </row>
    <row r="900" ht="54" customHeight="1" spans="1:10">
      <c r="A900" s="48" t="s">
        <v>265</v>
      </c>
      <c r="B900" s="48" t="s">
        <v>2308</v>
      </c>
      <c r="C900" s="47" t="s">
        <v>1066</v>
      </c>
      <c r="D900" s="48" t="s">
        <v>935</v>
      </c>
      <c r="E900" s="48" t="s">
        <v>936</v>
      </c>
      <c r="F900" s="48" t="s">
        <v>1067</v>
      </c>
      <c r="G900" s="48" t="s">
        <v>1068</v>
      </c>
      <c r="H900" s="47" t="s">
        <v>1069</v>
      </c>
      <c r="I900" s="47" t="s">
        <v>940</v>
      </c>
      <c r="J900" s="47" t="s">
        <v>26</v>
      </c>
    </row>
    <row r="901" ht="54" customHeight="1" spans="1:10">
      <c r="A901" s="48" t="s">
        <v>265</v>
      </c>
      <c r="B901" s="48" t="s">
        <v>2309</v>
      </c>
      <c r="C901" s="47" t="s">
        <v>1137</v>
      </c>
      <c r="D901" s="48" t="s">
        <v>1138</v>
      </c>
      <c r="E901" s="48" t="s">
        <v>1139</v>
      </c>
      <c r="F901" s="48" t="s">
        <v>1140</v>
      </c>
      <c r="G901" s="48" t="s">
        <v>1141</v>
      </c>
      <c r="H901" s="47" t="s">
        <v>1142</v>
      </c>
      <c r="I901" s="47" t="s">
        <v>940</v>
      </c>
      <c r="J901" s="47" t="s">
        <v>26</v>
      </c>
    </row>
    <row r="902" ht="54" customHeight="1" spans="1:10">
      <c r="A902" s="48" t="s">
        <v>265</v>
      </c>
      <c r="B902" s="48" t="s">
        <v>2310</v>
      </c>
      <c r="C902" s="47" t="s">
        <v>1235</v>
      </c>
      <c r="D902" s="48" t="s">
        <v>1118</v>
      </c>
      <c r="E902" s="48" t="s">
        <v>1119</v>
      </c>
      <c r="F902" s="48" t="s">
        <v>1236</v>
      </c>
      <c r="G902" s="48" t="s">
        <v>1237</v>
      </c>
      <c r="H902" s="47" t="s">
        <v>1238</v>
      </c>
      <c r="I902" s="47" t="s">
        <v>1239</v>
      </c>
      <c r="J902" s="47" t="s">
        <v>26</v>
      </c>
    </row>
    <row r="903" ht="54" customHeight="1" spans="1:10">
      <c r="A903" s="48" t="s">
        <v>265</v>
      </c>
      <c r="B903" s="48" t="s">
        <v>2311</v>
      </c>
      <c r="C903" s="47" t="s">
        <v>1145</v>
      </c>
      <c r="D903" s="48" t="s">
        <v>1146</v>
      </c>
      <c r="E903" s="48" t="s">
        <v>1147</v>
      </c>
      <c r="F903" s="48" t="s">
        <v>1148</v>
      </c>
      <c r="G903" s="48" t="s">
        <v>1149</v>
      </c>
      <c r="H903" s="47" t="s">
        <v>1150</v>
      </c>
      <c r="I903" s="47" t="s">
        <v>1151</v>
      </c>
      <c r="J903" s="47" t="s">
        <v>26</v>
      </c>
    </row>
    <row r="904" ht="54" customHeight="1" spans="1:10">
      <c r="A904" s="48" t="s">
        <v>265</v>
      </c>
      <c r="B904" s="48" t="s">
        <v>2312</v>
      </c>
      <c r="C904" s="47" t="s">
        <v>1164</v>
      </c>
      <c r="D904" s="48" t="s">
        <v>978</v>
      </c>
      <c r="E904" s="48" t="s">
        <v>979</v>
      </c>
      <c r="F904" s="48" t="s">
        <v>1165</v>
      </c>
      <c r="G904" s="48" t="s">
        <v>1166</v>
      </c>
      <c r="H904" s="47" t="s">
        <v>1167</v>
      </c>
      <c r="I904" s="47" t="s">
        <v>1168</v>
      </c>
      <c r="J904" s="47" t="s">
        <v>26</v>
      </c>
    </row>
    <row r="905" ht="54" customHeight="1" spans="1:10">
      <c r="A905" s="48" t="s">
        <v>265</v>
      </c>
      <c r="B905" s="48" t="s">
        <v>2313</v>
      </c>
      <c r="C905" s="47" t="s">
        <v>1170</v>
      </c>
      <c r="D905" s="48" t="s">
        <v>1171</v>
      </c>
      <c r="E905" s="48" t="s">
        <v>1172</v>
      </c>
      <c r="F905" s="48" t="s">
        <v>1173</v>
      </c>
      <c r="G905" s="48" t="s">
        <v>1174</v>
      </c>
      <c r="H905" s="47" t="s">
        <v>1175</v>
      </c>
      <c r="I905" s="47" t="s">
        <v>1176</v>
      </c>
      <c r="J905" s="47" t="s">
        <v>26</v>
      </c>
    </row>
    <row r="906" ht="54" customHeight="1" spans="1:10">
      <c r="A906" s="48" t="s">
        <v>265</v>
      </c>
      <c r="B906" s="48" t="s">
        <v>2314</v>
      </c>
      <c r="C906" s="47" t="s">
        <v>1196</v>
      </c>
      <c r="D906" s="48" t="s">
        <v>1118</v>
      </c>
      <c r="E906" s="48" t="s">
        <v>1119</v>
      </c>
      <c r="F906" s="48" t="s">
        <v>1197</v>
      </c>
      <c r="G906" s="48" t="s">
        <v>1198</v>
      </c>
      <c r="H906" s="47" t="s">
        <v>1199</v>
      </c>
      <c r="I906" s="47" t="s">
        <v>1200</v>
      </c>
      <c r="J906" s="47" t="s">
        <v>26</v>
      </c>
    </row>
    <row r="907" ht="54" customHeight="1" spans="1:10">
      <c r="A907" s="48" t="s">
        <v>267</v>
      </c>
      <c r="B907" s="48" t="s">
        <v>2315</v>
      </c>
      <c r="C907" s="47" t="s">
        <v>956</v>
      </c>
      <c r="D907" s="48" t="s">
        <v>957</v>
      </c>
      <c r="E907" s="48" t="s">
        <v>958</v>
      </c>
      <c r="F907" s="48" t="s">
        <v>959</v>
      </c>
      <c r="G907" s="48" t="s">
        <v>960</v>
      </c>
      <c r="H907" s="47" t="s">
        <v>961</v>
      </c>
      <c r="I907" s="47" t="s">
        <v>962</v>
      </c>
      <c r="J907" s="47" t="s">
        <v>26</v>
      </c>
    </row>
    <row r="908" ht="54" customHeight="1" spans="1:10">
      <c r="A908" s="48" t="s">
        <v>267</v>
      </c>
      <c r="B908" s="48" t="s">
        <v>2316</v>
      </c>
      <c r="C908" s="47" t="s">
        <v>1767</v>
      </c>
      <c r="D908" s="48" t="s">
        <v>957</v>
      </c>
      <c r="E908" s="48" t="s">
        <v>958</v>
      </c>
      <c r="F908" s="48" t="s">
        <v>1768</v>
      </c>
      <c r="G908" s="48" t="s">
        <v>1769</v>
      </c>
      <c r="H908" s="47" t="s">
        <v>1770</v>
      </c>
      <c r="I908" s="47" t="s">
        <v>1771</v>
      </c>
      <c r="J908" s="47" t="s">
        <v>26</v>
      </c>
    </row>
    <row r="909" ht="54" customHeight="1" spans="1:10">
      <c r="A909" s="48" t="s">
        <v>267</v>
      </c>
      <c r="B909" s="48" t="s">
        <v>2317</v>
      </c>
      <c r="C909" s="47" t="s">
        <v>1036</v>
      </c>
      <c r="D909" s="48" t="s">
        <v>1037</v>
      </c>
      <c r="E909" s="48" t="s">
        <v>1038</v>
      </c>
      <c r="F909" s="48" t="s">
        <v>1039</v>
      </c>
      <c r="G909" s="48" t="s">
        <v>1040</v>
      </c>
      <c r="H909" s="47" t="s">
        <v>1041</v>
      </c>
      <c r="I909" s="47" t="s">
        <v>1042</v>
      </c>
      <c r="J909" s="47" t="s">
        <v>26</v>
      </c>
    </row>
    <row r="910" ht="54" customHeight="1" spans="1:10">
      <c r="A910" s="48" t="s">
        <v>267</v>
      </c>
      <c r="B910" s="48" t="s">
        <v>2318</v>
      </c>
      <c r="C910" s="47" t="s">
        <v>1052</v>
      </c>
      <c r="D910" s="48" t="s">
        <v>1009</v>
      </c>
      <c r="E910" s="48" t="s">
        <v>1010</v>
      </c>
      <c r="F910" s="48" t="s">
        <v>1053</v>
      </c>
      <c r="G910" s="48" t="s">
        <v>1054</v>
      </c>
      <c r="H910" s="47" t="s">
        <v>1055</v>
      </c>
      <c r="I910" s="47" t="s">
        <v>1056</v>
      </c>
      <c r="J910" s="47" t="s">
        <v>26</v>
      </c>
    </row>
    <row r="911" ht="54" customHeight="1" spans="1:10">
      <c r="A911" s="48" t="s">
        <v>267</v>
      </c>
      <c r="B911" s="48" t="s">
        <v>2319</v>
      </c>
      <c r="C911" s="47" t="s">
        <v>1097</v>
      </c>
      <c r="D911" s="48" t="s">
        <v>1098</v>
      </c>
      <c r="E911" s="48" t="s">
        <v>1099</v>
      </c>
      <c r="F911" s="48" t="s">
        <v>1100</v>
      </c>
      <c r="G911" s="48" t="s">
        <v>1101</v>
      </c>
      <c r="H911" s="47" t="s">
        <v>1102</v>
      </c>
      <c r="I911" s="47" t="s">
        <v>1103</v>
      </c>
      <c r="J911" s="47" t="s">
        <v>26</v>
      </c>
    </row>
    <row r="912" ht="54" customHeight="1" spans="1:10">
      <c r="A912" s="48" t="s">
        <v>267</v>
      </c>
      <c r="B912" s="48" t="s">
        <v>2320</v>
      </c>
      <c r="C912" s="47" t="s">
        <v>1388</v>
      </c>
      <c r="D912" s="48" t="s">
        <v>1037</v>
      </c>
      <c r="E912" s="48" t="s">
        <v>1038</v>
      </c>
      <c r="F912" s="48" t="s">
        <v>1389</v>
      </c>
      <c r="G912" s="48" t="s">
        <v>1390</v>
      </c>
      <c r="H912" s="47" t="s">
        <v>1391</v>
      </c>
      <c r="I912" s="47" t="s">
        <v>1392</v>
      </c>
      <c r="J912" s="47" t="s">
        <v>26</v>
      </c>
    </row>
    <row r="913" ht="54" customHeight="1" spans="1:10">
      <c r="A913" s="48" t="s">
        <v>267</v>
      </c>
      <c r="B913" s="48" t="s">
        <v>2321</v>
      </c>
      <c r="C913" s="47" t="s">
        <v>1285</v>
      </c>
      <c r="D913" s="48" t="s">
        <v>965</v>
      </c>
      <c r="E913" s="48" t="s">
        <v>966</v>
      </c>
      <c r="F913" s="48" t="s">
        <v>1286</v>
      </c>
      <c r="G913" s="48" t="s">
        <v>1287</v>
      </c>
      <c r="H913" s="47" t="s">
        <v>1288</v>
      </c>
      <c r="I913" s="47" t="s">
        <v>1289</v>
      </c>
      <c r="J913" s="47" t="s">
        <v>26</v>
      </c>
    </row>
    <row r="914" ht="54" customHeight="1" spans="1:10">
      <c r="A914" s="48" t="s">
        <v>267</v>
      </c>
      <c r="B914" s="48" t="s">
        <v>2322</v>
      </c>
      <c r="C914" s="47" t="s">
        <v>1137</v>
      </c>
      <c r="D914" s="48" t="s">
        <v>1138</v>
      </c>
      <c r="E914" s="48" t="s">
        <v>1139</v>
      </c>
      <c r="F914" s="48" t="s">
        <v>1140</v>
      </c>
      <c r="G914" s="48" t="s">
        <v>1141</v>
      </c>
      <c r="H914" s="47" t="s">
        <v>1142</v>
      </c>
      <c r="I914" s="47" t="s">
        <v>940</v>
      </c>
      <c r="J914" s="47" t="s">
        <v>26</v>
      </c>
    </row>
    <row r="915" ht="54" customHeight="1" spans="1:10">
      <c r="A915" s="48" t="s">
        <v>267</v>
      </c>
      <c r="B915" s="48" t="s">
        <v>2323</v>
      </c>
      <c r="C915" s="47" t="s">
        <v>971</v>
      </c>
      <c r="D915" s="48" t="s">
        <v>965</v>
      </c>
      <c r="E915" s="48" t="s">
        <v>966</v>
      </c>
      <c r="F915" s="48" t="s">
        <v>972</v>
      </c>
      <c r="G915" s="48" t="s">
        <v>973</v>
      </c>
      <c r="H915" s="47" t="s">
        <v>974</v>
      </c>
      <c r="I915" s="47" t="s">
        <v>975</v>
      </c>
      <c r="J915" s="47" t="s">
        <v>26</v>
      </c>
    </row>
    <row r="916" ht="54" customHeight="1" spans="1:10">
      <c r="A916" s="48" t="s">
        <v>267</v>
      </c>
      <c r="B916" s="48" t="s">
        <v>2324</v>
      </c>
      <c r="C916" s="47" t="s">
        <v>1291</v>
      </c>
      <c r="D916" s="48" t="s">
        <v>965</v>
      </c>
      <c r="E916" s="48" t="s">
        <v>966</v>
      </c>
      <c r="F916" s="48" t="s">
        <v>1292</v>
      </c>
      <c r="G916" s="48" t="s">
        <v>1293</v>
      </c>
      <c r="H916" s="47" t="s">
        <v>1294</v>
      </c>
      <c r="I916" s="47" t="s">
        <v>1295</v>
      </c>
      <c r="J916" s="47" t="s">
        <v>26</v>
      </c>
    </row>
    <row r="917" ht="54" customHeight="1" spans="1:10">
      <c r="A917" s="48" t="s">
        <v>269</v>
      </c>
      <c r="B917" s="48" t="s">
        <v>2325</v>
      </c>
      <c r="C917" s="47" t="s">
        <v>1975</v>
      </c>
      <c r="D917" s="48" t="s">
        <v>1009</v>
      </c>
      <c r="E917" s="48" t="s">
        <v>1010</v>
      </c>
      <c r="F917" s="48" t="s">
        <v>1976</v>
      </c>
      <c r="G917" s="48" t="s">
        <v>1977</v>
      </c>
      <c r="H917" s="47" t="s">
        <v>1978</v>
      </c>
      <c r="I917" s="47" t="s">
        <v>1979</v>
      </c>
      <c r="J917" s="47" t="s">
        <v>29</v>
      </c>
    </row>
    <row r="918" ht="54" customHeight="1" spans="1:10">
      <c r="A918" s="48" t="s">
        <v>269</v>
      </c>
      <c r="B918" s="48" t="s">
        <v>2326</v>
      </c>
      <c r="C918" s="47" t="s">
        <v>1767</v>
      </c>
      <c r="D918" s="48" t="s">
        <v>957</v>
      </c>
      <c r="E918" s="48" t="s">
        <v>958</v>
      </c>
      <c r="F918" s="48" t="s">
        <v>1768</v>
      </c>
      <c r="G918" s="48" t="s">
        <v>1769</v>
      </c>
      <c r="H918" s="47" t="s">
        <v>1770</v>
      </c>
      <c r="I918" s="47" t="s">
        <v>1771</v>
      </c>
      <c r="J918" s="47" t="s">
        <v>29</v>
      </c>
    </row>
    <row r="919" ht="54" customHeight="1" spans="1:10">
      <c r="A919" s="48" t="s">
        <v>269</v>
      </c>
      <c r="B919" s="48" t="s">
        <v>2327</v>
      </c>
      <c r="C919" s="47" t="s">
        <v>1097</v>
      </c>
      <c r="D919" s="48" t="s">
        <v>1098</v>
      </c>
      <c r="E919" s="48" t="s">
        <v>1099</v>
      </c>
      <c r="F919" s="48" t="s">
        <v>1100</v>
      </c>
      <c r="G919" s="48" t="s">
        <v>1101</v>
      </c>
      <c r="H919" s="47" t="s">
        <v>1102</v>
      </c>
      <c r="I919" s="47" t="s">
        <v>1103</v>
      </c>
      <c r="J919" s="47" t="s">
        <v>29</v>
      </c>
    </row>
    <row r="920" ht="54" customHeight="1" spans="1:10">
      <c r="A920" s="48" t="s">
        <v>269</v>
      </c>
      <c r="B920" s="48" t="s">
        <v>2328</v>
      </c>
      <c r="C920" s="47" t="s">
        <v>1066</v>
      </c>
      <c r="D920" s="48" t="s">
        <v>935</v>
      </c>
      <c r="E920" s="48" t="s">
        <v>936</v>
      </c>
      <c r="F920" s="48" t="s">
        <v>1067</v>
      </c>
      <c r="G920" s="48" t="s">
        <v>1068</v>
      </c>
      <c r="H920" s="47" t="s">
        <v>1069</v>
      </c>
      <c r="I920" s="47" t="s">
        <v>940</v>
      </c>
      <c r="J920" s="47" t="s">
        <v>29</v>
      </c>
    </row>
    <row r="921" ht="54" customHeight="1" spans="1:10">
      <c r="A921" s="48" t="s">
        <v>269</v>
      </c>
      <c r="B921" s="48" t="s">
        <v>2329</v>
      </c>
      <c r="C921" s="47" t="s">
        <v>1388</v>
      </c>
      <c r="D921" s="48" t="s">
        <v>1037</v>
      </c>
      <c r="E921" s="48" t="s">
        <v>1038</v>
      </c>
      <c r="F921" s="48" t="s">
        <v>1389</v>
      </c>
      <c r="G921" s="48" t="s">
        <v>1390</v>
      </c>
      <c r="H921" s="47" t="s">
        <v>1391</v>
      </c>
      <c r="I921" s="47" t="s">
        <v>1392</v>
      </c>
      <c r="J921" s="47" t="s">
        <v>29</v>
      </c>
    </row>
    <row r="922" ht="54" customHeight="1" spans="1:10">
      <c r="A922" s="48" t="s">
        <v>269</v>
      </c>
      <c r="B922" s="48" t="s">
        <v>2330</v>
      </c>
      <c r="C922" s="47" t="s">
        <v>1137</v>
      </c>
      <c r="D922" s="48" t="s">
        <v>1138</v>
      </c>
      <c r="E922" s="48" t="s">
        <v>1139</v>
      </c>
      <c r="F922" s="48" t="s">
        <v>1140</v>
      </c>
      <c r="G922" s="48" t="s">
        <v>1141</v>
      </c>
      <c r="H922" s="47" t="s">
        <v>1142</v>
      </c>
      <c r="I922" s="47" t="s">
        <v>940</v>
      </c>
      <c r="J922" s="47" t="s">
        <v>29</v>
      </c>
    </row>
    <row r="923" ht="54" customHeight="1" spans="1:10">
      <c r="A923" s="48" t="s">
        <v>269</v>
      </c>
      <c r="B923" s="48" t="s">
        <v>2331</v>
      </c>
      <c r="C923" s="47" t="s">
        <v>1313</v>
      </c>
      <c r="D923" s="48" t="s">
        <v>1037</v>
      </c>
      <c r="E923" s="48" t="s">
        <v>1038</v>
      </c>
      <c r="F923" s="48" t="s">
        <v>1314</v>
      </c>
      <c r="G923" s="48" t="s">
        <v>1315</v>
      </c>
      <c r="H923" s="47" t="s">
        <v>1316</v>
      </c>
      <c r="I923" s="47" t="s">
        <v>1317</v>
      </c>
      <c r="J923" s="47" t="s">
        <v>29</v>
      </c>
    </row>
    <row r="924" ht="54" customHeight="1" spans="1:10">
      <c r="A924" s="48" t="s">
        <v>269</v>
      </c>
      <c r="B924" s="48" t="s">
        <v>2332</v>
      </c>
      <c r="C924" s="47" t="s">
        <v>1159</v>
      </c>
      <c r="D924" s="48" t="s">
        <v>1146</v>
      </c>
      <c r="E924" s="48" t="s">
        <v>1147</v>
      </c>
      <c r="F924" s="48" t="s">
        <v>1160</v>
      </c>
      <c r="G924" s="48" t="s">
        <v>1161</v>
      </c>
      <c r="H924" s="47" t="s">
        <v>1162</v>
      </c>
      <c r="I924" s="47" t="s">
        <v>1151</v>
      </c>
      <c r="J924" s="47" t="s">
        <v>29</v>
      </c>
    </row>
    <row r="925" ht="54" customHeight="1" spans="1:10">
      <c r="A925" s="48" t="s">
        <v>269</v>
      </c>
      <c r="B925" s="48" t="s">
        <v>2333</v>
      </c>
      <c r="C925" s="47" t="s">
        <v>1211</v>
      </c>
      <c r="D925" s="48" t="s">
        <v>965</v>
      </c>
      <c r="E925" s="48" t="s">
        <v>966</v>
      </c>
      <c r="F925" s="48" t="s">
        <v>1212</v>
      </c>
      <c r="G925" s="48" t="s">
        <v>1213</v>
      </c>
      <c r="H925" s="47" t="s">
        <v>1214</v>
      </c>
      <c r="I925" s="47" t="s">
        <v>940</v>
      </c>
      <c r="J925" s="47" t="s">
        <v>29</v>
      </c>
    </row>
    <row r="926" ht="54" customHeight="1" spans="1:10">
      <c r="A926" s="48" t="s">
        <v>269</v>
      </c>
      <c r="B926" s="48" t="s">
        <v>2334</v>
      </c>
      <c r="C926" s="47" t="s">
        <v>1235</v>
      </c>
      <c r="D926" s="48" t="s">
        <v>1118</v>
      </c>
      <c r="E926" s="48" t="s">
        <v>1119</v>
      </c>
      <c r="F926" s="48" t="s">
        <v>1236</v>
      </c>
      <c r="G926" s="48" t="s">
        <v>1237</v>
      </c>
      <c r="H926" s="47" t="s">
        <v>1238</v>
      </c>
      <c r="I926" s="47" t="s">
        <v>1239</v>
      </c>
      <c r="J926" s="47" t="s">
        <v>29</v>
      </c>
    </row>
    <row r="927" ht="54" customHeight="1" spans="1:10">
      <c r="A927" s="48" t="s">
        <v>271</v>
      </c>
      <c r="B927" s="48" t="s">
        <v>2335</v>
      </c>
      <c r="C927" s="47" t="s">
        <v>1072</v>
      </c>
      <c r="D927" s="48" t="s">
        <v>1073</v>
      </c>
      <c r="E927" s="48" t="s">
        <v>1074</v>
      </c>
      <c r="F927" s="48" t="s">
        <v>1075</v>
      </c>
      <c r="G927" s="48" t="s">
        <v>1076</v>
      </c>
      <c r="H927" s="47" t="s">
        <v>1077</v>
      </c>
      <c r="I927" s="47" t="s">
        <v>1078</v>
      </c>
      <c r="J927" s="47" t="s">
        <v>26</v>
      </c>
    </row>
    <row r="928" ht="54" customHeight="1" spans="1:10">
      <c r="A928" s="48" t="s">
        <v>271</v>
      </c>
      <c r="B928" s="48" t="s">
        <v>2336</v>
      </c>
      <c r="C928" s="47" t="s">
        <v>1022</v>
      </c>
      <c r="D928" s="48" t="s">
        <v>957</v>
      </c>
      <c r="E928" s="48" t="s">
        <v>958</v>
      </c>
      <c r="F928" s="48" t="s">
        <v>1023</v>
      </c>
      <c r="G928" s="48" t="s">
        <v>1024</v>
      </c>
      <c r="H928" s="47" t="s">
        <v>1025</v>
      </c>
      <c r="I928" s="47" t="s">
        <v>1026</v>
      </c>
      <c r="J928" s="47" t="s">
        <v>26</v>
      </c>
    </row>
    <row r="929" ht="54" customHeight="1" spans="1:10">
      <c r="A929" s="48" t="s">
        <v>271</v>
      </c>
      <c r="B929" s="48" t="s">
        <v>2337</v>
      </c>
      <c r="C929" s="47" t="s">
        <v>956</v>
      </c>
      <c r="D929" s="48" t="s">
        <v>957</v>
      </c>
      <c r="E929" s="48" t="s">
        <v>958</v>
      </c>
      <c r="F929" s="48" t="s">
        <v>959</v>
      </c>
      <c r="G929" s="48" t="s">
        <v>960</v>
      </c>
      <c r="H929" s="47" t="s">
        <v>961</v>
      </c>
      <c r="I929" s="47" t="s">
        <v>962</v>
      </c>
      <c r="J929" s="47" t="s">
        <v>26</v>
      </c>
    </row>
    <row r="930" ht="54" customHeight="1" spans="1:10">
      <c r="A930" s="48" t="s">
        <v>271</v>
      </c>
      <c r="B930" s="48" t="s">
        <v>2338</v>
      </c>
      <c r="C930" s="47" t="s">
        <v>1105</v>
      </c>
      <c r="D930" s="48" t="s">
        <v>1009</v>
      </c>
      <c r="E930" s="48" t="s">
        <v>1010</v>
      </c>
      <c r="F930" s="48" t="s">
        <v>1106</v>
      </c>
      <c r="G930" s="48" t="s">
        <v>1107</v>
      </c>
      <c r="H930" s="47" t="s">
        <v>1108</v>
      </c>
      <c r="I930" s="47" t="s">
        <v>1109</v>
      </c>
      <c r="J930" s="47" t="s">
        <v>26</v>
      </c>
    </row>
    <row r="931" ht="54" customHeight="1" spans="1:10">
      <c r="A931" s="48" t="s">
        <v>271</v>
      </c>
      <c r="B931" s="48" t="s">
        <v>2339</v>
      </c>
      <c r="C931" s="47" t="s">
        <v>1767</v>
      </c>
      <c r="D931" s="48" t="s">
        <v>957</v>
      </c>
      <c r="E931" s="48" t="s">
        <v>958</v>
      </c>
      <c r="F931" s="48" t="s">
        <v>1768</v>
      </c>
      <c r="G931" s="48" t="s">
        <v>1769</v>
      </c>
      <c r="H931" s="47" t="s">
        <v>1770</v>
      </c>
      <c r="I931" s="47" t="s">
        <v>1771</v>
      </c>
      <c r="J931" s="47" t="s">
        <v>26</v>
      </c>
    </row>
    <row r="932" ht="54" customHeight="1" spans="1:10">
      <c r="A932" s="48" t="s">
        <v>271</v>
      </c>
      <c r="B932" s="48" t="s">
        <v>2340</v>
      </c>
      <c r="C932" s="47" t="s">
        <v>1036</v>
      </c>
      <c r="D932" s="48" t="s">
        <v>1037</v>
      </c>
      <c r="E932" s="48" t="s">
        <v>1038</v>
      </c>
      <c r="F932" s="48" t="s">
        <v>1039</v>
      </c>
      <c r="G932" s="48" t="s">
        <v>1040</v>
      </c>
      <c r="H932" s="47" t="s">
        <v>1041</v>
      </c>
      <c r="I932" s="47" t="s">
        <v>1042</v>
      </c>
      <c r="J932" s="47" t="s">
        <v>26</v>
      </c>
    </row>
    <row r="933" ht="54" customHeight="1" spans="1:10">
      <c r="A933" s="48" t="s">
        <v>271</v>
      </c>
      <c r="B933" s="48" t="s">
        <v>2341</v>
      </c>
      <c r="C933" s="47" t="s">
        <v>1297</v>
      </c>
      <c r="D933" s="48" t="s">
        <v>1009</v>
      </c>
      <c r="E933" s="48" t="s">
        <v>1010</v>
      </c>
      <c r="F933" s="48" t="s">
        <v>1298</v>
      </c>
      <c r="G933" s="48" t="s">
        <v>1299</v>
      </c>
      <c r="H933" s="47" t="s">
        <v>1300</v>
      </c>
      <c r="I933" s="47" t="s">
        <v>1301</v>
      </c>
      <c r="J933" s="47" t="s">
        <v>26</v>
      </c>
    </row>
    <row r="934" ht="54" customHeight="1" spans="1:10">
      <c r="A934" s="48" t="s">
        <v>271</v>
      </c>
      <c r="B934" s="48" t="s">
        <v>2342</v>
      </c>
      <c r="C934" s="47" t="s">
        <v>1097</v>
      </c>
      <c r="D934" s="48" t="s">
        <v>1098</v>
      </c>
      <c r="E934" s="48" t="s">
        <v>1099</v>
      </c>
      <c r="F934" s="48" t="s">
        <v>1100</v>
      </c>
      <c r="G934" s="48" t="s">
        <v>1101</v>
      </c>
      <c r="H934" s="47" t="s">
        <v>1102</v>
      </c>
      <c r="I934" s="47" t="s">
        <v>1103</v>
      </c>
      <c r="J934" s="47" t="s">
        <v>26</v>
      </c>
    </row>
    <row r="935" ht="54" customHeight="1" spans="1:10">
      <c r="A935" s="48" t="s">
        <v>271</v>
      </c>
      <c r="B935" s="48" t="s">
        <v>2343</v>
      </c>
      <c r="C935" s="47" t="s">
        <v>1375</v>
      </c>
      <c r="D935" s="48" t="s">
        <v>1098</v>
      </c>
      <c r="E935" s="48" t="s">
        <v>1099</v>
      </c>
      <c r="F935" s="48" t="s">
        <v>1376</v>
      </c>
      <c r="G935" s="48" t="s">
        <v>1377</v>
      </c>
      <c r="H935" s="47" t="s">
        <v>1378</v>
      </c>
      <c r="I935" s="47" t="s">
        <v>1379</v>
      </c>
      <c r="J935" s="47" t="s">
        <v>26</v>
      </c>
    </row>
    <row r="936" ht="54" customHeight="1" spans="1:10">
      <c r="A936" s="48" t="s">
        <v>271</v>
      </c>
      <c r="B936" s="48" t="s">
        <v>2344</v>
      </c>
      <c r="C936" s="47" t="s">
        <v>1388</v>
      </c>
      <c r="D936" s="48" t="s">
        <v>1037</v>
      </c>
      <c r="E936" s="48" t="s">
        <v>1038</v>
      </c>
      <c r="F936" s="48" t="s">
        <v>1389</v>
      </c>
      <c r="G936" s="48" t="s">
        <v>1390</v>
      </c>
      <c r="H936" s="47" t="s">
        <v>1391</v>
      </c>
      <c r="I936" s="47" t="s">
        <v>1392</v>
      </c>
      <c r="J936" s="47" t="s">
        <v>26</v>
      </c>
    </row>
    <row r="937" ht="54" customHeight="1" spans="1:10">
      <c r="A937" s="48" t="s">
        <v>273</v>
      </c>
      <c r="B937" s="48" t="s">
        <v>2345</v>
      </c>
      <c r="C937" s="47" t="s">
        <v>1388</v>
      </c>
      <c r="D937" s="48" t="s">
        <v>1037</v>
      </c>
      <c r="E937" s="48" t="s">
        <v>1038</v>
      </c>
      <c r="F937" s="48" t="s">
        <v>1389</v>
      </c>
      <c r="G937" s="48" t="s">
        <v>1390</v>
      </c>
      <c r="H937" s="47" t="s">
        <v>1391</v>
      </c>
      <c r="I937" s="47" t="s">
        <v>1392</v>
      </c>
      <c r="J937" s="47" t="s">
        <v>26</v>
      </c>
    </row>
    <row r="938" ht="54" customHeight="1" spans="1:10">
      <c r="A938" s="48" t="s">
        <v>273</v>
      </c>
      <c r="B938" s="48" t="s">
        <v>2346</v>
      </c>
      <c r="C938" s="47" t="s">
        <v>1211</v>
      </c>
      <c r="D938" s="48" t="s">
        <v>965</v>
      </c>
      <c r="E938" s="48" t="s">
        <v>966</v>
      </c>
      <c r="F938" s="48" t="s">
        <v>1212</v>
      </c>
      <c r="G938" s="48" t="s">
        <v>1213</v>
      </c>
      <c r="H938" s="47" t="s">
        <v>1214</v>
      </c>
      <c r="I938" s="47" t="s">
        <v>940</v>
      </c>
      <c r="J938" s="47" t="s">
        <v>26</v>
      </c>
    </row>
    <row r="939" ht="54" customHeight="1" spans="1:10">
      <c r="A939" s="48" t="s">
        <v>273</v>
      </c>
      <c r="B939" s="48" t="s">
        <v>2347</v>
      </c>
      <c r="C939" s="47" t="s">
        <v>1245</v>
      </c>
      <c r="D939" s="48" t="s">
        <v>1171</v>
      </c>
      <c r="E939" s="48" t="s">
        <v>1172</v>
      </c>
      <c r="F939" s="48" t="s">
        <v>1246</v>
      </c>
      <c r="G939" s="48" t="s">
        <v>1247</v>
      </c>
      <c r="H939" s="47" t="s">
        <v>1248</v>
      </c>
      <c r="I939" s="47" t="s">
        <v>1176</v>
      </c>
      <c r="J939" s="47" t="s">
        <v>26</v>
      </c>
    </row>
    <row r="940" ht="54" customHeight="1" spans="1:10">
      <c r="A940" s="48" t="s">
        <v>275</v>
      </c>
      <c r="B940" s="48" t="s">
        <v>2348</v>
      </c>
      <c r="C940" s="47" t="s">
        <v>1072</v>
      </c>
      <c r="D940" s="48" t="s">
        <v>1073</v>
      </c>
      <c r="E940" s="48" t="s">
        <v>1074</v>
      </c>
      <c r="F940" s="48" t="s">
        <v>1075</v>
      </c>
      <c r="G940" s="48" t="s">
        <v>1076</v>
      </c>
      <c r="H940" s="47" t="s">
        <v>1077</v>
      </c>
      <c r="I940" s="47" t="s">
        <v>1078</v>
      </c>
      <c r="J940" s="47" t="s">
        <v>26</v>
      </c>
    </row>
    <row r="941" ht="54" customHeight="1" spans="1:10">
      <c r="A941" s="48" t="s">
        <v>275</v>
      </c>
      <c r="B941" s="48" t="s">
        <v>2349</v>
      </c>
      <c r="C941" s="47" t="s">
        <v>1421</v>
      </c>
      <c r="D941" s="48" t="s">
        <v>1422</v>
      </c>
      <c r="E941" s="48" t="s">
        <v>1423</v>
      </c>
      <c r="F941" s="48" t="s">
        <v>1424</v>
      </c>
      <c r="G941" s="48" t="s">
        <v>1423</v>
      </c>
      <c r="H941" s="47" t="s">
        <v>1425</v>
      </c>
      <c r="I941" s="47" t="s">
        <v>1426</v>
      </c>
      <c r="J941" s="47" t="s">
        <v>26</v>
      </c>
    </row>
    <row r="942" ht="54" customHeight="1" spans="1:10">
      <c r="A942" s="48" t="s">
        <v>275</v>
      </c>
      <c r="B942" s="48" t="s">
        <v>2350</v>
      </c>
      <c r="C942" s="47" t="s">
        <v>992</v>
      </c>
      <c r="D942" s="48" t="s">
        <v>993</v>
      </c>
      <c r="E942" s="48" t="s">
        <v>994</v>
      </c>
      <c r="F942" s="48" t="s">
        <v>995</v>
      </c>
      <c r="G942" s="48" t="s">
        <v>996</v>
      </c>
      <c r="H942" s="47" t="s">
        <v>997</v>
      </c>
      <c r="I942" s="47" t="s">
        <v>998</v>
      </c>
      <c r="J942" s="47" t="s">
        <v>26</v>
      </c>
    </row>
    <row r="943" ht="54" customHeight="1" spans="1:10">
      <c r="A943" s="48" t="s">
        <v>275</v>
      </c>
      <c r="B943" s="48" t="s">
        <v>2351</v>
      </c>
      <c r="C943" s="47" t="s">
        <v>1022</v>
      </c>
      <c r="D943" s="48" t="s">
        <v>957</v>
      </c>
      <c r="E943" s="48" t="s">
        <v>958</v>
      </c>
      <c r="F943" s="48" t="s">
        <v>1023</v>
      </c>
      <c r="G943" s="48" t="s">
        <v>1024</v>
      </c>
      <c r="H943" s="47" t="s">
        <v>1025</v>
      </c>
      <c r="I943" s="47" t="s">
        <v>1026</v>
      </c>
      <c r="J943" s="47" t="s">
        <v>26</v>
      </c>
    </row>
    <row r="944" ht="54" customHeight="1" spans="1:10">
      <c r="A944" s="48" t="s">
        <v>275</v>
      </c>
      <c r="B944" s="48" t="s">
        <v>2352</v>
      </c>
      <c r="C944" s="47" t="s">
        <v>1459</v>
      </c>
      <c r="D944" s="48" t="s">
        <v>957</v>
      </c>
      <c r="E944" s="48" t="s">
        <v>958</v>
      </c>
      <c r="F944" s="48" t="s">
        <v>1460</v>
      </c>
      <c r="G944" s="48" t="s">
        <v>1461</v>
      </c>
      <c r="H944" s="47" t="s">
        <v>1462</v>
      </c>
      <c r="I944" s="47" t="s">
        <v>1463</v>
      </c>
      <c r="J944" s="47" t="s">
        <v>26</v>
      </c>
    </row>
    <row r="945" ht="54" customHeight="1" spans="1:10">
      <c r="A945" s="48" t="s">
        <v>275</v>
      </c>
      <c r="B945" s="48" t="s">
        <v>2353</v>
      </c>
      <c r="C945" s="47" t="s">
        <v>956</v>
      </c>
      <c r="D945" s="48" t="s">
        <v>957</v>
      </c>
      <c r="E945" s="48" t="s">
        <v>958</v>
      </c>
      <c r="F945" s="48" t="s">
        <v>959</v>
      </c>
      <c r="G945" s="48" t="s">
        <v>960</v>
      </c>
      <c r="H945" s="47" t="s">
        <v>961</v>
      </c>
      <c r="I945" s="47" t="s">
        <v>962</v>
      </c>
      <c r="J945" s="47" t="s">
        <v>26</v>
      </c>
    </row>
    <row r="946" ht="54" customHeight="1" spans="1:10">
      <c r="A946" s="48" t="s">
        <v>275</v>
      </c>
      <c r="B946" s="48" t="s">
        <v>2354</v>
      </c>
      <c r="C946" s="47" t="s">
        <v>1105</v>
      </c>
      <c r="D946" s="48" t="s">
        <v>1009</v>
      </c>
      <c r="E946" s="48" t="s">
        <v>1010</v>
      </c>
      <c r="F946" s="48" t="s">
        <v>1106</v>
      </c>
      <c r="G946" s="48" t="s">
        <v>1107</v>
      </c>
      <c r="H946" s="47" t="s">
        <v>1108</v>
      </c>
      <c r="I946" s="47" t="s">
        <v>1109</v>
      </c>
      <c r="J946" s="47" t="s">
        <v>26</v>
      </c>
    </row>
    <row r="947" ht="54" customHeight="1" spans="1:10">
      <c r="A947" s="48" t="s">
        <v>275</v>
      </c>
      <c r="B947" s="48" t="s">
        <v>2355</v>
      </c>
      <c r="C947" s="47" t="s">
        <v>1058</v>
      </c>
      <c r="D947" s="48" t="s">
        <v>1059</v>
      </c>
      <c r="E947" s="48" t="s">
        <v>1060</v>
      </c>
      <c r="F947" s="48" t="s">
        <v>1061</v>
      </c>
      <c r="G947" s="48" t="s">
        <v>1062</v>
      </c>
      <c r="H947" s="47" t="s">
        <v>1063</v>
      </c>
      <c r="I947" s="47" t="s">
        <v>1064</v>
      </c>
      <c r="J947" s="47" t="s">
        <v>26</v>
      </c>
    </row>
    <row r="948" ht="54" customHeight="1" spans="1:10">
      <c r="A948" s="48" t="s">
        <v>275</v>
      </c>
      <c r="B948" s="48" t="s">
        <v>2356</v>
      </c>
      <c r="C948" s="47" t="s">
        <v>1097</v>
      </c>
      <c r="D948" s="48" t="s">
        <v>1098</v>
      </c>
      <c r="E948" s="48" t="s">
        <v>1099</v>
      </c>
      <c r="F948" s="48" t="s">
        <v>1100</v>
      </c>
      <c r="G948" s="48" t="s">
        <v>1101</v>
      </c>
      <c r="H948" s="47" t="s">
        <v>1102</v>
      </c>
      <c r="I948" s="47" t="s">
        <v>1103</v>
      </c>
      <c r="J948" s="47" t="s">
        <v>26</v>
      </c>
    </row>
    <row r="949" ht="54" customHeight="1" spans="1:10">
      <c r="A949" s="48" t="s">
        <v>275</v>
      </c>
      <c r="B949" s="48" t="s">
        <v>2357</v>
      </c>
      <c r="C949" s="47" t="s">
        <v>1375</v>
      </c>
      <c r="D949" s="48" t="s">
        <v>1098</v>
      </c>
      <c r="E949" s="48" t="s">
        <v>1099</v>
      </c>
      <c r="F949" s="48" t="s">
        <v>1376</v>
      </c>
      <c r="G949" s="48" t="s">
        <v>1377</v>
      </c>
      <c r="H949" s="47" t="s">
        <v>1378</v>
      </c>
      <c r="I949" s="47" t="s">
        <v>1379</v>
      </c>
      <c r="J949" s="47" t="s">
        <v>26</v>
      </c>
    </row>
    <row r="950" ht="54" customHeight="1" spans="1:10">
      <c r="A950" s="48" t="s">
        <v>277</v>
      </c>
      <c r="B950" s="48" t="s">
        <v>2358</v>
      </c>
      <c r="C950" s="47" t="s">
        <v>1072</v>
      </c>
      <c r="D950" s="48" t="s">
        <v>1073</v>
      </c>
      <c r="E950" s="48" t="s">
        <v>1074</v>
      </c>
      <c r="F950" s="48" t="s">
        <v>1075</v>
      </c>
      <c r="G950" s="48" t="s">
        <v>1076</v>
      </c>
      <c r="H950" s="47" t="s">
        <v>1077</v>
      </c>
      <c r="I950" s="47" t="s">
        <v>1078</v>
      </c>
      <c r="J950" s="47" t="s">
        <v>26</v>
      </c>
    </row>
    <row r="951" ht="54" customHeight="1" spans="1:10">
      <c r="A951" s="48" t="s">
        <v>277</v>
      </c>
      <c r="B951" s="48" t="s">
        <v>2359</v>
      </c>
      <c r="C951" s="47" t="s">
        <v>956</v>
      </c>
      <c r="D951" s="48" t="s">
        <v>957</v>
      </c>
      <c r="E951" s="48" t="s">
        <v>958</v>
      </c>
      <c r="F951" s="48" t="s">
        <v>959</v>
      </c>
      <c r="G951" s="48" t="s">
        <v>960</v>
      </c>
      <c r="H951" s="47" t="s">
        <v>961</v>
      </c>
      <c r="I951" s="47" t="s">
        <v>962</v>
      </c>
      <c r="J951" s="47" t="s">
        <v>26</v>
      </c>
    </row>
    <row r="952" ht="54" customHeight="1" spans="1:10">
      <c r="A952" s="48" t="s">
        <v>277</v>
      </c>
      <c r="B952" s="48" t="s">
        <v>2360</v>
      </c>
      <c r="C952" s="47" t="s">
        <v>1066</v>
      </c>
      <c r="D952" s="48" t="s">
        <v>935</v>
      </c>
      <c r="E952" s="48" t="s">
        <v>936</v>
      </c>
      <c r="F952" s="48" t="s">
        <v>1067</v>
      </c>
      <c r="G952" s="48" t="s">
        <v>1068</v>
      </c>
      <c r="H952" s="47" t="s">
        <v>1069</v>
      </c>
      <c r="I952" s="47" t="s">
        <v>940</v>
      </c>
      <c r="J952" s="47" t="s">
        <v>26</v>
      </c>
    </row>
    <row r="953" ht="54" customHeight="1" spans="1:10">
      <c r="A953" s="48" t="s">
        <v>279</v>
      </c>
      <c r="B953" s="48" t="s">
        <v>2361</v>
      </c>
      <c r="C953" s="47" t="s">
        <v>1072</v>
      </c>
      <c r="D953" s="48" t="s">
        <v>1073</v>
      </c>
      <c r="E953" s="48" t="s">
        <v>1074</v>
      </c>
      <c r="F953" s="48" t="s">
        <v>1075</v>
      </c>
      <c r="G953" s="48" t="s">
        <v>1076</v>
      </c>
      <c r="H953" s="47" t="s">
        <v>1077</v>
      </c>
      <c r="I953" s="47" t="s">
        <v>1078</v>
      </c>
      <c r="J953" s="47" t="s">
        <v>26</v>
      </c>
    </row>
    <row r="954" ht="54" customHeight="1" spans="1:10">
      <c r="A954" s="48" t="s">
        <v>279</v>
      </c>
      <c r="B954" s="48" t="s">
        <v>2362</v>
      </c>
      <c r="C954" s="47" t="s">
        <v>1008</v>
      </c>
      <c r="D954" s="48" t="s">
        <v>1009</v>
      </c>
      <c r="E954" s="48" t="s">
        <v>1010</v>
      </c>
      <c r="F954" s="48" t="s">
        <v>1011</v>
      </c>
      <c r="G954" s="48" t="s">
        <v>1012</v>
      </c>
      <c r="H954" s="47" t="s">
        <v>1013</v>
      </c>
      <c r="I954" s="47" t="s">
        <v>1014</v>
      </c>
      <c r="J954" s="47" t="s">
        <v>26</v>
      </c>
    </row>
    <row r="955" ht="54" customHeight="1" spans="1:10">
      <c r="A955" s="48" t="s">
        <v>279</v>
      </c>
      <c r="B955" s="48" t="s">
        <v>2363</v>
      </c>
      <c r="C955" s="47" t="s">
        <v>1022</v>
      </c>
      <c r="D955" s="48" t="s">
        <v>957</v>
      </c>
      <c r="E955" s="48" t="s">
        <v>958</v>
      </c>
      <c r="F955" s="48" t="s">
        <v>1023</v>
      </c>
      <c r="G955" s="48" t="s">
        <v>1024</v>
      </c>
      <c r="H955" s="47" t="s">
        <v>1025</v>
      </c>
      <c r="I955" s="47" t="s">
        <v>1026</v>
      </c>
      <c r="J955" s="47" t="s">
        <v>26</v>
      </c>
    </row>
    <row r="956" ht="54" customHeight="1" spans="1:10">
      <c r="A956" s="48" t="s">
        <v>279</v>
      </c>
      <c r="B956" s="48" t="s">
        <v>2364</v>
      </c>
      <c r="C956" s="47" t="s">
        <v>1089</v>
      </c>
      <c r="D956" s="48" t="s">
        <v>957</v>
      </c>
      <c r="E956" s="48" t="s">
        <v>958</v>
      </c>
      <c r="F956" s="48" t="s">
        <v>1090</v>
      </c>
      <c r="G956" s="48" t="s">
        <v>1091</v>
      </c>
      <c r="H956" s="47" t="s">
        <v>1092</v>
      </c>
      <c r="I956" s="47" t="s">
        <v>1093</v>
      </c>
      <c r="J956" s="47" t="s">
        <v>26</v>
      </c>
    </row>
    <row r="957" ht="54" customHeight="1" spans="1:10">
      <c r="A957" s="48" t="s">
        <v>279</v>
      </c>
      <c r="B957" s="48" t="s">
        <v>2365</v>
      </c>
      <c r="C957" s="47" t="s">
        <v>956</v>
      </c>
      <c r="D957" s="48" t="s">
        <v>957</v>
      </c>
      <c r="E957" s="48" t="s">
        <v>958</v>
      </c>
      <c r="F957" s="48" t="s">
        <v>959</v>
      </c>
      <c r="G957" s="48" t="s">
        <v>960</v>
      </c>
      <c r="H957" s="47" t="s">
        <v>961</v>
      </c>
      <c r="I957" s="47" t="s">
        <v>962</v>
      </c>
      <c r="J957" s="47" t="s">
        <v>26</v>
      </c>
    </row>
    <row r="958" ht="54" customHeight="1" spans="1:10">
      <c r="A958" s="48" t="s">
        <v>279</v>
      </c>
      <c r="B958" s="48" t="s">
        <v>2366</v>
      </c>
      <c r="C958" s="47" t="s">
        <v>1097</v>
      </c>
      <c r="D958" s="48" t="s">
        <v>1098</v>
      </c>
      <c r="E958" s="48" t="s">
        <v>1099</v>
      </c>
      <c r="F958" s="48" t="s">
        <v>1100</v>
      </c>
      <c r="G958" s="48" t="s">
        <v>1101</v>
      </c>
      <c r="H958" s="47" t="s">
        <v>1102</v>
      </c>
      <c r="I958" s="47" t="s">
        <v>1103</v>
      </c>
      <c r="J958" s="47" t="s">
        <v>26</v>
      </c>
    </row>
    <row r="959" ht="54" customHeight="1" spans="1:10">
      <c r="A959" s="48" t="s">
        <v>279</v>
      </c>
      <c r="B959" s="48" t="s">
        <v>2367</v>
      </c>
      <c r="C959" s="47" t="s">
        <v>1277</v>
      </c>
      <c r="D959" s="48" t="s">
        <v>1278</v>
      </c>
      <c r="E959" s="48" t="s">
        <v>1279</v>
      </c>
      <c r="F959" s="48" t="s">
        <v>1280</v>
      </c>
      <c r="G959" s="48" t="s">
        <v>1281</v>
      </c>
      <c r="H959" s="47" t="s">
        <v>1282</v>
      </c>
      <c r="I959" s="47" t="s">
        <v>1283</v>
      </c>
      <c r="J959" s="47" t="s">
        <v>26</v>
      </c>
    </row>
    <row r="960" ht="54" customHeight="1" spans="1:10">
      <c r="A960" s="48" t="s">
        <v>279</v>
      </c>
      <c r="B960" s="48" t="s">
        <v>2368</v>
      </c>
      <c r="C960" s="47" t="s">
        <v>1252</v>
      </c>
      <c r="D960" s="48" t="s">
        <v>1001</v>
      </c>
      <c r="E960" s="48" t="s">
        <v>1002</v>
      </c>
      <c r="F960" s="48" t="s">
        <v>1253</v>
      </c>
      <c r="G960" s="48" t="s">
        <v>1254</v>
      </c>
      <c r="H960" s="47" t="s">
        <v>1255</v>
      </c>
      <c r="I960" s="47" t="s">
        <v>1256</v>
      </c>
      <c r="J960" s="47" t="s">
        <v>26</v>
      </c>
    </row>
    <row r="961" ht="54" customHeight="1" spans="1:10">
      <c r="A961" s="48" t="s">
        <v>279</v>
      </c>
      <c r="B961" s="48" t="s">
        <v>2369</v>
      </c>
      <c r="C961" s="47" t="s">
        <v>1111</v>
      </c>
      <c r="D961" s="48" t="s">
        <v>965</v>
      </c>
      <c r="E961" s="48" t="s">
        <v>966</v>
      </c>
      <c r="F961" s="48" t="s">
        <v>1112</v>
      </c>
      <c r="G961" s="48" t="s">
        <v>1113</v>
      </c>
      <c r="H961" s="47" t="s">
        <v>1114</v>
      </c>
      <c r="I961" s="47" t="s">
        <v>1115</v>
      </c>
      <c r="J961" s="47" t="s">
        <v>26</v>
      </c>
    </row>
    <row r="962" ht="54" customHeight="1" spans="1:10">
      <c r="A962" s="48" t="s">
        <v>279</v>
      </c>
      <c r="B962" s="48" t="s">
        <v>2370</v>
      </c>
      <c r="C962" s="47" t="s">
        <v>1117</v>
      </c>
      <c r="D962" s="48" t="s">
        <v>1118</v>
      </c>
      <c r="E962" s="48" t="s">
        <v>1119</v>
      </c>
      <c r="F962" s="48" t="s">
        <v>1120</v>
      </c>
      <c r="G962" s="48" t="s">
        <v>1121</v>
      </c>
      <c r="H962" s="47" t="s">
        <v>1122</v>
      </c>
      <c r="I962" s="47" t="s">
        <v>1123</v>
      </c>
      <c r="J962" s="47" t="s">
        <v>26</v>
      </c>
    </row>
    <row r="963" ht="54" customHeight="1" spans="1:10">
      <c r="A963" s="48" t="s">
        <v>281</v>
      </c>
      <c r="B963" s="48" t="s">
        <v>2371</v>
      </c>
      <c r="C963" s="47" t="s">
        <v>1072</v>
      </c>
      <c r="D963" s="48" t="s">
        <v>1073</v>
      </c>
      <c r="E963" s="48" t="s">
        <v>1074</v>
      </c>
      <c r="F963" s="48" t="s">
        <v>1075</v>
      </c>
      <c r="G963" s="48" t="s">
        <v>1076</v>
      </c>
      <c r="H963" s="47" t="s">
        <v>1077</v>
      </c>
      <c r="I963" s="47" t="s">
        <v>1078</v>
      </c>
      <c r="J963" s="47" t="s">
        <v>26</v>
      </c>
    </row>
    <row r="964" ht="54" customHeight="1" spans="1:10">
      <c r="A964" s="48" t="s">
        <v>281</v>
      </c>
      <c r="B964" s="48" t="s">
        <v>2372</v>
      </c>
      <c r="C964" s="47" t="s">
        <v>1505</v>
      </c>
      <c r="D964" s="48" t="s">
        <v>1506</v>
      </c>
      <c r="E964" s="48" t="s">
        <v>1507</v>
      </c>
      <c r="F964" s="48" t="s">
        <v>1508</v>
      </c>
      <c r="G964" s="48" t="s">
        <v>1507</v>
      </c>
      <c r="H964" s="47" t="s">
        <v>1509</v>
      </c>
      <c r="I964" s="47" t="s">
        <v>1510</v>
      </c>
      <c r="J964" s="47" t="s">
        <v>26</v>
      </c>
    </row>
    <row r="965" ht="54" customHeight="1" spans="1:10">
      <c r="A965" s="48" t="s">
        <v>281</v>
      </c>
      <c r="B965" s="48" t="s">
        <v>2373</v>
      </c>
      <c r="C965" s="47" t="s">
        <v>1036</v>
      </c>
      <c r="D965" s="48" t="s">
        <v>1037</v>
      </c>
      <c r="E965" s="48" t="s">
        <v>1038</v>
      </c>
      <c r="F965" s="48" t="s">
        <v>1039</v>
      </c>
      <c r="G965" s="48" t="s">
        <v>1040</v>
      </c>
      <c r="H965" s="47" t="s">
        <v>1041</v>
      </c>
      <c r="I965" s="47" t="s">
        <v>1042</v>
      </c>
      <c r="J965" s="47" t="s">
        <v>26</v>
      </c>
    </row>
    <row r="966" ht="54" customHeight="1" spans="1:10">
      <c r="A966" s="48" t="s">
        <v>281</v>
      </c>
      <c r="B966" s="48" t="s">
        <v>2374</v>
      </c>
      <c r="C966" s="47" t="s">
        <v>1097</v>
      </c>
      <c r="D966" s="48" t="s">
        <v>1098</v>
      </c>
      <c r="E966" s="48" t="s">
        <v>1099</v>
      </c>
      <c r="F966" s="48" t="s">
        <v>1100</v>
      </c>
      <c r="G966" s="48" t="s">
        <v>1101</v>
      </c>
      <c r="H966" s="47" t="s">
        <v>1102</v>
      </c>
      <c r="I966" s="47" t="s">
        <v>1103</v>
      </c>
      <c r="J966" s="47" t="s">
        <v>26</v>
      </c>
    </row>
    <row r="967" ht="54" customHeight="1" spans="1:10">
      <c r="A967" s="48" t="s">
        <v>281</v>
      </c>
      <c r="B967" s="48" t="s">
        <v>2375</v>
      </c>
      <c r="C967" s="47" t="s">
        <v>1277</v>
      </c>
      <c r="D967" s="48" t="s">
        <v>1278</v>
      </c>
      <c r="E967" s="48" t="s">
        <v>1279</v>
      </c>
      <c r="F967" s="48" t="s">
        <v>1280</v>
      </c>
      <c r="G967" s="48" t="s">
        <v>1281</v>
      </c>
      <c r="H967" s="47" t="s">
        <v>1282</v>
      </c>
      <c r="I967" s="47" t="s">
        <v>1283</v>
      </c>
      <c r="J967" s="47" t="s">
        <v>26</v>
      </c>
    </row>
    <row r="968" ht="54" customHeight="1" spans="1:10">
      <c r="A968" s="48" t="s">
        <v>281</v>
      </c>
      <c r="B968" s="48" t="s">
        <v>2376</v>
      </c>
      <c r="C968" s="47" t="s">
        <v>1066</v>
      </c>
      <c r="D968" s="48" t="s">
        <v>935</v>
      </c>
      <c r="E968" s="48" t="s">
        <v>936</v>
      </c>
      <c r="F968" s="48" t="s">
        <v>1067</v>
      </c>
      <c r="G968" s="48" t="s">
        <v>1068</v>
      </c>
      <c r="H968" s="47" t="s">
        <v>1069</v>
      </c>
      <c r="I968" s="47" t="s">
        <v>940</v>
      </c>
      <c r="J968" s="47" t="s">
        <v>26</v>
      </c>
    </row>
    <row r="969" ht="54" customHeight="1" spans="1:10">
      <c r="A969" s="48" t="s">
        <v>281</v>
      </c>
      <c r="B969" s="48" t="s">
        <v>2377</v>
      </c>
      <c r="C969" s="47" t="s">
        <v>1137</v>
      </c>
      <c r="D969" s="48" t="s">
        <v>1138</v>
      </c>
      <c r="E969" s="48" t="s">
        <v>1139</v>
      </c>
      <c r="F969" s="48" t="s">
        <v>1140</v>
      </c>
      <c r="G969" s="48" t="s">
        <v>1141</v>
      </c>
      <c r="H969" s="47" t="s">
        <v>1142</v>
      </c>
      <c r="I969" s="47" t="s">
        <v>940</v>
      </c>
      <c r="J969" s="47" t="s">
        <v>26</v>
      </c>
    </row>
    <row r="970" ht="54" customHeight="1" spans="1:10">
      <c r="A970" s="48" t="s">
        <v>281</v>
      </c>
      <c r="B970" s="48" t="s">
        <v>2378</v>
      </c>
      <c r="C970" s="47" t="s">
        <v>1145</v>
      </c>
      <c r="D970" s="48" t="s">
        <v>1146</v>
      </c>
      <c r="E970" s="48" t="s">
        <v>1147</v>
      </c>
      <c r="F970" s="48" t="s">
        <v>1148</v>
      </c>
      <c r="G970" s="48" t="s">
        <v>1149</v>
      </c>
      <c r="H970" s="47" t="s">
        <v>1150</v>
      </c>
      <c r="I970" s="47" t="s">
        <v>1151</v>
      </c>
      <c r="J970" s="47" t="s">
        <v>26</v>
      </c>
    </row>
    <row r="971" ht="54" customHeight="1" spans="1:10">
      <c r="A971" s="48" t="s">
        <v>281</v>
      </c>
      <c r="B971" s="48" t="s">
        <v>2379</v>
      </c>
      <c r="C971" s="47" t="s">
        <v>1164</v>
      </c>
      <c r="D971" s="48" t="s">
        <v>978</v>
      </c>
      <c r="E971" s="48" t="s">
        <v>979</v>
      </c>
      <c r="F971" s="48" t="s">
        <v>1165</v>
      </c>
      <c r="G971" s="48" t="s">
        <v>1166</v>
      </c>
      <c r="H971" s="47" t="s">
        <v>1167</v>
      </c>
      <c r="I971" s="47" t="s">
        <v>1168</v>
      </c>
      <c r="J971" s="47" t="s">
        <v>26</v>
      </c>
    </row>
    <row r="972" ht="54" customHeight="1" spans="1:10">
      <c r="A972" s="48" t="s">
        <v>281</v>
      </c>
      <c r="B972" s="48" t="s">
        <v>2380</v>
      </c>
      <c r="C972" s="47" t="s">
        <v>1245</v>
      </c>
      <c r="D972" s="48" t="s">
        <v>1171</v>
      </c>
      <c r="E972" s="48" t="s">
        <v>1172</v>
      </c>
      <c r="F972" s="48" t="s">
        <v>1246</v>
      </c>
      <c r="G972" s="48" t="s">
        <v>1247</v>
      </c>
      <c r="H972" s="47" t="s">
        <v>1248</v>
      </c>
      <c r="I972" s="47" t="s">
        <v>1176</v>
      </c>
      <c r="J972" s="47" t="s">
        <v>26</v>
      </c>
    </row>
    <row r="973" ht="54" customHeight="1" spans="1:10">
      <c r="A973" s="48" t="s">
        <v>283</v>
      </c>
      <c r="B973" s="48" t="s">
        <v>2381</v>
      </c>
      <c r="C973" s="47" t="s">
        <v>1022</v>
      </c>
      <c r="D973" s="48" t="s">
        <v>957</v>
      </c>
      <c r="E973" s="48" t="s">
        <v>958</v>
      </c>
      <c r="F973" s="48" t="s">
        <v>1023</v>
      </c>
      <c r="G973" s="48" t="s">
        <v>1024</v>
      </c>
      <c r="H973" s="47" t="s">
        <v>1025</v>
      </c>
      <c r="I973" s="47" t="s">
        <v>1026</v>
      </c>
      <c r="J973" s="47" t="s">
        <v>26</v>
      </c>
    </row>
    <row r="974" ht="54" customHeight="1" spans="1:10">
      <c r="A974" s="48" t="s">
        <v>283</v>
      </c>
      <c r="B974" s="48" t="s">
        <v>2382</v>
      </c>
      <c r="C974" s="47" t="s">
        <v>1459</v>
      </c>
      <c r="D974" s="48" t="s">
        <v>957</v>
      </c>
      <c r="E974" s="48" t="s">
        <v>958</v>
      </c>
      <c r="F974" s="48" t="s">
        <v>1460</v>
      </c>
      <c r="G974" s="48" t="s">
        <v>1461</v>
      </c>
      <c r="H974" s="47" t="s">
        <v>1462</v>
      </c>
      <c r="I974" s="47" t="s">
        <v>1463</v>
      </c>
      <c r="J974" s="47" t="s">
        <v>26</v>
      </c>
    </row>
    <row r="975" ht="54" customHeight="1" spans="1:10">
      <c r="A975" s="48" t="s">
        <v>283</v>
      </c>
      <c r="B975" s="48" t="s">
        <v>2383</v>
      </c>
      <c r="C975" s="47" t="s">
        <v>1089</v>
      </c>
      <c r="D975" s="48" t="s">
        <v>957</v>
      </c>
      <c r="E975" s="48" t="s">
        <v>958</v>
      </c>
      <c r="F975" s="48" t="s">
        <v>1090</v>
      </c>
      <c r="G975" s="48" t="s">
        <v>1091</v>
      </c>
      <c r="H975" s="47" t="s">
        <v>1092</v>
      </c>
      <c r="I975" s="47" t="s">
        <v>1093</v>
      </c>
      <c r="J975" s="47" t="s">
        <v>26</v>
      </c>
    </row>
    <row r="976" ht="54" customHeight="1" spans="1:10">
      <c r="A976" s="48" t="s">
        <v>283</v>
      </c>
      <c r="B976" s="48" t="s">
        <v>2384</v>
      </c>
      <c r="C976" s="47" t="s">
        <v>956</v>
      </c>
      <c r="D976" s="48" t="s">
        <v>957</v>
      </c>
      <c r="E976" s="48" t="s">
        <v>958</v>
      </c>
      <c r="F976" s="48" t="s">
        <v>959</v>
      </c>
      <c r="G976" s="48" t="s">
        <v>960</v>
      </c>
      <c r="H976" s="47" t="s">
        <v>961</v>
      </c>
      <c r="I976" s="47" t="s">
        <v>962</v>
      </c>
      <c r="J976" s="47" t="s">
        <v>26</v>
      </c>
    </row>
    <row r="977" ht="54" customHeight="1" spans="1:10">
      <c r="A977" s="48" t="s">
        <v>283</v>
      </c>
      <c r="B977" s="48" t="s">
        <v>2385</v>
      </c>
      <c r="C977" s="47" t="s">
        <v>1767</v>
      </c>
      <c r="D977" s="48" t="s">
        <v>957</v>
      </c>
      <c r="E977" s="48" t="s">
        <v>958</v>
      </c>
      <c r="F977" s="48" t="s">
        <v>1768</v>
      </c>
      <c r="G977" s="48" t="s">
        <v>1769</v>
      </c>
      <c r="H977" s="47" t="s">
        <v>1770</v>
      </c>
      <c r="I977" s="47" t="s">
        <v>1771</v>
      </c>
      <c r="J977" s="47" t="s">
        <v>26</v>
      </c>
    </row>
    <row r="978" ht="54" customHeight="1" spans="1:10">
      <c r="A978" s="48" t="s">
        <v>283</v>
      </c>
      <c r="B978" s="48" t="s">
        <v>2386</v>
      </c>
      <c r="C978" s="47" t="s">
        <v>1097</v>
      </c>
      <c r="D978" s="48" t="s">
        <v>1098</v>
      </c>
      <c r="E978" s="48" t="s">
        <v>1099</v>
      </c>
      <c r="F978" s="48" t="s">
        <v>1100</v>
      </c>
      <c r="G978" s="48" t="s">
        <v>1101</v>
      </c>
      <c r="H978" s="47" t="s">
        <v>1102</v>
      </c>
      <c r="I978" s="47" t="s">
        <v>1103</v>
      </c>
      <c r="J978" s="47" t="s">
        <v>26</v>
      </c>
    </row>
    <row r="979" ht="54" customHeight="1" spans="1:10">
      <c r="A979" s="48" t="s">
        <v>283</v>
      </c>
      <c r="B979" s="48" t="s">
        <v>2387</v>
      </c>
      <c r="C979" s="47" t="s">
        <v>1388</v>
      </c>
      <c r="D979" s="48" t="s">
        <v>1037</v>
      </c>
      <c r="E979" s="48" t="s">
        <v>1038</v>
      </c>
      <c r="F979" s="48" t="s">
        <v>1389</v>
      </c>
      <c r="G979" s="48" t="s">
        <v>1390</v>
      </c>
      <c r="H979" s="47" t="s">
        <v>1391</v>
      </c>
      <c r="I979" s="47" t="s">
        <v>1392</v>
      </c>
      <c r="J979" s="47" t="s">
        <v>26</v>
      </c>
    </row>
    <row r="980" ht="54" customHeight="1" spans="1:10">
      <c r="A980" s="48" t="s">
        <v>283</v>
      </c>
      <c r="B980" s="48" t="s">
        <v>2388</v>
      </c>
      <c r="C980" s="47" t="s">
        <v>1285</v>
      </c>
      <c r="D980" s="48" t="s">
        <v>965</v>
      </c>
      <c r="E980" s="48" t="s">
        <v>966</v>
      </c>
      <c r="F980" s="48" t="s">
        <v>1286</v>
      </c>
      <c r="G980" s="48" t="s">
        <v>1287</v>
      </c>
      <c r="H980" s="47" t="s">
        <v>1288</v>
      </c>
      <c r="I980" s="47" t="s">
        <v>1289</v>
      </c>
      <c r="J980" s="47" t="s">
        <v>26</v>
      </c>
    </row>
    <row r="981" ht="54" customHeight="1" spans="1:10">
      <c r="A981" s="48" t="s">
        <v>283</v>
      </c>
      <c r="B981" s="48" t="s">
        <v>2389</v>
      </c>
      <c r="C981" s="47" t="s">
        <v>1137</v>
      </c>
      <c r="D981" s="48" t="s">
        <v>1138</v>
      </c>
      <c r="E981" s="48" t="s">
        <v>1139</v>
      </c>
      <c r="F981" s="48" t="s">
        <v>1140</v>
      </c>
      <c r="G981" s="48" t="s">
        <v>1141</v>
      </c>
      <c r="H981" s="47" t="s">
        <v>1142</v>
      </c>
      <c r="I981" s="47" t="s">
        <v>940</v>
      </c>
      <c r="J981" s="47" t="s">
        <v>26</v>
      </c>
    </row>
    <row r="982" ht="54" customHeight="1" spans="1:10">
      <c r="A982" s="48" t="s">
        <v>283</v>
      </c>
      <c r="B982" s="48" t="s">
        <v>2390</v>
      </c>
      <c r="C982" s="47" t="s">
        <v>971</v>
      </c>
      <c r="D982" s="48" t="s">
        <v>965</v>
      </c>
      <c r="E982" s="48" t="s">
        <v>966</v>
      </c>
      <c r="F982" s="48" t="s">
        <v>972</v>
      </c>
      <c r="G982" s="48" t="s">
        <v>973</v>
      </c>
      <c r="H982" s="47" t="s">
        <v>974</v>
      </c>
      <c r="I982" s="47" t="s">
        <v>975</v>
      </c>
      <c r="J982" s="47" t="s">
        <v>26</v>
      </c>
    </row>
    <row r="983" ht="54" customHeight="1" spans="1:10">
      <c r="A983" s="48" t="s">
        <v>285</v>
      </c>
      <c r="B983" s="48" t="s">
        <v>2391</v>
      </c>
      <c r="C983" s="47" t="s">
        <v>1097</v>
      </c>
      <c r="D983" s="48" t="s">
        <v>1098</v>
      </c>
      <c r="E983" s="48" t="s">
        <v>1099</v>
      </c>
      <c r="F983" s="48" t="s">
        <v>1100</v>
      </c>
      <c r="G983" s="48" t="s">
        <v>1101</v>
      </c>
      <c r="H983" s="47" t="s">
        <v>1102</v>
      </c>
      <c r="I983" s="47" t="s">
        <v>1103</v>
      </c>
      <c r="J983" s="47" t="s">
        <v>26</v>
      </c>
    </row>
    <row r="984" ht="54" customHeight="1" spans="1:10">
      <c r="A984" s="48" t="s">
        <v>285</v>
      </c>
      <c r="B984" s="48" t="s">
        <v>2392</v>
      </c>
      <c r="C984" s="47" t="s">
        <v>1066</v>
      </c>
      <c r="D984" s="48" t="s">
        <v>935</v>
      </c>
      <c r="E984" s="48" t="s">
        <v>936</v>
      </c>
      <c r="F984" s="48" t="s">
        <v>1067</v>
      </c>
      <c r="G984" s="48" t="s">
        <v>1068</v>
      </c>
      <c r="H984" s="47" t="s">
        <v>1069</v>
      </c>
      <c r="I984" s="47" t="s">
        <v>940</v>
      </c>
      <c r="J984" s="47" t="s">
        <v>26</v>
      </c>
    </row>
    <row r="985" ht="54" customHeight="1" spans="1:10">
      <c r="A985" s="48" t="s">
        <v>285</v>
      </c>
      <c r="B985" s="48" t="s">
        <v>2393</v>
      </c>
      <c r="C985" s="47" t="s">
        <v>1285</v>
      </c>
      <c r="D985" s="48" t="s">
        <v>965</v>
      </c>
      <c r="E985" s="48" t="s">
        <v>966</v>
      </c>
      <c r="F985" s="48" t="s">
        <v>1286</v>
      </c>
      <c r="G985" s="48" t="s">
        <v>1287</v>
      </c>
      <c r="H985" s="47" t="s">
        <v>1288</v>
      </c>
      <c r="I985" s="47" t="s">
        <v>1289</v>
      </c>
      <c r="J985" s="47" t="s">
        <v>26</v>
      </c>
    </row>
    <row r="986" ht="54" customHeight="1" spans="1:10">
      <c r="A986" s="48" t="s">
        <v>285</v>
      </c>
      <c r="B986" s="48" t="s">
        <v>2394</v>
      </c>
      <c r="C986" s="47" t="s">
        <v>1137</v>
      </c>
      <c r="D986" s="48" t="s">
        <v>1138</v>
      </c>
      <c r="E986" s="48" t="s">
        <v>1139</v>
      </c>
      <c r="F986" s="48" t="s">
        <v>1140</v>
      </c>
      <c r="G986" s="48" t="s">
        <v>1141</v>
      </c>
      <c r="H986" s="47" t="s">
        <v>1142</v>
      </c>
      <c r="I986" s="47" t="s">
        <v>940</v>
      </c>
      <c r="J986" s="47" t="s">
        <v>26</v>
      </c>
    </row>
    <row r="987" ht="54" customHeight="1" spans="1:10">
      <c r="A987" s="48" t="s">
        <v>285</v>
      </c>
      <c r="B987" s="48" t="s">
        <v>2395</v>
      </c>
      <c r="C987" s="47" t="s">
        <v>1313</v>
      </c>
      <c r="D987" s="48" t="s">
        <v>1037</v>
      </c>
      <c r="E987" s="48" t="s">
        <v>1038</v>
      </c>
      <c r="F987" s="48" t="s">
        <v>1314</v>
      </c>
      <c r="G987" s="48" t="s">
        <v>1315</v>
      </c>
      <c r="H987" s="47" t="s">
        <v>1316</v>
      </c>
      <c r="I987" s="47" t="s">
        <v>1317</v>
      </c>
      <c r="J987" s="47" t="s">
        <v>26</v>
      </c>
    </row>
    <row r="988" ht="54" customHeight="1" spans="1:10">
      <c r="A988" s="48" t="s">
        <v>285</v>
      </c>
      <c r="B988" s="48" t="s">
        <v>2396</v>
      </c>
      <c r="C988" s="47" t="s">
        <v>1211</v>
      </c>
      <c r="D988" s="48" t="s">
        <v>965</v>
      </c>
      <c r="E988" s="48" t="s">
        <v>966</v>
      </c>
      <c r="F988" s="48" t="s">
        <v>1212</v>
      </c>
      <c r="G988" s="48" t="s">
        <v>1213</v>
      </c>
      <c r="H988" s="47" t="s">
        <v>1214</v>
      </c>
      <c r="I988" s="47" t="s">
        <v>940</v>
      </c>
      <c r="J988" s="47" t="s">
        <v>26</v>
      </c>
    </row>
    <row r="989" ht="54" customHeight="1" spans="1:10">
      <c r="A989" s="48" t="s">
        <v>285</v>
      </c>
      <c r="B989" s="48" t="s">
        <v>2397</v>
      </c>
      <c r="C989" s="47" t="s">
        <v>1245</v>
      </c>
      <c r="D989" s="48" t="s">
        <v>1171</v>
      </c>
      <c r="E989" s="48" t="s">
        <v>1172</v>
      </c>
      <c r="F989" s="48" t="s">
        <v>1246</v>
      </c>
      <c r="G989" s="48" t="s">
        <v>1247</v>
      </c>
      <c r="H989" s="47" t="s">
        <v>1248</v>
      </c>
      <c r="I989" s="47" t="s">
        <v>1176</v>
      </c>
      <c r="J989" s="47" t="s">
        <v>26</v>
      </c>
    </row>
    <row r="990" ht="54" customHeight="1" spans="1:10">
      <c r="A990" s="48" t="s">
        <v>287</v>
      </c>
      <c r="B990" s="48" t="s">
        <v>2398</v>
      </c>
      <c r="C990" s="47" t="s">
        <v>992</v>
      </c>
      <c r="D990" s="48" t="s">
        <v>993</v>
      </c>
      <c r="E990" s="48" t="s">
        <v>994</v>
      </c>
      <c r="F990" s="48" t="s">
        <v>995</v>
      </c>
      <c r="G990" s="48" t="s">
        <v>996</v>
      </c>
      <c r="H990" s="47" t="s">
        <v>997</v>
      </c>
      <c r="I990" s="47" t="s">
        <v>998</v>
      </c>
      <c r="J990" s="47" t="s">
        <v>26</v>
      </c>
    </row>
    <row r="991" ht="54" customHeight="1" spans="1:10">
      <c r="A991" s="48" t="s">
        <v>287</v>
      </c>
      <c r="B991" s="48" t="s">
        <v>2399</v>
      </c>
      <c r="C991" s="47" t="s">
        <v>1480</v>
      </c>
      <c r="D991" s="48" t="s">
        <v>1001</v>
      </c>
      <c r="E991" s="48" t="s">
        <v>1002</v>
      </c>
      <c r="F991" s="48" t="s">
        <v>1481</v>
      </c>
      <c r="G991" s="48" t="s">
        <v>1482</v>
      </c>
      <c r="H991" s="47" t="s">
        <v>1483</v>
      </c>
      <c r="I991" s="47" t="s">
        <v>1484</v>
      </c>
      <c r="J991" s="47" t="s">
        <v>26</v>
      </c>
    </row>
    <row r="992" ht="54" customHeight="1" spans="1:10">
      <c r="A992" s="48" t="s">
        <v>287</v>
      </c>
      <c r="B992" s="48" t="s">
        <v>2400</v>
      </c>
      <c r="C992" s="47" t="s">
        <v>1022</v>
      </c>
      <c r="D992" s="48" t="s">
        <v>957</v>
      </c>
      <c r="E992" s="48" t="s">
        <v>958</v>
      </c>
      <c r="F992" s="48" t="s">
        <v>1023</v>
      </c>
      <c r="G992" s="48" t="s">
        <v>1024</v>
      </c>
      <c r="H992" s="47" t="s">
        <v>1025</v>
      </c>
      <c r="I992" s="47" t="s">
        <v>1026</v>
      </c>
      <c r="J992" s="47" t="s">
        <v>26</v>
      </c>
    </row>
    <row r="993" ht="54" customHeight="1" spans="1:10">
      <c r="A993" s="48" t="s">
        <v>287</v>
      </c>
      <c r="B993" s="48" t="s">
        <v>2401</v>
      </c>
      <c r="C993" s="47" t="s">
        <v>1081</v>
      </c>
      <c r="D993" s="48" t="s">
        <v>1082</v>
      </c>
      <c r="E993" s="48" t="s">
        <v>1083</v>
      </c>
      <c r="F993" s="48" t="s">
        <v>1084</v>
      </c>
      <c r="G993" s="48" t="s">
        <v>1085</v>
      </c>
      <c r="H993" s="47" t="s">
        <v>1086</v>
      </c>
      <c r="I993" s="47" t="s">
        <v>1087</v>
      </c>
      <c r="J993" s="47" t="s">
        <v>26</v>
      </c>
    </row>
    <row r="994" ht="54" customHeight="1" spans="1:10">
      <c r="A994" s="48" t="s">
        <v>287</v>
      </c>
      <c r="B994" s="48" t="s">
        <v>2402</v>
      </c>
      <c r="C994" s="47" t="s">
        <v>1089</v>
      </c>
      <c r="D994" s="48" t="s">
        <v>957</v>
      </c>
      <c r="E994" s="48" t="s">
        <v>958</v>
      </c>
      <c r="F994" s="48" t="s">
        <v>1090</v>
      </c>
      <c r="G994" s="48" t="s">
        <v>1091</v>
      </c>
      <c r="H994" s="47" t="s">
        <v>1092</v>
      </c>
      <c r="I994" s="47" t="s">
        <v>1093</v>
      </c>
      <c r="J994" s="47" t="s">
        <v>26</v>
      </c>
    </row>
    <row r="995" ht="54" customHeight="1" spans="1:10">
      <c r="A995" s="48" t="s">
        <v>287</v>
      </c>
      <c r="B995" s="48" t="s">
        <v>2403</v>
      </c>
      <c r="C995" s="47" t="s">
        <v>956</v>
      </c>
      <c r="D995" s="48" t="s">
        <v>957</v>
      </c>
      <c r="E995" s="48" t="s">
        <v>958</v>
      </c>
      <c r="F995" s="48" t="s">
        <v>959</v>
      </c>
      <c r="G995" s="48" t="s">
        <v>960</v>
      </c>
      <c r="H995" s="47" t="s">
        <v>961</v>
      </c>
      <c r="I995" s="47" t="s">
        <v>962</v>
      </c>
      <c r="J995" s="47" t="s">
        <v>26</v>
      </c>
    </row>
    <row r="996" ht="54" customHeight="1" spans="1:10">
      <c r="A996" s="48" t="s">
        <v>287</v>
      </c>
      <c r="B996" s="48" t="s">
        <v>2404</v>
      </c>
      <c r="C996" s="47" t="s">
        <v>1105</v>
      </c>
      <c r="D996" s="48" t="s">
        <v>1009</v>
      </c>
      <c r="E996" s="48" t="s">
        <v>1010</v>
      </c>
      <c r="F996" s="48" t="s">
        <v>1106</v>
      </c>
      <c r="G996" s="48" t="s">
        <v>1107</v>
      </c>
      <c r="H996" s="47" t="s">
        <v>1108</v>
      </c>
      <c r="I996" s="47" t="s">
        <v>1109</v>
      </c>
      <c r="J996" s="47" t="s">
        <v>26</v>
      </c>
    </row>
    <row r="997" ht="54" customHeight="1" spans="1:10">
      <c r="A997" s="48" t="s">
        <v>287</v>
      </c>
      <c r="B997" s="48" t="s">
        <v>2405</v>
      </c>
      <c r="C997" s="47" t="s">
        <v>1767</v>
      </c>
      <c r="D997" s="48" t="s">
        <v>957</v>
      </c>
      <c r="E997" s="48" t="s">
        <v>958</v>
      </c>
      <c r="F997" s="48" t="s">
        <v>1768</v>
      </c>
      <c r="G997" s="48" t="s">
        <v>1769</v>
      </c>
      <c r="H997" s="47" t="s">
        <v>1770</v>
      </c>
      <c r="I997" s="47" t="s">
        <v>1771</v>
      </c>
      <c r="J997" s="47" t="s">
        <v>26</v>
      </c>
    </row>
    <row r="998" ht="54" customHeight="1" spans="1:10">
      <c r="A998" s="48" t="s">
        <v>287</v>
      </c>
      <c r="B998" s="48" t="s">
        <v>2406</v>
      </c>
      <c r="C998" s="47" t="s">
        <v>1097</v>
      </c>
      <c r="D998" s="48" t="s">
        <v>1098</v>
      </c>
      <c r="E998" s="48" t="s">
        <v>1099</v>
      </c>
      <c r="F998" s="48" t="s">
        <v>1100</v>
      </c>
      <c r="G998" s="48" t="s">
        <v>1101</v>
      </c>
      <c r="H998" s="47" t="s">
        <v>1102</v>
      </c>
      <c r="I998" s="47" t="s">
        <v>1103</v>
      </c>
      <c r="J998" s="47" t="s">
        <v>26</v>
      </c>
    </row>
    <row r="999" ht="54" customHeight="1" spans="1:10">
      <c r="A999" s="48" t="s">
        <v>287</v>
      </c>
      <c r="B999" s="48" t="s">
        <v>2407</v>
      </c>
      <c r="C999" s="47" t="s">
        <v>1375</v>
      </c>
      <c r="D999" s="48" t="s">
        <v>1098</v>
      </c>
      <c r="E999" s="48" t="s">
        <v>1099</v>
      </c>
      <c r="F999" s="48" t="s">
        <v>1376</v>
      </c>
      <c r="G999" s="48" t="s">
        <v>1377</v>
      </c>
      <c r="H999" s="47" t="s">
        <v>1378</v>
      </c>
      <c r="I999" s="47" t="s">
        <v>1379</v>
      </c>
      <c r="J999" s="47" t="s">
        <v>26</v>
      </c>
    </row>
    <row r="1000" ht="54" customHeight="1" spans="1:10">
      <c r="A1000" s="48" t="s">
        <v>289</v>
      </c>
      <c r="B1000" s="48" t="s">
        <v>2408</v>
      </c>
      <c r="C1000" s="47" t="s">
        <v>934</v>
      </c>
      <c r="D1000" s="48" t="s">
        <v>935</v>
      </c>
      <c r="E1000" s="48" t="s">
        <v>936</v>
      </c>
      <c r="F1000" s="48" t="s">
        <v>937</v>
      </c>
      <c r="G1000" s="48" t="s">
        <v>938</v>
      </c>
      <c r="H1000" s="47" t="s">
        <v>939</v>
      </c>
      <c r="I1000" s="47" t="s">
        <v>940</v>
      </c>
      <c r="J1000" s="47" t="s">
        <v>26</v>
      </c>
    </row>
    <row r="1001" ht="54" customHeight="1" spans="1:10">
      <c r="A1001" s="48" t="s">
        <v>289</v>
      </c>
      <c r="B1001" s="48" t="s">
        <v>2409</v>
      </c>
      <c r="C1001" s="47" t="s">
        <v>992</v>
      </c>
      <c r="D1001" s="48" t="s">
        <v>993</v>
      </c>
      <c r="E1001" s="48" t="s">
        <v>994</v>
      </c>
      <c r="F1001" s="48" t="s">
        <v>995</v>
      </c>
      <c r="G1001" s="48" t="s">
        <v>996</v>
      </c>
      <c r="H1001" s="47" t="s">
        <v>997</v>
      </c>
      <c r="I1001" s="47" t="s">
        <v>998</v>
      </c>
      <c r="J1001" s="47" t="s">
        <v>26</v>
      </c>
    </row>
    <row r="1002" ht="54" customHeight="1" spans="1:10">
      <c r="A1002" s="48" t="s">
        <v>289</v>
      </c>
      <c r="B1002" s="48" t="s">
        <v>2410</v>
      </c>
      <c r="C1002" s="47" t="s">
        <v>1362</v>
      </c>
      <c r="D1002" s="48" t="s">
        <v>1059</v>
      </c>
      <c r="E1002" s="48" t="s">
        <v>1060</v>
      </c>
      <c r="F1002" s="48" t="s">
        <v>1363</v>
      </c>
      <c r="G1002" s="48" t="s">
        <v>1364</v>
      </c>
      <c r="H1002" s="47" t="s">
        <v>1365</v>
      </c>
      <c r="I1002" s="47" t="s">
        <v>1366</v>
      </c>
      <c r="J1002" s="47" t="s">
        <v>26</v>
      </c>
    </row>
    <row r="1003" ht="54" customHeight="1" spans="1:10">
      <c r="A1003" s="48" t="s">
        <v>289</v>
      </c>
      <c r="B1003" s="48" t="s">
        <v>2411</v>
      </c>
      <c r="C1003" s="47" t="s">
        <v>1097</v>
      </c>
      <c r="D1003" s="48" t="s">
        <v>1098</v>
      </c>
      <c r="E1003" s="48" t="s">
        <v>1099</v>
      </c>
      <c r="F1003" s="48" t="s">
        <v>1100</v>
      </c>
      <c r="G1003" s="48" t="s">
        <v>1101</v>
      </c>
      <c r="H1003" s="47" t="s">
        <v>1102</v>
      </c>
      <c r="I1003" s="47" t="s">
        <v>1103</v>
      </c>
      <c r="J1003" s="47" t="s">
        <v>26</v>
      </c>
    </row>
    <row r="1004" ht="54" customHeight="1" spans="1:10">
      <c r="A1004" s="48" t="s">
        <v>289</v>
      </c>
      <c r="B1004" s="48" t="s">
        <v>2412</v>
      </c>
      <c r="C1004" s="47" t="s">
        <v>1666</v>
      </c>
      <c r="D1004" s="48" t="s">
        <v>1082</v>
      </c>
      <c r="E1004" s="48" t="s">
        <v>1083</v>
      </c>
      <c r="F1004" s="48" t="s">
        <v>1667</v>
      </c>
      <c r="G1004" s="48" t="s">
        <v>1668</v>
      </c>
      <c r="H1004" s="47" t="s">
        <v>1669</v>
      </c>
      <c r="I1004" s="47" t="s">
        <v>1670</v>
      </c>
      <c r="J1004" s="47" t="s">
        <v>26</v>
      </c>
    </row>
    <row r="1005" ht="54" customHeight="1" spans="1:10">
      <c r="A1005" s="48" t="s">
        <v>289</v>
      </c>
      <c r="B1005" s="48" t="s">
        <v>2413</v>
      </c>
      <c r="C1005" s="47" t="s">
        <v>1066</v>
      </c>
      <c r="D1005" s="48" t="s">
        <v>935</v>
      </c>
      <c r="E1005" s="48" t="s">
        <v>936</v>
      </c>
      <c r="F1005" s="48" t="s">
        <v>1067</v>
      </c>
      <c r="G1005" s="48" t="s">
        <v>1068</v>
      </c>
      <c r="H1005" s="47" t="s">
        <v>1069</v>
      </c>
      <c r="I1005" s="47" t="s">
        <v>940</v>
      </c>
      <c r="J1005" s="47" t="s">
        <v>26</v>
      </c>
    </row>
    <row r="1006" ht="54" customHeight="1" spans="1:10">
      <c r="A1006" s="48" t="s">
        <v>291</v>
      </c>
      <c r="B1006" s="48" t="s">
        <v>2414</v>
      </c>
      <c r="C1006" s="47" t="s">
        <v>1975</v>
      </c>
      <c r="D1006" s="48" t="s">
        <v>1009</v>
      </c>
      <c r="E1006" s="48" t="s">
        <v>1010</v>
      </c>
      <c r="F1006" s="48" t="s">
        <v>1976</v>
      </c>
      <c r="G1006" s="48" t="s">
        <v>1977</v>
      </c>
      <c r="H1006" s="47" t="s">
        <v>1978</v>
      </c>
      <c r="I1006" s="47" t="s">
        <v>1979</v>
      </c>
      <c r="J1006" s="47" t="s">
        <v>26</v>
      </c>
    </row>
    <row r="1007" ht="54" customHeight="1" spans="1:10">
      <c r="A1007" s="48" t="s">
        <v>291</v>
      </c>
      <c r="B1007" s="48" t="s">
        <v>2415</v>
      </c>
      <c r="C1007" s="47" t="s">
        <v>1000</v>
      </c>
      <c r="D1007" s="48" t="s">
        <v>1001</v>
      </c>
      <c r="E1007" s="48" t="s">
        <v>1002</v>
      </c>
      <c r="F1007" s="48" t="s">
        <v>1003</v>
      </c>
      <c r="G1007" s="48" t="s">
        <v>1004</v>
      </c>
      <c r="H1007" s="47" t="s">
        <v>1005</v>
      </c>
      <c r="I1007" s="47" t="s">
        <v>1006</v>
      </c>
      <c r="J1007" s="47" t="s">
        <v>26</v>
      </c>
    </row>
    <row r="1008" ht="54" customHeight="1" spans="1:10">
      <c r="A1008" s="48" t="s">
        <v>291</v>
      </c>
      <c r="B1008" s="48" t="s">
        <v>2416</v>
      </c>
      <c r="C1008" s="47" t="s">
        <v>1480</v>
      </c>
      <c r="D1008" s="48" t="s">
        <v>1001</v>
      </c>
      <c r="E1008" s="48" t="s">
        <v>1002</v>
      </c>
      <c r="F1008" s="48" t="s">
        <v>1481</v>
      </c>
      <c r="G1008" s="48" t="s">
        <v>1482</v>
      </c>
      <c r="H1008" s="47" t="s">
        <v>1483</v>
      </c>
      <c r="I1008" s="47" t="s">
        <v>1484</v>
      </c>
      <c r="J1008" s="47" t="s">
        <v>26</v>
      </c>
    </row>
    <row r="1009" ht="54" customHeight="1" spans="1:10">
      <c r="A1009" s="48" t="s">
        <v>291</v>
      </c>
      <c r="B1009" s="48" t="s">
        <v>2417</v>
      </c>
      <c r="C1009" s="47" t="s">
        <v>1022</v>
      </c>
      <c r="D1009" s="48" t="s">
        <v>957</v>
      </c>
      <c r="E1009" s="48" t="s">
        <v>958</v>
      </c>
      <c r="F1009" s="48" t="s">
        <v>1023</v>
      </c>
      <c r="G1009" s="48" t="s">
        <v>1024</v>
      </c>
      <c r="H1009" s="47" t="s">
        <v>1025</v>
      </c>
      <c r="I1009" s="47" t="s">
        <v>1026</v>
      </c>
      <c r="J1009" s="47" t="s">
        <v>26</v>
      </c>
    </row>
    <row r="1010" ht="54" customHeight="1" spans="1:10">
      <c r="A1010" s="48" t="s">
        <v>291</v>
      </c>
      <c r="B1010" s="48" t="s">
        <v>2418</v>
      </c>
      <c r="C1010" s="47" t="s">
        <v>956</v>
      </c>
      <c r="D1010" s="48" t="s">
        <v>957</v>
      </c>
      <c r="E1010" s="48" t="s">
        <v>958</v>
      </c>
      <c r="F1010" s="48" t="s">
        <v>959</v>
      </c>
      <c r="G1010" s="48" t="s">
        <v>960</v>
      </c>
      <c r="H1010" s="47" t="s">
        <v>961</v>
      </c>
      <c r="I1010" s="47" t="s">
        <v>962</v>
      </c>
      <c r="J1010" s="47" t="s">
        <v>26</v>
      </c>
    </row>
    <row r="1011" ht="54" customHeight="1" spans="1:10">
      <c r="A1011" s="48" t="s">
        <v>291</v>
      </c>
      <c r="B1011" s="48" t="s">
        <v>2419</v>
      </c>
      <c r="C1011" s="47" t="s">
        <v>1058</v>
      </c>
      <c r="D1011" s="48" t="s">
        <v>1059</v>
      </c>
      <c r="E1011" s="48" t="s">
        <v>1060</v>
      </c>
      <c r="F1011" s="48" t="s">
        <v>1061</v>
      </c>
      <c r="G1011" s="48" t="s">
        <v>1062</v>
      </c>
      <c r="H1011" s="47" t="s">
        <v>1063</v>
      </c>
      <c r="I1011" s="47" t="s">
        <v>1064</v>
      </c>
      <c r="J1011" s="47" t="s">
        <v>26</v>
      </c>
    </row>
    <row r="1012" ht="54" customHeight="1" spans="1:10">
      <c r="A1012" s="48" t="s">
        <v>291</v>
      </c>
      <c r="B1012" s="48" t="s">
        <v>2420</v>
      </c>
      <c r="C1012" s="47" t="s">
        <v>1097</v>
      </c>
      <c r="D1012" s="48" t="s">
        <v>1098</v>
      </c>
      <c r="E1012" s="48" t="s">
        <v>1099</v>
      </c>
      <c r="F1012" s="48" t="s">
        <v>1100</v>
      </c>
      <c r="G1012" s="48" t="s">
        <v>1101</v>
      </c>
      <c r="H1012" s="47" t="s">
        <v>1102</v>
      </c>
      <c r="I1012" s="47" t="s">
        <v>1103</v>
      </c>
      <c r="J1012" s="47" t="s">
        <v>26</v>
      </c>
    </row>
    <row r="1013" ht="54" customHeight="1" spans="1:10">
      <c r="A1013" s="48" t="s">
        <v>291</v>
      </c>
      <c r="B1013" s="48" t="s">
        <v>2421</v>
      </c>
      <c r="C1013" s="47" t="s">
        <v>1066</v>
      </c>
      <c r="D1013" s="48" t="s">
        <v>935</v>
      </c>
      <c r="E1013" s="48" t="s">
        <v>936</v>
      </c>
      <c r="F1013" s="48" t="s">
        <v>1067</v>
      </c>
      <c r="G1013" s="48" t="s">
        <v>1068</v>
      </c>
      <c r="H1013" s="47" t="s">
        <v>1069</v>
      </c>
      <c r="I1013" s="47" t="s">
        <v>940</v>
      </c>
      <c r="J1013" s="47" t="s">
        <v>26</v>
      </c>
    </row>
    <row r="1014" ht="54" customHeight="1" spans="1:10">
      <c r="A1014" s="48" t="s">
        <v>291</v>
      </c>
      <c r="B1014" s="48" t="s">
        <v>2422</v>
      </c>
      <c r="C1014" s="47" t="s">
        <v>1111</v>
      </c>
      <c r="D1014" s="48" t="s">
        <v>965</v>
      </c>
      <c r="E1014" s="48" t="s">
        <v>966</v>
      </c>
      <c r="F1014" s="48" t="s">
        <v>1112</v>
      </c>
      <c r="G1014" s="48" t="s">
        <v>1113</v>
      </c>
      <c r="H1014" s="47" t="s">
        <v>1114</v>
      </c>
      <c r="I1014" s="47" t="s">
        <v>1115</v>
      </c>
      <c r="J1014" s="47" t="s">
        <v>26</v>
      </c>
    </row>
    <row r="1015" ht="54" customHeight="1" spans="1:10">
      <c r="A1015" s="48" t="s">
        <v>291</v>
      </c>
      <c r="B1015" s="48" t="s">
        <v>2423</v>
      </c>
      <c r="C1015" s="47" t="s">
        <v>1131</v>
      </c>
      <c r="D1015" s="48" t="s">
        <v>993</v>
      </c>
      <c r="E1015" s="48" t="s">
        <v>994</v>
      </c>
      <c r="F1015" s="48" t="s">
        <v>1132</v>
      </c>
      <c r="G1015" s="48" t="s">
        <v>1133</v>
      </c>
      <c r="H1015" s="47" t="s">
        <v>1134</v>
      </c>
      <c r="I1015" s="47" t="s">
        <v>1135</v>
      </c>
      <c r="J1015" s="47" t="s">
        <v>26</v>
      </c>
    </row>
    <row r="1016" ht="54" customHeight="1" spans="1:10">
      <c r="A1016" s="48" t="s">
        <v>293</v>
      </c>
      <c r="B1016" s="48" t="s">
        <v>2424</v>
      </c>
      <c r="C1016" s="47" t="s">
        <v>1459</v>
      </c>
      <c r="D1016" s="48" t="s">
        <v>957</v>
      </c>
      <c r="E1016" s="48" t="s">
        <v>958</v>
      </c>
      <c r="F1016" s="48" t="s">
        <v>1460</v>
      </c>
      <c r="G1016" s="48" t="s">
        <v>1461</v>
      </c>
      <c r="H1016" s="47" t="s">
        <v>1462</v>
      </c>
      <c r="I1016" s="47" t="s">
        <v>1463</v>
      </c>
      <c r="J1016" s="47" t="s">
        <v>26</v>
      </c>
    </row>
    <row r="1017" ht="54" customHeight="1" spans="1:10">
      <c r="A1017" s="48" t="s">
        <v>293</v>
      </c>
      <c r="B1017" s="48" t="s">
        <v>2425</v>
      </c>
      <c r="C1017" s="47" t="s">
        <v>956</v>
      </c>
      <c r="D1017" s="48" t="s">
        <v>957</v>
      </c>
      <c r="E1017" s="48" t="s">
        <v>958</v>
      </c>
      <c r="F1017" s="48" t="s">
        <v>959</v>
      </c>
      <c r="G1017" s="48" t="s">
        <v>960</v>
      </c>
      <c r="H1017" s="47" t="s">
        <v>961</v>
      </c>
      <c r="I1017" s="47" t="s">
        <v>962</v>
      </c>
      <c r="J1017" s="47" t="s">
        <v>26</v>
      </c>
    </row>
    <row r="1018" ht="54" customHeight="1" spans="1:10">
      <c r="A1018" s="48" t="s">
        <v>293</v>
      </c>
      <c r="B1018" s="48" t="s">
        <v>2426</v>
      </c>
      <c r="C1018" s="47" t="s">
        <v>1297</v>
      </c>
      <c r="D1018" s="48" t="s">
        <v>1009</v>
      </c>
      <c r="E1018" s="48" t="s">
        <v>1010</v>
      </c>
      <c r="F1018" s="48" t="s">
        <v>1298</v>
      </c>
      <c r="G1018" s="48" t="s">
        <v>1299</v>
      </c>
      <c r="H1018" s="47" t="s">
        <v>1300</v>
      </c>
      <c r="I1018" s="47" t="s">
        <v>1301</v>
      </c>
      <c r="J1018" s="47" t="s">
        <v>26</v>
      </c>
    </row>
    <row r="1019" ht="54" customHeight="1" spans="1:10">
      <c r="A1019" s="48" t="s">
        <v>293</v>
      </c>
      <c r="B1019" s="48" t="s">
        <v>2427</v>
      </c>
      <c r="C1019" s="47" t="s">
        <v>1097</v>
      </c>
      <c r="D1019" s="48" t="s">
        <v>1098</v>
      </c>
      <c r="E1019" s="48" t="s">
        <v>1099</v>
      </c>
      <c r="F1019" s="48" t="s">
        <v>1100</v>
      </c>
      <c r="G1019" s="48" t="s">
        <v>1101</v>
      </c>
      <c r="H1019" s="47" t="s">
        <v>1102</v>
      </c>
      <c r="I1019" s="47" t="s">
        <v>1103</v>
      </c>
      <c r="J1019" s="47" t="s">
        <v>26</v>
      </c>
    </row>
    <row r="1020" ht="54" customHeight="1" spans="1:10">
      <c r="A1020" s="48" t="s">
        <v>293</v>
      </c>
      <c r="B1020" s="48" t="s">
        <v>2428</v>
      </c>
      <c r="C1020" s="47" t="s">
        <v>1252</v>
      </c>
      <c r="D1020" s="48" t="s">
        <v>1001</v>
      </c>
      <c r="E1020" s="48" t="s">
        <v>1002</v>
      </c>
      <c r="F1020" s="48" t="s">
        <v>1253</v>
      </c>
      <c r="G1020" s="48" t="s">
        <v>1254</v>
      </c>
      <c r="H1020" s="47" t="s">
        <v>1255</v>
      </c>
      <c r="I1020" s="47" t="s">
        <v>1256</v>
      </c>
      <c r="J1020" s="47" t="s">
        <v>26</v>
      </c>
    </row>
    <row r="1021" ht="54" customHeight="1" spans="1:10">
      <c r="A1021" s="48" t="s">
        <v>293</v>
      </c>
      <c r="B1021" s="48" t="s">
        <v>2429</v>
      </c>
      <c r="C1021" s="47" t="s">
        <v>1285</v>
      </c>
      <c r="D1021" s="48" t="s">
        <v>965</v>
      </c>
      <c r="E1021" s="48" t="s">
        <v>966</v>
      </c>
      <c r="F1021" s="48" t="s">
        <v>1286</v>
      </c>
      <c r="G1021" s="48" t="s">
        <v>1287</v>
      </c>
      <c r="H1021" s="47" t="s">
        <v>1288</v>
      </c>
      <c r="I1021" s="47" t="s">
        <v>1289</v>
      </c>
      <c r="J1021" s="47" t="s">
        <v>26</v>
      </c>
    </row>
    <row r="1022" ht="54" customHeight="1" spans="1:10">
      <c r="A1022" s="48" t="s">
        <v>293</v>
      </c>
      <c r="B1022" s="48" t="s">
        <v>2430</v>
      </c>
      <c r="C1022" s="47" t="s">
        <v>1137</v>
      </c>
      <c r="D1022" s="48" t="s">
        <v>1138</v>
      </c>
      <c r="E1022" s="48" t="s">
        <v>1139</v>
      </c>
      <c r="F1022" s="48" t="s">
        <v>1140</v>
      </c>
      <c r="G1022" s="48" t="s">
        <v>1141</v>
      </c>
      <c r="H1022" s="47" t="s">
        <v>1142</v>
      </c>
      <c r="I1022" s="47" t="s">
        <v>940</v>
      </c>
      <c r="J1022" s="47" t="s">
        <v>26</v>
      </c>
    </row>
    <row r="1023" ht="54" customHeight="1" spans="1:10">
      <c r="A1023" s="48" t="s">
        <v>293</v>
      </c>
      <c r="B1023" s="48" t="s">
        <v>2431</v>
      </c>
      <c r="C1023" s="47" t="s">
        <v>971</v>
      </c>
      <c r="D1023" s="48" t="s">
        <v>965</v>
      </c>
      <c r="E1023" s="48" t="s">
        <v>966</v>
      </c>
      <c r="F1023" s="48" t="s">
        <v>972</v>
      </c>
      <c r="G1023" s="48" t="s">
        <v>973</v>
      </c>
      <c r="H1023" s="47" t="s">
        <v>974</v>
      </c>
      <c r="I1023" s="47" t="s">
        <v>975</v>
      </c>
      <c r="J1023" s="47" t="s">
        <v>26</v>
      </c>
    </row>
    <row r="1024" ht="54" customHeight="1" spans="1:10">
      <c r="A1024" s="48" t="s">
        <v>293</v>
      </c>
      <c r="B1024" s="48" t="s">
        <v>2432</v>
      </c>
      <c r="C1024" s="47" t="s">
        <v>1291</v>
      </c>
      <c r="D1024" s="48" t="s">
        <v>965</v>
      </c>
      <c r="E1024" s="48" t="s">
        <v>966</v>
      </c>
      <c r="F1024" s="48" t="s">
        <v>1292</v>
      </c>
      <c r="G1024" s="48" t="s">
        <v>1293</v>
      </c>
      <c r="H1024" s="47" t="s">
        <v>1294</v>
      </c>
      <c r="I1024" s="47" t="s">
        <v>1295</v>
      </c>
      <c r="J1024" s="47" t="s">
        <v>26</v>
      </c>
    </row>
    <row r="1025" ht="54" customHeight="1" spans="1:10">
      <c r="A1025" s="48" t="s">
        <v>293</v>
      </c>
      <c r="B1025" s="48" t="s">
        <v>2433</v>
      </c>
      <c r="C1025" s="47" t="s">
        <v>1750</v>
      </c>
      <c r="D1025" s="48" t="s">
        <v>965</v>
      </c>
      <c r="E1025" s="48" t="s">
        <v>966</v>
      </c>
      <c r="F1025" s="48" t="s">
        <v>1751</v>
      </c>
      <c r="G1025" s="48" t="s">
        <v>1752</v>
      </c>
      <c r="H1025" s="47" t="s">
        <v>1753</v>
      </c>
      <c r="I1025" s="47" t="s">
        <v>940</v>
      </c>
      <c r="J1025" s="47" t="s">
        <v>26</v>
      </c>
    </row>
    <row r="1026" ht="54" customHeight="1" spans="1:10">
      <c r="A1026" s="48" t="s">
        <v>295</v>
      </c>
      <c r="B1026" s="48" t="s">
        <v>2434</v>
      </c>
      <c r="C1026" s="47" t="s">
        <v>1000</v>
      </c>
      <c r="D1026" s="48" t="s">
        <v>1001</v>
      </c>
      <c r="E1026" s="48" t="s">
        <v>1002</v>
      </c>
      <c r="F1026" s="48" t="s">
        <v>1003</v>
      </c>
      <c r="G1026" s="48" t="s">
        <v>1004</v>
      </c>
      <c r="H1026" s="47" t="s">
        <v>1005</v>
      </c>
      <c r="I1026" s="47" t="s">
        <v>1006</v>
      </c>
      <c r="J1026" s="47" t="s">
        <v>26</v>
      </c>
    </row>
    <row r="1027" ht="54" customHeight="1" spans="1:10">
      <c r="A1027" s="48" t="s">
        <v>295</v>
      </c>
      <c r="B1027" s="48" t="s">
        <v>2435</v>
      </c>
      <c r="C1027" s="47" t="s">
        <v>1008</v>
      </c>
      <c r="D1027" s="48" t="s">
        <v>1009</v>
      </c>
      <c r="E1027" s="48" t="s">
        <v>1010</v>
      </c>
      <c r="F1027" s="48" t="s">
        <v>1011</v>
      </c>
      <c r="G1027" s="48" t="s">
        <v>1012</v>
      </c>
      <c r="H1027" s="47" t="s">
        <v>1013</v>
      </c>
      <c r="I1027" s="47" t="s">
        <v>1014</v>
      </c>
      <c r="J1027" s="47" t="s">
        <v>26</v>
      </c>
    </row>
    <row r="1028" ht="54" customHeight="1" spans="1:10">
      <c r="A1028" s="48" t="s">
        <v>295</v>
      </c>
      <c r="B1028" s="48" t="s">
        <v>2436</v>
      </c>
      <c r="C1028" s="47" t="s">
        <v>1022</v>
      </c>
      <c r="D1028" s="48" t="s">
        <v>957</v>
      </c>
      <c r="E1028" s="48" t="s">
        <v>958</v>
      </c>
      <c r="F1028" s="48" t="s">
        <v>1023</v>
      </c>
      <c r="G1028" s="48" t="s">
        <v>1024</v>
      </c>
      <c r="H1028" s="47" t="s">
        <v>1025</v>
      </c>
      <c r="I1028" s="47" t="s">
        <v>1026</v>
      </c>
      <c r="J1028" s="47" t="s">
        <v>26</v>
      </c>
    </row>
    <row r="1029" ht="54" customHeight="1" spans="1:10">
      <c r="A1029" s="48" t="s">
        <v>295</v>
      </c>
      <c r="B1029" s="48" t="s">
        <v>2437</v>
      </c>
      <c r="C1029" s="47" t="s">
        <v>956</v>
      </c>
      <c r="D1029" s="48" t="s">
        <v>957</v>
      </c>
      <c r="E1029" s="48" t="s">
        <v>958</v>
      </c>
      <c r="F1029" s="48" t="s">
        <v>959</v>
      </c>
      <c r="G1029" s="48" t="s">
        <v>960</v>
      </c>
      <c r="H1029" s="47" t="s">
        <v>961</v>
      </c>
      <c r="I1029" s="47" t="s">
        <v>962</v>
      </c>
      <c r="J1029" s="47" t="s">
        <v>26</v>
      </c>
    </row>
    <row r="1030" ht="54" customHeight="1" spans="1:10">
      <c r="A1030" s="48" t="s">
        <v>295</v>
      </c>
      <c r="B1030" s="48" t="s">
        <v>2438</v>
      </c>
      <c r="C1030" s="47" t="s">
        <v>1105</v>
      </c>
      <c r="D1030" s="48" t="s">
        <v>1009</v>
      </c>
      <c r="E1030" s="48" t="s">
        <v>1010</v>
      </c>
      <c r="F1030" s="48" t="s">
        <v>1106</v>
      </c>
      <c r="G1030" s="48" t="s">
        <v>1107</v>
      </c>
      <c r="H1030" s="47" t="s">
        <v>1108</v>
      </c>
      <c r="I1030" s="47" t="s">
        <v>1109</v>
      </c>
      <c r="J1030" s="47" t="s">
        <v>26</v>
      </c>
    </row>
    <row r="1031" ht="54" customHeight="1" spans="1:10">
      <c r="A1031" s="48" t="s">
        <v>295</v>
      </c>
      <c r="B1031" s="48" t="s">
        <v>2439</v>
      </c>
      <c r="C1031" s="47" t="s">
        <v>1097</v>
      </c>
      <c r="D1031" s="48" t="s">
        <v>1098</v>
      </c>
      <c r="E1031" s="48" t="s">
        <v>1099</v>
      </c>
      <c r="F1031" s="48" t="s">
        <v>1100</v>
      </c>
      <c r="G1031" s="48" t="s">
        <v>1101</v>
      </c>
      <c r="H1031" s="47" t="s">
        <v>1102</v>
      </c>
      <c r="I1031" s="47" t="s">
        <v>1103</v>
      </c>
      <c r="J1031" s="47" t="s">
        <v>26</v>
      </c>
    </row>
    <row r="1032" ht="54" customHeight="1" spans="1:10">
      <c r="A1032" s="48" t="s">
        <v>295</v>
      </c>
      <c r="B1032" s="48" t="s">
        <v>2440</v>
      </c>
      <c r="C1032" s="47" t="s">
        <v>1137</v>
      </c>
      <c r="D1032" s="48" t="s">
        <v>1138</v>
      </c>
      <c r="E1032" s="48" t="s">
        <v>1139</v>
      </c>
      <c r="F1032" s="48" t="s">
        <v>1140</v>
      </c>
      <c r="G1032" s="48" t="s">
        <v>1141</v>
      </c>
      <c r="H1032" s="47" t="s">
        <v>1142</v>
      </c>
      <c r="I1032" s="47" t="s">
        <v>940</v>
      </c>
      <c r="J1032" s="47" t="s">
        <v>26</v>
      </c>
    </row>
    <row r="1033" ht="54" customHeight="1" spans="1:10">
      <c r="A1033" s="48" t="s">
        <v>295</v>
      </c>
      <c r="B1033" s="48" t="s">
        <v>2441</v>
      </c>
      <c r="C1033" s="47" t="s">
        <v>971</v>
      </c>
      <c r="D1033" s="48" t="s">
        <v>965</v>
      </c>
      <c r="E1033" s="48" t="s">
        <v>966</v>
      </c>
      <c r="F1033" s="48" t="s">
        <v>972</v>
      </c>
      <c r="G1033" s="48" t="s">
        <v>973</v>
      </c>
      <c r="H1033" s="47" t="s">
        <v>974</v>
      </c>
      <c r="I1033" s="47" t="s">
        <v>975</v>
      </c>
      <c r="J1033" s="47" t="s">
        <v>26</v>
      </c>
    </row>
    <row r="1034" ht="54" customHeight="1" spans="1:10">
      <c r="A1034" s="48" t="s">
        <v>295</v>
      </c>
      <c r="B1034" s="48" t="s">
        <v>2442</v>
      </c>
      <c r="C1034" s="47" t="s">
        <v>1291</v>
      </c>
      <c r="D1034" s="48" t="s">
        <v>965</v>
      </c>
      <c r="E1034" s="48" t="s">
        <v>966</v>
      </c>
      <c r="F1034" s="48" t="s">
        <v>1292</v>
      </c>
      <c r="G1034" s="48" t="s">
        <v>1293</v>
      </c>
      <c r="H1034" s="47" t="s">
        <v>1294</v>
      </c>
      <c r="I1034" s="47" t="s">
        <v>1295</v>
      </c>
      <c r="J1034" s="47" t="s">
        <v>26</v>
      </c>
    </row>
    <row r="1035" ht="54" customHeight="1" spans="1:10">
      <c r="A1035" s="48" t="s">
        <v>295</v>
      </c>
      <c r="B1035" s="48" t="s">
        <v>2443</v>
      </c>
      <c r="C1035" s="47" t="s">
        <v>977</v>
      </c>
      <c r="D1035" s="48" t="s">
        <v>978</v>
      </c>
      <c r="E1035" s="48" t="s">
        <v>979</v>
      </c>
      <c r="F1035" s="48" t="s">
        <v>980</v>
      </c>
      <c r="G1035" s="48" t="s">
        <v>981</v>
      </c>
      <c r="H1035" s="47" t="s">
        <v>982</v>
      </c>
      <c r="I1035" s="47" t="s">
        <v>983</v>
      </c>
      <c r="J1035" s="47" t="s">
        <v>26</v>
      </c>
    </row>
    <row r="1036" ht="54" customHeight="1" spans="1:10">
      <c r="A1036" s="48" t="s">
        <v>297</v>
      </c>
      <c r="B1036" s="48" t="s">
        <v>2444</v>
      </c>
      <c r="C1036" s="47" t="s">
        <v>1000</v>
      </c>
      <c r="D1036" s="48" t="s">
        <v>1001</v>
      </c>
      <c r="E1036" s="48" t="s">
        <v>1002</v>
      </c>
      <c r="F1036" s="48" t="s">
        <v>1003</v>
      </c>
      <c r="G1036" s="48" t="s">
        <v>1004</v>
      </c>
      <c r="H1036" s="47" t="s">
        <v>1005</v>
      </c>
      <c r="I1036" s="47" t="s">
        <v>1006</v>
      </c>
      <c r="J1036" s="47" t="s">
        <v>26</v>
      </c>
    </row>
    <row r="1037" ht="54" customHeight="1" spans="1:10">
      <c r="A1037" s="48" t="s">
        <v>297</v>
      </c>
      <c r="B1037" s="48" t="s">
        <v>2445</v>
      </c>
      <c r="C1037" s="47" t="s">
        <v>1008</v>
      </c>
      <c r="D1037" s="48" t="s">
        <v>1009</v>
      </c>
      <c r="E1037" s="48" t="s">
        <v>1010</v>
      </c>
      <c r="F1037" s="48" t="s">
        <v>1011</v>
      </c>
      <c r="G1037" s="48" t="s">
        <v>1012</v>
      </c>
      <c r="H1037" s="47" t="s">
        <v>1013</v>
      </c>
      <c r="I1037" s="47" t="s">
        <v>1014</v>
      </c>
      <c r="J1037" s="47" t="s">
        <v>26</v>
      </c>
    </row>
    <row r="1038" ht="54" customHeight="1" spans="1:10">
      <c r="A1038" s="48" t="s">
        <v>297</v>
      </c>
      <c r="B1038" s="48" t="s">
        <v>2446</v>
      </c>
      <c r="C1038" s="47" t="s">
        <v>1572</v>
      </c>
      <c r="D1038" s="48" t="s">
        <v>1098</v>
      </c>
      <c r="E1038" s="48" t="s">
        <v>1099</v>
      </c>
      <c r="F1038" s="48" t="s">
        <v>1573</v>
      </c>
      <c r="G1038" s="48" t="s">
        <v>1574</v>
      </c>
      <c r="H1038" s="47" t="s">
        <v>1575</v>
      </c>
      <c r="I1038" s="47" t="s">
        <v>1576</v>
      </c>
      <c r="J1038" s="47" t="s">
        <v>26</v>
      </c>
    </row>
    <row r="1039" ht="54" customHeight="1" spans="1:10">
      <c r="A1039" s="48" t="s">
        <v>297</v>
      </c>
      <c r="B1039" s="48" t="s">
        <v>2447</v>
      </c>
      <c r="C1039" s="47" t="s">
        <v>1589</v>
      </c>
      <c r="D1039" s="48" t="s">
        <v>943</v>
      </c>
      <c r="E1039" s="48" t="s">
        <v>944</v>
      </c>
      <c r="F1039" s="48" t="s">
        <v>1590</v>
      </c>
      <c r="G1039" s="48" t="s">
        <v>1591</v>
      </c>
      <c r="H1039" s="47" t="s">
        <v>1592</v>
      </c>
      <c r="I1039" s="47" t="s">
        <v>1593</v>
      </c>
      <c r="J1039" s="47" t="s">
        <v>26</v>
      </c>
    </row>
    <row r="1040" ht="54" customHeight="1" spans="1:10">
      <c r="A1040" s="48" t="s">
        <v>297</v>
      </c>
      <c r="B1040" s="48" t="s">
        <v>2448</v>
      </c>
      <c r="C1040" s="47" t="s">
        <v>1097</v>
      </c>
      <c r="D1040" s="48" t="s">
        <v>1098</v>
      </c>
      <c r="E1040" s="48" t="s">
        <v>1099</v>
      </c>
      <c r="F1040" s="48" t="s">
        <v>1100</v>
      </c>
      <c r="G1040" s="48" t="s">
        <v>1101</v>
      </c>
      <c r="H1040" s="47" t="s">
        <v>1102</v>
      </c>
      <c r="I1040" s="47" t="s">
        <v>1103</v>
      </c>
      <c r="J1040" s="47" t="s">
        <v>26</v>
      </c>
    </row>
    <row r="1041" ht="54" customHeight="1" spans="1:10">
      <c r="A1041" s="48" t="s">
        <v>297</v>
      </c>
      <c r="B1041" s="48" t="s">
        <v>2449</v>
      </c>
      <c r="C1041" s="47" t="s">
        <v>1164</v>
      </c>
      <c r="D1041" s="48" t="s">
        <v>978</v>
      </c>
      <c r="E1041" s="48" t="s">
        <v>979</v>
      </c>
      <c r="F1041" s="48" t="s">
        <v>1165</v>
      </c>
      <c r="G1041" s="48" t="s">
        <v>1166</v>
      </c>
      <c r="H1041" s="47" t="s">
        <v>1167</v>
      </c>
      <c r="I1041" s="47" t="s">
        <v>1168</v>
      </c>
      <c r="J1041" s="47" t="s">
        <v>26</v>
      </c>
    </row>
    <row r="1042" ht="54" customHeight="1" spans="1:10">
      <c r="A1042" s="48" t="s">
        <v>299</v>
      </c>
      <c r="B1042" s="48" t="s">
        <v>2450</v>
      </c>
      <c r="C1042" s="47" t="s">
        <v>2074</v>
      </c>
      <c r="D1042" s="48" t="s">
        <v>1029</v>
      </c>
      <c r="E1042" s="48" t="s">
        <v>1030</v>
      </c>
      <c r="F1042" s="48" t="s">
        <v>2075</v>
      </c>
      <c r="G1042" s="48" t="s">
        <v>2076</v>
      </c>
      <c r="H1042" s="47" t="s">
        <v>2077</v>
      </c>
      <c r="I1042" s="47" t="s">
        <v>2078</v>
      </c>
      <c r="J1042" s="47" t="s">
        <v>26</v>
      </c>
    </row>
    <row r="1043" ht="54" customHeight="1" spans="1:10">
      <c r="A1043" s="48" t="s">
        <v>299</v>
      </c>
      <c r="B1043" s="48" t="s">
        <v>2451</v>
      </c>
      <c r="C1043" s="47" t="s">
        <v>1022</v>
      </c>
      <c r="D1043" s="48" t="s">
        <v>957</v>
      </c>
      <c r="E1043" s="48" t="s">
        <v>958</v>
      </c>
      <c r="F1043" s="48" t="s">
        <v>1023</v>
      </c>
      <c r="G1043" s="48" t="s">
        <v>1024</v>
      </c>
      <c r="H1043" s="47" t="s">
        <v>1025</v>
      </c>
      <c r="I1043" s="47" t="s">
        <v>1026</v>
      </c>
      <c r="J1043" s="47" t="s">
        <v>26</v>
      </c>
    </row>
    <row r="1044" ht="54" customHeight="1" spans="1:10">
      <c r="A1044" s="48" t="s">
        <v>299</v>
      </c>
      <c r="B1044" s="48" t="s">
        <v>2452</v>
      </c>
      <c r="C1044" s="47" t="s">
        <v>1081</v>
      </c>
      <c r="D1044" s="48" t="s">
        <v>1082</v>
      </c>
      <c r="E1044" s="48" t="s">
        <v>1083</v>
      </c>
      <c r="F1044" s="48" t="s">
        <v>1084</v>
      </c>
      <c r="G1044" s="48" t="s">
        <v>1085</v>
      </c>
      <c r="H1044" s="47" t="s">
        <v>1086</v>
      </c>
      <c r="I1044" s="47" t="s">
        <v>1087</v>
      </c>
      <c r="J1044" s="47" t="s">
        <v>26</v>
      </c>
    </row>
    <row r="1045" ht="54" customHeight="1" spans="1:10">
      <c r="A1045" s="48" t="s">
        <v>299</v>
      </c>
      <c r="B1045" s="48" t="s">
        <v>2453</v>
      </c>
      <c r="C1045" s="47" t="s">
        <v>956</v>
      </c>
      <c r="D1045" s="48" t="s">
        <v>957</v>
      </c>
      <c r="E1045" s="48" t="s">
        <v>958</v>
      </c>
      <c r="F1045" s="48" t="s">
        <v>959</v>
      </c>
      <c r="G1045" s="48" t="s">
        <v>960</v>
      </c>
      <c r="H1045" s="47" t="s">
        <v>961</v>
      </c>
      <c r="I1045" s="47" t="s">
        <v>962</v>
      </c>
      <c r="J1045" s="47" t="s">
        <v>26</v>
      </c>
    </row>
    <row r="1046" ht="54" customHeight="1" spans="1:10">
      <c r="A1046" s="48" t="s">
        <v>299</v>
      </c>
      <c r="B1046" s="48" t="s">
        <v>2454</v>
      </c>
      <c r="C1046" s="47" t="s">
        <v>1058</v>
      </c>
      <c r="D1046" s="48" t="s">
        <v>1059</v>
      </c>
      <c r="E1046" s="48" t="s">
        <v>1060</v>
      </c>
      <c r="F1046" s="48" t="s">
        <v>1061</v>
      </c>
      <c r="G1046" s="48" t="s">
        <v>1062</v>
      </c>
      <c r="H1046" s="47" t="s">
        <v>1063</v>
      </c>
      <c r="I1046" s="47" t="s">
        <v>1064</v>
      </c>
      <c r="J1046" s="47" t="s">
        <v>26</v>
      </c>
    </row>
    <row r="1047" ht="54" customHeight="1" spans="1:10">
      <c r="A1047" s="48" t="s">
        <v>299</v>
      </c>
      <c r="B1047" s="48" t="s">
        <v>2455</v>
      </c>
      <c r="C1047" s="47" t="s">
        <v>1097</v>
      </c>
      <c r="D1047" s="48" t="s">
        <v>1098</v>
      </c>
      <c r="E1047" s="48" t="s">
        <v>1099</v>
      </c>
      <c r="F1047" s="48" t="s">
        <v>1100</v>
      </c>
      <c r="G1047" s="48" t="s">
        <v>1101</v>
      </c>
      <c r="H1047" s="47" t="s">
        <v>1102</v>
      </c>
      <c r="I1047" s="47" t="s">
        <v>1103</v>
      </c>
      <c r="J1047" s="47" t="s">
        <v>26</v>
      </c>
    </row>
    <row r="1048" ht="54" customHeight="1" spans="1:10">
      <c r="A1048" s="48" t="s">
        <v>299</v>
      </c>
      <c r="B1048" s="48" t="s">
        <v>2456</v>
      </c>
      <c r="C1048" s="47" t="s">
        <v>1375</v>
      </c>
      <c r="D1048" s="48" t="s">
        <v>1098</v>
      </c>
      <c r="E1048" s="48" t="s">
        <v>1099</v>
      </c>
      <c r="F1048" s="48" t="s">
        <v>1376</v>
      </c>
      <c r="G1048" s="48" t="s">
        <v>1377</v>
      </c>
      <c r="H1048" s="47" t="s">
        <v>1378</v>
      </c>
      <c r="I1048" s="47" t="s">
        <v>1379</v>
      </c>
      <c r="J1048" s="47" t="s">
        <v>26</v>
      </c>
    </row>
    <row r="1049" ht="54" customHeight="1" spans="1:10">
      <c r="A1049" s="48" t="s">
        <v>299</v>
      </c>
      <c r="B1049" s="48" t="s">
        <v>2457</v>
      </c>
      <c r="C1049" s="47" t="s">
        <v>1638</v>
      </c>
      <c r="D1049" s="48" t="s">
        <v>1118</v>
      </c>
      <c r="E1049" s="48" t="s">
        <v>1119</v>
      </c>
      <c r="F1049" s="48" t="s">
        <v>1639</v>
      </c>
      <c r="G1049" s="48" t="s">
        <v>1640</v>
      </c>
      <c r="H1049" s="47" t="s">
        <v>1641</v>
      </c>
      <c r="I1049" s="47" t="s">
        <v>1642</v>
      </c>
      <c r="J1049" s="47" t="s">
        <v>26</v>
      </c>
    </row>
    <row r="1050" ht="54" customHeight="1" spans="1:10">
      <c r="A1050" s="48" t="s">
        <v>301</v>
      </c>
      <c r="B1050" s="48" t="s">
        <v>2458</v>
      </c>
      <c r="C1050" s="47" t="s">
        <v>1022</v>
      </c>
      <c r="D1050" s="48" t="s">
        <v>957</v>
      </c>
      <c r="E1050" s="48" t="s">
        <v>958</v>
      </c>
      <c r="F1050" s="48" t="s">
        <v>1023</v>
      </c>
      <c r="G1050" s="48" t="s">
        <v>1024</v>
      </c>
      <c r="H1050" s="47" t="s">
        <v>1025</v>
      </c>
      <c r="I1050" s="47" t="s">
        <v>1026</v>
      </c>
      <c r="J1050" s="47" t="s">
        <v>26</v>
      </c>
    </row>
    <row r="1051" ht="54" customHeight="1" spans="1:10">
      <c r="A1051" s="48" t="s">
        <v>301</v>
      </c>
      <c r="B1051" s="48" t="s">
        <v>2459</v>
      </c>
      <c r="C1051" s="47" t="s">
        <v>1081</v>
      </c>
      <c r="D1051" s="48" t="s">
        <v>1082</v>
      </c>
      <c r="E1051" s="48" t="s">
        <v>1083</v>
      </c>
      <c r="F1051" s="48" t="s">
        <v>1084</v>
      </c>
      <c r="G1051" s="48" t="s">
        <v>1085</v>
      </c>
      <c r="H1051" s="47" t="s">
        <v>1086</v>
      </c>
      <c r="I1051" s="47" t="s">
        <v>1087</v>
      </c>
      <c r="J1051" s="47" t="s">
        <v>26</v>
      </c>
    </row>
    <row r="1052" ht="54" customHeight="1" spans="1:10">
      <c r="A1052" s="48" t="s">
        <v>301</v>
      </c>
      <c r="B1052" s="48" t="s">
        <v>2460</v>
      </c>
      <c r="C1052" s="47" t="s">
        <v>1089</v>
      </c>
      <c r="D1052" s="48" t="s">
        <v>957</v>
      </c>
      <c r="E1052" s="48" t="s">
        <v>958</v>
      </c>
      <c r="F1052" s="48" t="s">
        <v>1090</v>
      </c>
      <c r="G1052" s="48" t="s">
        <v>1091</v>
      </c>
      <c r="H1052" s="47" t="s">
        <v>1092</v>
      </c>
      <c r="I1052" s="47" t="s">
        <v>1093</v>
      </c>
      <c r="J1052" s="47" t="s">
        <v>26</v>
      </c>
    </row>
    <row r="1053" ht="54" customHeight="1" spans="1:10">
      <c r="A1053" s="48" t="s">
        <v>301</v>
      </c>
      <c r="B1053" s="48" t="s">
        <v>2461</v>
      </c>
      <c r="C1053" s="47" t="s">
        <v>1044</v>
      </c>
      <c r="D1053" s="48" t="s">
        <v>1045</v>
      </c>
      <c r="E1053" s="48" t="s">
        <v>1046</v>
      </c>
      <c r="F1053" s="48" t="s">
        <v>1047</v>
      </c>
      <c r="G1053" s="48" t="s">
        <v>1048</v>
      </c>
      <c r="H1053" s="47" t="s">
        <v>1049</v>
      </c>
      <c r="I1053" s="47" t="s">
        <v>1050</v>
      </c>
      <c r="J1053" s="47" t="s">
        <v>26</v>
      </c>
    </row>
    <row r="1054" ht="54" customHeight="1" spans="1:10">
      <c r="A1054" s="48" t="s">
        <v>301</v>
      </c>
      <c r="B1054" s="48" t="s">
        <v>2462</v>
      </c>
      <c r="C1054" s="47" t="s">
        <v>1097</v>
      </c>
      <c r="D1054" s="48" t="s">
        <v>1098</v>
      </c>
      <c r="E1054" s="48" t="s">
        <v>1099</v>
      </c>
      <c r="F1054" s="48" t="s">
        <v>1100</v>
      </c>
      <c r="G1054" s="48" t="s">
        <v>1101</v>
      </c>
      <c r="H1054" s="47" t="s">
        <v>1102</v>
      </c>
      <c r="I1054" s="47" t="s">
        <v>1103</v>
      </c>
      <c r="J1054" s="47" t="s">
        <v>26</v>
      </c>
    </row>
    <row r="1055" ht="54" customHeight="1" spans="1:10">
      <c r="A1055" s="48" t="s">
        <v>301</v>
      </c>
      <c r="B1055" s="48" t="s">
        <v>2463</v>
      </c>
      <c r="C1055" s="47" t="s">
        <v>1137</v>
      </c>
      <c r="D1055" s="48" t="s">
        <v>1138</v>
      </c>
      <c r="E1055" s="48" t="s">
        <v>1139</v>
      </c>
      <c r="F1055" s="48" t="s">
        <v>1140</v>
      </c>
      <c r="G1055" s="48" t="s">
        <v>1141</v>
      </c>
      <c r="H1055" s="47" t="s">
        <v>1142</v>
      </c>
      <c r="I1055" s="47" t="s">
        <v>940</v>
      </c>
      <c r="J1055" s="47" t="s">
        <v>26</v>
      </c>
    </row>
    <row r="1056" ht="54" customHeight="1" spans="1:10">
      <c r="A1056" s="48" t="s">
        <v>301</v>
      </c>
      <c r="B1056" s="48" t="s">
        <v>2464</v>
      </c>
      <c r="C1056" s="47" t="s">
        <v>1205</v>
      </c>
      <c r="D1056" s="48" t="s">
        <v>978</v>
      </c>
      <c r="E1056" s="48" t="s">
        <v>979</v>
      </c>
      <c r="F1056" s="48" t="s">
        <v>1206</v>
      </c>
      <c r="G1056" s="48" t="s">
        <v>1207</v>
      </c>
      <c r="H1056" s="47" t="s">
        <v>1208</v>
      </c>
      <c r="I1056" s="47" t="s">
        <v>1209</v>
      </c>
      <c r="J1056" s="47" t="s">
        <v>26</v>
      </c>
    </row>
    <row r="1057" ht="54" customHeight="1" spans="1:10">
      <c r="A1057" s="48" t="s">
        <v>301</v>
      </c>
      <c r="B1057" s="48" t="s">
        <v>2465</v>
      </c>
      <c r="C1057" s="47" t="s">
        <v>1145</v>
      </c>
      <c r="D1057" s="48" t="s">
        <v>1146</v>
      </c>
      <c r="E1057" s="48" t="s">
        <v>1147</v>
      </c>
      <c r="F1057" s="48" t="s">
        <v>1148</v>
      </c>
      <c r="G1057" s="48" t="s">
        <v>1149</v>
      </c>
      <c r="H1057" s="47" t="s">
        <v>1150</v>
      </c>
      <c r="I1057" s="47" t="s">
        <v>1151</v>
      </c>
      <c r="J1057" s="47" t="s">
        <v>26</v>
      </c>
    </row>
    <row r="1058" ht="54" customHeight="1" spans="1:10">
      <c r="A1058" s="48" t="s">
        <v>301</v>
      </c>
      <c r="B1058" s="48" t="s">
        <v>2466</v>
      </c>
      <c r="C1058" s="47" t="s">
        <v>1196</v>
      </c>
      <c r="D1058" s="48" t="s">
        <v>1118</v>
      </c>
      <c r="E1058" s="48" t="s">
        <v>1119</v>
      </c>
      <c r="F1058" s="48" t="s">
        <v>1197</v>
      </c>
      <c r="G1058" s="48" t="s">
        <v>1198</v>
      </c>
      <c r="H1058" s="47" t="s">
        <v>1199</v>
      </c>
      <c r="I1058" s="47" t="s">
        <v>1200</v>
      </c>
      <c r="J1058" s="47" t="s">
        <v>26</v>
      </c>
    </row>
    <row r="1059" ht="54" customHeight="1" spans="1:10">
      <c r="A1059" s="48" t="s">
        <v>303</v>
      </c>
      <c r="B1059" s="48" t="s">
        <v>2467</v>
      </c>
      <c r="C1059" s="47" t="s">
        <v>1534</v>
      </c>
      <c r="D1059" s="48" t="s">
        <v>935</v>
      </c>
      <c r="E1059" s="48" t="s">
        <v>936</v>
      </c>
      <c r="F1059" s="48" t="s">
        <v>1535</v>
      </c>
      <c r="G1059" s="48" t="s">
        <v>1536</v>
      </c>
      <c r="H1059" s="47" t="s">
        <v>1537</v>
      </c>
      <c r="I1059" s="47" t="s">
        <v>940</v>
      </c>
      <c r="J1059" s="47" t="s">
        <v>26</v>
      </c>
    </row>
    <row r="1060" ht="54" customHeight="1" spans="1:10">
      <c r="A1060" s="48" t="s">
        <v>303</v>
      </c>
      <c r="B1060" s="48" t="s">
        <v>2468</v>
      </c>
      <c r="C1060" s="47" t="s">
        <v>1008</v>
      </c>
      <c r="D1060" s="48" t="s">
        <v>1009</v>
      </c>
      <c r="E1060" s="48" t="s">
        <v>1010</v>
      </c>
      <c r="F1060" s="48" t="s">
        <v>1011</v>
      </c>
      <c r="G1060" s="48" t="s">
        <v>1012</v>
      </c>
      <c r="H1060" s="47" t="s">
        <v>1013</v>
      </c>
      <c r="I1060" s="47" t="s">
        <v>1014</v>
      </c>
      <c r="J1060" s="47" t="s">
        <v>26</v>
      </c>
    </row>
    <row r="1061" ht="54" customHeight="1" spans="1:10">
      <c r="A1061" s="48" t="s">
        <v>303</v>
      </c>
      <c r="B1061" s="48" t="s">
        <v>2469</v>
      </c>
      <c r="C1061" s="47" t="s">
        <v>1089</v>
      </c>
      <c r="D1061" s="48" t="s">
        <v>957</v>
      </c>
      <c r="E1061" s="48" t="s">
        <v>958</v>
      </c>
      <c r="F1061" s="48" t="s">
        <v>1090</v>
      </c>
      <c r="G1061" s="48" t="s">
        <v>1091</v>
      </c>
      <c r="H1061" s="47" t="s">
        <v>1092</v>
      </c>
      <c r="I1061" s="47" t="s">
        <v>1093</v>
      </c>
      <c r="J1061" s="47" t="s">
        <v>26</v>
      </c>
    </row>
    <row r="1062" ht="54" customHeight="1" spans="1:10">
      <c r="A1062" s="48" t="s">
        <v>303</v>
      </c>
      <c r="B1062" s="48" t="s">
        <v>2470</v>
      </c>
      <c r="C1062" s="47" t="s">
        <v>1097</v>
      </c>
      <c r="D1062" s="48" t="s">
        <v>1098</v>
      </c>
      <c r="E1062" s="48" t="s">
        <v>1099</v>
      </c>
      <c r="F1062" s="48" t="s">
        <v>1100</v>
      </c>
      <c r="G1062" s="48" t="s">
        <v>1101</v>
      </c>
      <c r="H1062" s="47" t="s">
        <v>1102</v>
      </c>
      <c r="I1062" s="47" t="s">
        <v>1103</v>
      </c>
      <c r="J1062" s="47" t="s">
        <v>26</v>
      </c>
    </row>
    <row r="1063" ht="54" customHeight="1" spans="1:10">
      <c r="A1063" s="48" t="s">
        <v>303</v>
      </c>
      <c r="B1063" s="48" t="s">
        <v>2471</v>
      </c>
      <c r="C1063" s="47" t="s">
        <v>1066</v>
      </c>
      <c r="D1063" s="48" t="s">
        <v>935</v>
      </c>
      <c r="E1063" s="48" t="s">
        <v>936</v>
      </c>
      <c r="F1063" s="48" t="s">
        <v>1067</v>
      </c>
      <c r="G1063" s="48" t="s">
        <v>1068</v>
      </c>
      <c r="H1063" s="47" t="s">
        <v>1069</v>
      </c>
      <c r="I1063" s="47" t="s">
        <v>940</v>
      </c>
      <c r="J1063" s="47" t="s">
        <v>26</v>
      </c>
    </row>
    <row r="1064" ht="54" customHeight="1" spans="1:10">
      <c r="A1064" s="48" t="s">
        <v>303</v>
      </c>
      <c r="B1064" s="48" t="s">
        <v>2472</v>
      </c>
      <c r="C1064" s="47" t="s">
        <v>1545</v>
      </c>
      <c r="D1064" s="48" t="s">
        <v>1138</v>
      </c>
      <c r="E1064" s="48" t="s">
        <v>1139</v>
      </c>
      <c r="F1064" s="48" t="s">
        <v>1546</v>
      </c>
      <c r="G1064" s="48" t="s">
        <v>1547</v>
      </c>
      <c r="H1064" s="47" t="s">
        <v>1548</v>
      </c>
      <c r="I1064" s="47" t="s">
        <v>940</v>
      </c>
      <c r="J1064" s="47" t="s">
        <v>26</v>
      </c>
    </row>
    <row r="1065" ht="54" customHeight="1" spans="1:10">
      <c r="A1065" s="48" t="s">
        <v>303</v>
      </c>
      <c r="B1065" s="48" t="s">
        <v>2473</v>
      </c>
      <c r="C1065" s="47" t="s">
        <v>1137</v>
      </c>
      <c r="D1065" s="48" t="s">
        <v>1138</v>
      </c>
      <c r="E1065" s="48" t="s">
        <v>1139</v>
      </c>
      <c r="F1065" s="48" t="s">
        <v>1140</v>
      </c>
      <c r="G1065" s="48" t="s">
        <v>1141</v>
      </c>
      <c r="H1065" s="47" t="s">
        <v>1142</v>
      </c>
      <c r="I1065" s="47" t="s">
        <v>940</v>
      </c>
      <c r="J1065" s="47" t="s">
        <v>26</v>
      </c>
    </row>
    <row r="1066" ht="54" customHeight="1" spans="1:10">
      <c r="A1066" s="48" t="s">
        <v>303</v>
      </c>
      <c r="B1066" s="48" t="s">
        <v>2474</v>
      </c>
      <c r="C1066" s="47" t="s">
        <v>971</v>
      </c>
      <c r="D1066" s="48" t="s">
        <v>965</v>
      </c>
      <c r="E1066" s="48" t="s">
        <v>966</v>
      </c>
      <c r="F1066" s="48" t="s">
        <v>972</v>
      </c>
      <c r="G1066" s="48" t="s">
        <v>973</v>
      </c>
      <c r="H1066" s="47" t="s">
        <v>974</v>
      </c>
      <c r="I1066" s="47" t="s">
        <v>975</v>
      </c>
      <c r="J1066" s="47" t="s">
        <v>26</v>
      </c>
    </row>
    <row r="1067" ht="54" customHeight="1" spans="1:10">
      <c r="A1067" s="48" t="s">
        <v>305</v>
      </c>
      <c r="B1067" s="48" t="s">
        <v>2475</v>
      </c>
      <c r="C1067" s="47" t="s">
        <v>1534</v>
      </c>
      <c r="D1067" s="48" t="s">
        <v>935</v>
      </c>
      <c r="E1067" s="48" t="s">
        <v>936</v>
      </c>
      <c r="F1067" s="48" t="s">
        <v>1535</v>
      </c>
      <c r="G1067" s="48" t="s">
        <v>1536</v>
      </c>
      <c r="H1067" s="47" t="s">
        <v>1537</v>
      </c>
      <c r="I1067" s="47" t="s">
        <v>940</v>
      </c>
      <c r="J1067" s="47" t="s">
        <v>26</v>
      </c>
    </row>
    <row r="1068" ht="54" customHeight="1" spans="1:10">
      <c r="A1068" s="48" t="s">
        <v>305</v>
      </c>
      <c r="B1068" s="48" t="s">
        <v>2476</v>
      </c>
      <c r="C1068" s="47" t="s">
        <v>1089</v>
      </c>
      <c r="D1068" s="48" t="s">
        <v>957</v>
      </c>
      <c r="E1068" s="48" t="s">
        <v>958</v>
      </c>
      <c r="F1068" s="48" t="s">
        <v>1090</v>
      </c>
      <c r="G1068" s="48" t="s">
        <v>1091</v>
      </c>
      <c r="H1068" s="47" t="s">
        <v>1092</v>
      </c>
      <c r="I1068" s="47" t="s">
        <v>1093</v>
      </c>
      <c r="J1068" s="47" t="s">
        <v>26</v>
      </c>
    </row>
    <row r="1069" ht="54" customHeight="1" spans="1:10">
      <c r="A1069" s="48" t="s">
        <v>305</v>
      </c>
      <c r="B1069" s="48" t="s">
        <v>2477</v>
      </c>
      <c r="C1069" s="47" t="s">
        <v>1097</v>
      </c>
      <c r="D1069" s="48" t="s">
        <v>1098</v>
      </c>
      <c r="E1069" s="48" t="s">
        <v>1099</v>
      </c>
      <c r="F1069" s="48" t="s">
        <v>1100</v>
      </c>
      <c r="G1069" s="48" t="s">
        <v>1101</v>
      </c>
      <c r="H1069" s="47" t="s">
        <v>1102</v>
      </c>
      <c r="I1069" s="47" t="s">
        <v>1103</v>
      </c>
      <c r="J1069" s="47" t="s">
        <v>26</v>
      </c>
    </row>
    <row r="1070" ht="54" customHeight="1" spans="1:10">
      <c r="A1070" s="48" t="s">
        <v>305</v>
      </c>
      <c r="B1070" s="48" t="s">
        <v>2478</v>
      </c>
      <c r="C1070" s="47" t="s">
        <v>1066</v>
      </c>
      <c r="D1070" s="48" t="s">
        <v>935</v>
      </c>
      <c r="E1070" s="48" t="s">
        <v>936</v>
      </c>
      <c r="F1070" s="48" t="s">
        <v>1067</v>
      </c>
      <c r="G1070" s="48" t="s">
        <v>1068</v>
      </c>
      <c r="H1070" s="47" t="s">
        <v>1069</v>
      </c>
      <c r="I1070" s="47" t="s">
        <v>940</v>
      </c>
      <c r="J1070" s="47" t="s">
        <v>26</v>
      </c>
    </row>
    <row r="1071" ht="54" customHeight="1" spans="1:10">
      <c r="A1071" s="48" t="s">
        <v>307</v>
      </c>
      <c r="B1071" s="48" t="s">
        <v>2479</v>
      </c>
      <c r="C1071" s="47" t="s">
        <v>1008</v>
      </c>
      <c r="D1071" s="48" t="s">
        <v>1009</v>
      </c>
      <c r="E1071" s="48" t="s">
        <v>1010</v>
      </c>
      <c r="F1071" s="48" t="s">
        <v>1011</v>
      </c>
      <c r="G1071" s="48" t="s">
        <v>1012</v>
      </c>
      <c r="H1071" s="47" t="s">
        <v>1013</v>
      </c>
      <c r="I1071" s="47" t="s">
        <v>1014</v>
      </c>
      <c r="J1071" s="47" t="s">
        <v>26</v>
      </c>
    </row>
    <row r="1072" ht="54" customHeight="1" spans="1:10">
      <c r="A1072" s="48" t="s">
        <v>307</v>
      </c>
      <c r="B1072" s="48" t="s">
        <v>2480</v>
      </c>
      <c r="C1072" s="47" t="s">
        <v>1089</v>
      </c>
      <c r="D1072" s="48" t="s">
        <v>957</v>
      </c>
      <c r="E1072" s="48" t="s">
        <v>958</v>
      </c>
      <c r="F1072" s="48" t="s">
        <v>1090</v>
      </c>
      <c r="G1072" s="48" t="s">
        <v>1091</v>
      </c>
      <c r="H1072" s="47" t="s">
        <v>1092</v>
      </c>
      <c r="I1072" s="47" t="s">
        <v>1093</v>
      </c>
      <c r="J1072" s="47" t="s">
        <v>26</v>
      </c>
    </row>
    <row r="1073" ht="54" customHeight="1" spans="1:10">
      <c r="A1073" s="48" t="s">
        <v>307</v>
      </c>
      <c r="B1073" s="48" t="s">
        <v>2481</v>
      </c>
      <c r="C1073" s="47" t="s">
        <v>956</v>
      </c>
      <c r="D1073" s="48" t="s">
        <v>957</v>
      </c>
      <c r="E1073" s="48" t="s">
        <v>958</v>
      </c>
      <c r="F1073" s="48" t="s">
        <v>959</v>
      </c>
      <c r="G1073" s="48" t="s">
        <v>960</v>
      </c>
      <c r="H1073" s="47" t="s">
        <v>961</v>
      </c>
      <c r="I1073" s="47" t="s">
        <v>962</v>
      </c>
      <c r="J1073" s="47" t="s">
        <v>26</v>
      </c>
    </row>
    <row r="1074" ht="54" customHeight="1" spans="1:10">
      <c r="A1074" s="48" t="s">
        <v>307</v>
      </c>
      <c r="B1074" s="48" t="s">
        <v>2482</v>
      </c>
      <c r="C1074" s="47" t="s">
        <v>1097</v>
      </c>
      <c r="D1074" s="48" t="s">
        <v>1098</v>
      </c>
      <c r="E1074" s="48" t="s">
        <v>1099</v>
      </c>
      <c r="F1074" s="48" t="s">
        <v>1100</v>
      </c>
      <c r="G1074" s="48" t="s">
        <v>1101</v>
      </c>
      <c r="H1074" s="47" t="s">
        <v>1102</v>
      </c>
      <c r="I1074" s="47" t="s">
        <v>1103</v>
      </c>
      <c r="J1074" s="47" t="s">
        <v>26</v>
      </c>
    </row>
    <row r="1075" ht="54" customHeight="1" spans="1:10">
      <c r="A1075" s="48" t="s">
        <v>307</v>
      </c>
      <c r="B1075" s="48" t="s">
        <v>2483</v>
      </c>
      <c r="C1075" s="47" t="s">
        <v>1375</v>
      </c>
      <c r="D1075" s="48" t="s">
        <v>1098</v>
      </c>
      <c r="E1075" s="48" t="s">
        <v>1099</v>
      </c>
      <c r="F1075" s="48" t="s">
        <v>1376</v>
      </c>
      <c r="G1075" s="48" t="s">
        <v>1377</v>
      </c>
      <c r="H1075" s="47" t="s">
        <v>1378</v>
      </c>
      <c r="I1075" s="47" t="s">
        <v>1379</v>
      </c>
      <c r="J1075" s="47" t="s">
        <v>26</v>
      </c>
    </row>
    <row r="1076" ht="54" customHeight="1" spans="1:10">
      <c r="A1076" s="48" t="s">
        <v>307</v>
      </c>
      <c r="B1076" s="48" t="s">
        <v>2484</v>
      </c>
      <c r="C1076" s="47" t="s">
        <v>1137</v>
      </c>
      <c r="D1076" s="48" t="s">
        <v>1138</v>
      </c>
      <c r="E1076" s="48" t="s">
        <v>1139</v>
      </c>
      <c r="F1076" s="48" t="s">
        <v>1140</v>
      </c>
      <c r="G1076" s="48" t="s">
        <v>1141</v>
      </c>
      <c r="H1076" s="47" t="s">
        <v>1142</v>
      </c>
      <c r="I1076" s="47" t="s">
        <v>940</v>
      </c>
      <c r="J1076" s="47" t="s">
        <v>26</v>
      </c>
    </row>
    <row r="1077" ht="54" customHeight="1" spans="1:10">
      <c r="A1077" s="48" t="s">
        <v>307</v>
      </c>
      <c r="B1077" s="48" t="s">
        <v>2485</v>
      </c>
      <c r="C1077" s="47" t="s">
        <v>971</v>
      </c>
      <c r="D1077" s="48" t="s">
        <v>965</v>
      </c>
      <c r="E1077" s="48" t="s">
        <v>966</v>
      </c>
      <c r="F1077" s="48" t="s">
        <v>972</v>
      </c>
      <c r="G1077" s="48" t="s">
        <v>973</v>
      </c>
      <c r="H1077" s="47" t="s">
        <v>974</v>
      </c>
      <c r="I1077" s="47" t="s">
        <v>975</v>
      </c>
      <c r="J1077" s="47" t="s">
        <v>26</v>
      </c>
    </row>
    <row r="1078" ht="54" customHeight="1" spans="1:10">
      <c r="A1078" s="48" t="s">
        <v>307</v>
      </c>
      <c r="B1078" s="48" t="s">
        <v>2486</v>
      </c>
      <c r="C1078" s="47" t="s">
        <v>1291</v>
      </c>
      <c r="D1078" s="48" t="s">
        <v>965</v>
      </c>
      <c r="E1078" s="48" t="s">
        <v>966</v>
      </c>
      <c r="F1078" s="48" t="s">
        <v>1292</v>
      </c>
      <c r="G1078" s="48" t="s">
        <v>1293</v>
      </c>
      <c r="H1078" s="47" t="s">
        <v>1294</v>
      </c>
      <c r="I1078" s="47" t="s">
        <v>1295</v>
      </c>
      <c r="J1078" s="47" t="s">
        <v>26</v>
      </c>
    </row>
    <row r="1079" ht="54" customHeight="1" spans="1:10">
      <c r="A1079" s="48" t="s">
        <v>309</v>
      </c>
      <c r="B1079" s="48" t="s">
        <v>2487</v>
      </c>
      <c r="C1079" s="47" t="s">
        <v>1022</v>
      </c>
      <c r="D1079" s="48" t="s">
        <v>957</v>
      </c>
      <c r="E1079" s="48" t="s">
        <v>958</v>
      </c>
      <c r="F1079" s="48" t="s">
        <v>1023</v>
      </c>
      <c r="G1079" s="48" t="s">
        <v>1024</v>
      </c>
      <c r="H1079" s="47" t="s">
        <v>1025</v>
      </c>
      <c r="I1079" s="47" t="s">
        <v>1026</v>
      </c>
      <c r="J1079" s="47" t="s">
        <v>26</v>
      </c>
    </row>
    <row r="1080" ht="54" customHeight="1" spans="1:10">
      <c r="A1080" s="48" t="s">
        <v>309</v>
      </c>
      <c r="B1080" s="48" t="s">
        <v>2488</v>
      </c>
      <c r="C1080" s="47" t="s">
        <v>956</v>
      </c>
      <c r="D1080" s="48" t="s">
        <v>957</v>
      </c>
      <c r="E1080" s="48" t="s">
        <v>958</v>
      </c>
      <c r="F1080" s="48" t="s">
        <v>959</v>
      </c>
      <c r="G1080" s="48" t="s">
        <v>960</v>
      </c>
      <c r="H1080" s="47" t="s">
        <v>961</v>
      </c>
      <c r="I1080" s="47" t="s">
        <v>962</v>
      </c>
      <c r="J1080" s="47" t="s">
        <v>26</v>
      </c>
    </row>
    <row r="1081" ht="54" customHeight="1" spans="1:10">
      <c r="A1081" s="48" t="s">
        <v>309</v>
      </c>
      <c r="B1081" s="48" t="s">
        <v>2489</v>
      </c>
      <c r="C1081" s="47" t="s">
        <v>1036</v>
      </c>
      <c r="D1081" s="48" t="s">
        <v>1037</v>
      </c>
      <c r="E1081" s="48" t="s">
        <v>1038</v>
      </c>
      <c r="F1081" s="48" t="s">
        <v>1039</v>
      </c>
      <c r="G1081" s="48" t="s">
        <v>1040</v>
      </c>
      <c r="H1081" s="47" t="s">
        <v>1041</v>
      </c>
      <c r="I1081" s="47" t="s">
        <v>1042</v>
      </c>
      <c r="J1081" s="47" t="s">
        <v>26</v>
      </c>
    </row>
    <row r="1082" ht="54" customHeight="1" spans="1:10">
      <c r="A1082" s="48" t="s">
        <v>309</v>
      </c>
      <c r="B1082" s="48" t="s">
        <v>2490</v>
      </c>
      <c r="C1082" s="47" t="s">
        <v>1066</v>
      </c>
      <c r="D1082" s="48" t="s">
        <v>935</v>
      </c>
      <c r="E1082" s="48" t="s">
        <v>936</v>
      </c>
      <c r="F1082" s="48" t="s">
        <v>1067</v>
      </c>
      <c r="G1082" s="48" t="s">
        <v>1068</v>
      </c>
      <c r="H1082" s="47" t="s">
        <v>1069</v>
      </c>
      <c r="I1082" s="47" t="s">
        <v>940</v>
      </c>
      <c r="J1082" s="47" t="s">
        <v>26</v>
      </c>
    </row>
    <row r="1083" ht="54" customHeight="1" spans="1:10">
      <c r="A1083" s="48" t="s">
        <v>309</v>
      </c>
      <c r="B1083" s="48" t="s">
        <v>2491</v>
      </c>
      <c r="C1083" s="47" t="s">
        <v>1117</v>
      </c>
      <c r="D1083" s="48" t="s">
        <v>1118</v>
      </c>
      <c r="E1083" s="48" t="s">
        <v>1119</v>
      </c>
      <c r="F1083" s="48" t="s">
        <v>1120</v>
      </c>
      <c r="G1083" s="48" t="s">
        <v>1121</v>
      </c>
      <c r="H1083" s="47" t="s">
        <v>1122</v>
      </c>
      <c r="I1083" s="47" t="s">
        <v>1123</v>
      </c>
      <c r="J1083" s="47" t="s">
        <v>26</v>
      </c>
    </row>
    <row r="1084" ht="54" customHeight="1" spans="1:10">
      <c r="A1084" s="48" t="s">
        <v>309</v>
      </c>
      <c r="B1084" s="48" t="s">
        <v>2492</v>
      </c>
      <c r="C1084" s="47" t="s">
        <v>1131</v>
      </c>
      <c r="D1084" s="48" t="s">
        <v>993</v>
      </c>
      <c r="E1084" s="48" t="s">
        <v>994</v>
      </c>
      <c r="F1084" s="48" t="s">
        <v>1132</v>
      </c>
      <c r="G1084" s="48" t="s">
        <v>1133</v>
      </c>
      <c r="H1084" s="47" t="s">
        <v>1134</v>
      </c>
      <c r="I1084" s="47" t="s">
        <v>1135</v>
      </c>
      <c r="J1084" s="47" t="s">
        <v>26</v>
      </c>
    </row>
    <row r="1085" ht="54" customHeight="1" spans="1:10">
      <c r="A1085" s="48" t="s">
        <v>309</v>
      </c>
      <c r="B1085" s="48" t="s">
        <v>2493</v>
      </c>
      <c r="C1085" s="47" t="s">
        <v>1137</v>
      </c>
      <c r="D1085" s="48" t="s">
        <v>1138</v>
      </c>
      <c r="E1085" s="48" t="s">
        <v>1139</v>
      </c>
      <c r="F1085" s="48" t="s">
        <v>1140</v>
      </c>
      <c r="G1085" s="48" t="s">
        <v>1141</v>
      </c>
      <c r="H1085" s="47" t="s">
        <v>1142</v>
      </c>
      <c r="I1085" s="47" t="s">
        <v>940</v>
      </c>
      <c r="J1085" s="47" t="s">
        <v>26</v>
      </c>
    </row>
    <row r="1086" ht="54" customHeight="1" spans="1:10">
      <c r="A1086" s="48" t="s">
        <v>309</v>
      </c>
      <c r="B1086" s="48" t="s">
        <v>2494</v>
      </c>
      <c r="C1086" s="47" t="s">
        <v>971</v>
      </c>
      <c r="D1086" s="48" t="s">
        <v>965</v>
      </c>
      <c r="E1086" s="48" t="s">
        <v>966</v>
      </c>
      <c r="F1086" s="48" t="s">
        <v>972</v>
      </c>
      <c r="G1086" s="48" t="s">
        <v>973</v>
      </c>
      <c r="H1086" s="47" t="s">
        <v>974</v>
      </c>
      <c r="I1086" s="47" t="s">
        <v>975</v>
      </c>
      <c r="J1086" s="47" t="s">
        <v>26</v>
      </c>
    </row>
    <row r="1087" ht="54" customHeight="1" spans="1:10">
      <c r="A1087" s="48" t="s">
        <v>311</v>
      </c>
      <c r="B1087" s="48" t="s">
        <v>2495</v>
      </c>
      <c r="C1087" s="47" t="s">
        <v>934</v>
      </c>
      <c r="D1087" s="48" t="s">
        <v>935</v>
      </c>
      <c r="E1087" s="48" t="s">
        <v>936</v>
      </c>
      <c r="F1087" s="48" t="s">
        <v>937</v>
      </c>
      <c r="G1087" s="48" t="s">
        <v>938</v>
      </c>
      <c r="H1087" s="47" t="s">
        <v>939</v>
      </c>
      <c r="I1087" s="47" t="s">
        <v>940</v>
      </c>
      <c r="J1087" s="47" t="s">
        <v>26</v>
      </c>
    </row>
    <row r="1088" ht="54" customHeight="1" spans="1:10">
      <c r="A1088" s="48" t="s">
        <v>311</v>
      </c>
      <c r="B1088" s="48" t="s">
        <v>2496</v>
      </c>
      <c r="C1088" s="47" t="s">
        <v>1089</v>
      </c>
      <c r="D1088" s="48" t="s">
        <v>957</v>
      </c>
      <c r="E1088" s="48" t="s">
        <v>958</v>
      </c>
      <c r="F1088" s="48" t="s">
        <v>1090</v>
      </c>
      <c r="G1088" s="48" t="s">
        <v>1091</v>
      </c>
      <c r="H1088" s="47" t="s">
        <v>1092</v>
      </c>
      <c r="I1088" s="47" t="s">
        <v>1093</v>
      </c>
      <c r="J1088" s="47" t="s">
        <v>26</v>
      </c>
    </row>
    <row r="1089" ht="54" customHeight="1" spans="1:10">
      <c r="A1089" s="48" t="s">
        <v>311</v>
      </c>
      <c r="B1089" s="48" t="s">
        <v>2497</v>
      </c>
      <c r="C1089" s="47" t="s">
        <v>1036</v>
      </c>
      <c r="D1089" s="48" t="s">
        <v>1037</v>
      </c>
      <c r="E1089" s="48" t="s">
        <v>1038</v>
      </c>
      <c r="F1089" s="48" t="s">
        <v>1039</v>
      </c>
      <c r="G1089" s="48" t="s">
        <v>1040</v>
      </c>
      <c r="H1089" s="47" t="s">
        <v>1041</v>
      </c>
      <c r="I1089" s="47" t="s">
        <v>1042</v>
      </c>
      <c r="J1089" s="47" t="s">
        <v>26</v>
      </c>
    </row>
    <row r="1090" ht="54" customHeight="1" spans="1:10">
      <c r="A1090" s="48" t="s">
        <v>311</v>
      </c>
      <c r="B1090" s="48" t="s">
        <v>2498</v>
      </c>
      <c r="C1090" s="47" t="s">
        <v>1066</v>
      </c>
      <c r="D1090" s="48" t="s">
        <v>935</v>
      </c>
      <c r="E1090" s="48" t="s">
        <v>936</v>
      </c>
      <c r="F1090" s="48" t="s">
        <v>1067</v>
      </c>
      <c r="G1090" s="48" t="s">
        <v>1068</v>
      </c>
      <c r="H1090" s="47" t="s">
        <v>1069</v>
      </c>
      <c r="I1090" s="47" t="s">
        <v>940</v>
      </c>
      <c r="J1090" s="47" t="s">
        <v>26</v>
      </c>
    </row>
    <row r="1091" ht="54" customHeight="1" spans="1:10">
      <c r="A1091" s="48" t="s">
        <v>311</v>
      </c>
      <c r="B1091" s="48" t="s">
        <v>2499</v>
      </c>
      <c r="C1091" s="47" t="s">
        <v>1117</v>
      </c>
      <c r="D1091" s="48" t="s">
        <v>1118</v>
      </c>
      <c r="E1091" s="48" t="s">
        <v>1119</v>
      </c>
      <c r="F1091" s="48" t="s">
        <v>1120</v>
      </c>
      <c r="G1091" s="48" t="s">
        <v>1121</v>
      </c>
      <c r="H1091" s="47" t="s">
        <v>1122</v>
      </c>
      <c r="I1091" s="47" t="s">
        <v>1123</v>
      </c>
      <c r="J1091" s="47" t="s">
        <v>26</v>
      </c>
    </row>
    <row r="1092" ht="54" customHeight="1" spans="1:10">
      <c r="A1092" s="48" t="s">
        <v>311</v>
      </c>
      <c r="B1092" s="48" t="s">
        <v>2500</v>
      </c>
      <c r="C1092" s="47" t="s">
        <v>1145</v>
      </c>
      <c r="D1092" s="48" t="s">
        <v>1146</v>
      </c>
      <c r="E1092" s="48" t="s">
        <v>1147</v>
      </c>
      <c r="F1092" s="48" t="s">
        <v>1148</v>
      </c>
      <c r="G1092" s="48" t="s">
        <v>1149</v>
      </c>
      <c r="H1092" s="47" t="s">
        <v>1150</v>
      </c>
      <c r="I1092" s="47" t="s">
        <v>1151</v>
      </c>
      <c r="J1092" s="47" t="s">
        <v>26</v>
      </c>
    </row>
    <row r="1093" ht="54" customHeight="1" spans="1:10">
      <c r="A1093" s="48" t="s">
        <v>311</v>
      </c>
      <c r="B1093" s="48" t="s">
        <v>2501</v>
      </c>
      <c r="C1093" s="47" t="s">
        <v>1245</v>
      </c>
      <c r="D1093" s="48" t="s">
        <v>1171</v>
      </c>
      <c r="E1093" s="48" t="s">
        <v>1172</v>
      </c>
      <c r="F1093" s="48" t="s">
        <v>1246</v>
      </c>
      <c r="G1093" s="48" t="s">
        <v>1247</v>
      </c>
      <c r="H1093" s="47" t="s">
        <v>1248</v>
      </c>
      <c r="I1093" s="47" t="s">
        <v>1176</v>
      </c>
      <c r="J1093" s="47" t="s">
        <v>26</v>
      </c>
    </row>
    <row r="1094" ht="54" customHeight="1" spans="1:10">
      <c r="A1094" s="48" t="s">
        <v>311</v>
      </c>
      <c r="B1094" s="48" t="s">
        <v>2502</v>
      </c>
      <c r="C1094" s="47" t="s">
        <v>1196</v>
      </c>
      <c r="D1094" s="48" t="s">
        <v>1118</v>
      </c>
      <c r="E1094" s="48" t="s">
        <v>1119</v>
      </c>
      <c r="F1094" s="48" t="s">
        <v>1197</v>
      </c>
      <c r="G1094" s="48" t="s">
        <v>1198</v>
      </c>
      <c r="H1094" s="47" t="s">
        <v>1199</v>
      </c>
      <c r="I1094" s="47" t="s">
        <v>1200</v>
      </c>
      <c r="J1094" s="47" t="s">
        <v>26</v>
      </c>
    </row>
    <row r="1095" ht="54" customHeight="1" spans="1:10">
      <c r="A1095" s="48" t="s">
        <v>313</v>
      </c>
      <c r="B1095" s="48" t="s">
        <v>2503</v>
      </c>
      <c r="C1095" s="47" t="s">
        <v>1480</v>
      </c>
      <c r="D1095" s="48" t="s">
        <v>1001</v>
      </c>
      <c r="E1095" s="48" t="s">
        <v>1002</v>
      </c>
      <c r="F1095" s="48" t="s">
        <v>1481</v>
      </c>
      <c r="G1095" s="48" t="s">
        <v>1482</v>
      </c>
      <c r="H1095" s="47" t="s">
        <v>1483</v>
      </c>
      <c r="I1095" s="47" t="s">
        <v>1484</v>
      </c>
      <c r="J1095" s="47" t="s">
        <v>26</v>
      </c>
    </row>
    <row r="1096" ht="54" customHeight="1" spans="1:10">
      <c r="A1096" s="48" t="s">
        <v>313</v>
      </c>
      <c r="B1096" s="48" t="s">
        <v>2504</v>
      </c>
      <c r="C1096" s="47" t="s">
        <v>1459</v>
      </c>
      <c r="D1096" s="48" t="s">
        <v>957</v>
      </c>
      <c r="E1096" s="48" t="s">
        <v>958</v>
      </c>
      <c r="F1096" s="48" t="s">
        <v>1460</v>
      </c>
      <c r="G1096" s="48" t="s">
        <v>1461</v>
      </c>
      <c r="H1096" s="47" t="s">
        <v>1462</v>
      </c>
      <c r="I1096" s="47" t="s">
        <v>1463</v>
      </c>
      <c r="J1096" s="47" t="s">
        <v>26</v>
      </c>
    </row>
    <row r="1097" ht="54" customHeight="1" spans="1:10">
      <c r="A1097" s="48" t="s">
        <v>313</v>
      </c>
      <c r="B1097" s="48" t="s">
        <v>2505</v>
      </c>
      <c r="C1097" s="47" t="s">
        <v>956</v>
      </c>
      <c r="D1097" s="48" t="s">
        <v>957</v>
      </c>
      <c r="E1097" s="48" t="s">
        <v>958</v>
      </c>
      <c r="F1097" s="48" t="s">
        <v>959</v>
      </c>
      <c r="G1097" s="48" t="s">
        <v>960</v>
      </c>
      <c r="H1097" s="47" t="s">
        <v>961</v>
      </c>
      <c r="I1097" s="47" t="s">
        <v>962</v>
      </c>
      <c r="J1097" s="47" t="s">
        <v>26</v>
      </c>
    </row>
    <row r="1098" ht="54" customHeight="1" spans="1:10">
      <c r="A1098" s="48" t="s">
        <v>313</v>
      </c>
      <c r="B1098" s="48" t="s">
        <v>2506</v>
      </c>
      <c r="C1098" s="47" t="s">
        <v>1105</v>
      </c>
      <c r="D1098" s="48" t="s">
        <v>1009</v>
      </c>
      <c r="E1098" s="48" t="s">
        <v>1010</v>
      </c>
      <c r="F1098" s="48" t="s">
        <v>1106</v>
      </c>
      <c r="G1098" s="48" t="s">
        <v>1107</v>
      </c>
      <c r="H1098" s="47" t="s">
        <v>1108</v>
      </c>
      <c r="I1098" s="47" t="s">
        <v>1109</v>
      </c>
      <c r="J1098" s="47" t="s">
        <v>26</v>
      </c>
    </row>
    <row r="1099" ht="54" customHeight="1" spans="1:10">
      <c r="A1099" s="48" t="s">
        <v>313</v>
      </c>
      <c r="B1099" s="48" t="s">
        <v>2507</v>
      </c>
      <c r="C1099" s="47" t="s">
        <v>1767</v>
      </c>
      <c r="D1099" s="48" t="s">
        <v>957</v>
      </c>
      <c r="E1099" s="48" t="s">
        <v>958</v>
      </c>
      <c r="F1099" s="48" t="s">
        <v>1768</v>
      </c>
      <c r="G1099" s="48" t="s">
        <v>1769</v>
      </c>
      <c r="H1099" s="47" t="s">
        <v>1770</v>
      </c>
      <c r="I1099" s="47" t="s">
        <v>1771</v>
      </c>
      <c r="J1099" s="47" t="s">
        <v>26</v>
      </c>
    </row>
    <row r="1100" ht="54" customHeight="1" spans="1:10">
      <c r="A1100" s="48" t="s">
        <v>313</v>
      </c>
      <c r="B1100" s="48" t="s">
        <v>2508</v>
      </c>
      <c r="C1100" s="47" t="s">
        <v>1097</v>
      </c>
      <c r="D1100" s="48" t="s">
        <v>1098</v>
      </c>
      <c r="E1100" s="48" t="s">
        <v>1099</v>
      </c>
      <c r="F1100" s="48" t="s">
        <v>1100</v>
      </c>
      <c r="G1100" s="48" t="s">
        <v>1101</v>
      </c>
      <c r="H1100" s="47" t="s">
        <v>1102</v>
      </c>
      <c r="I1100" s="47" t="s">
        <v>1103</v>
      </c>
      <c r="J1100" s="47" t="s">
        <v>26</v>
      </c>
    </row>
    <row r="1101" ht="54" customHeight="1" spans="1:10">
      <c r="A1101" s="48" t="s">
        <v>313</v>
      </c>
      <c r="B1101" s="48" t="s">
        <v>2509</v>
      </c>
      <c r="C1101" s="47" t="s">
        <v>1388</v>
      </c>
      <c r="D1101" s="48" t="s">
        <v>1037</v>
      </c>
      <c r="E1101" s="48" t="s">
        <v>1038</v>
      </c>
      <c r="F1101" s="48" t="s">
        <v>1389</v>
      </c>
      <c r="G1101" s="48" t="s">
        <v>1390</v>
      </c>
      <c r="H1101" s="47" t="s">
        <v>1391</v>
      </c>
      <c r="I1101" s="47" t="s">
        <v>1392</v>
      </c>
      <c r="J1101" s="47" t="s">
        <v>26</v>
      </c>
    </row>
    <row r="1102" ht="54" customHeight="1" spans="1:10">
      <c r="A1102" s="48" t="s">
        <v>313</v>
      </c>
      <c r="B1102" s="48" t="s">
        <v>2510</v>
      </c>
      <c r="C1102" s="47" t="s">
        <v>1285</v>
      </c>
      <c r="D1102" s="48" t="s">
        <v>965</v>
      </c>
      <c r="E1102" s="48" t="s">
        <v>966</v>
      </c>
      <c r="F1102" s="48" t="s">
        <v>1286</v>
      </c>
      <c r="G1102" s="48" t="s">
        <v>1287</v>
      </c>
      <c r="H1102" s="47" t="s">
        <v>1288</v>
      </c>
      <c r="I1102" s="47" t="s">
        <v>1289</v>
      </c>
      <c r="J1102" s="47" t="s">
        <v>26</v>
      </c>
    </row>
    <row r="1103" ht="54" customHeight="1" spans="1:10">
      <c r="A1103" s="48" t="s">
        <v>315</v>
      </c>
      <c r="B1103" s="48" t="s">
        <v>2511</v>
      </c>
      <c r="C1103" s="47" t="s">
        <v>956</v>
      </c>
      <c r="D1103" s="48" t="s">
        <v>957</v>
      </c>
      <c r="E1103" s="48" t="s">
        <v>958</v>
      </c>
      <c r="F1103" s="48" t="s">
        <v>959</v>
      </c>
      <c r="G1103" s="48" t="s">
        <v>960</v>
      </c>
      <c r="H1103" s="47" t="s">
        <v>961</v>
      </c>
      <c r="I1103" s="47" t="s">
        <v>962</v>
      </c>
      <c r="J1103" s="47" t="s">
        <v>26</v>
      </c>
    </row>
    <row r="1104" ht="54" customHeight="1" spans="1:10">
      <c r="A1104" s="48" t="s">
        <v>315</v>
      </c>
      <c r="B1104" s="48" t="s">
        <v>2512</v>
      </c>
      <c r="C1104" s="47" t="s">
        <v>1105</v>
      </c>
      <c r="D1104" s="48" t="s">
        <v>1009</v>
      </c>
      <c r="E1104" s="48" t="s">
        <v>1010</v>
      </c>
      <c r="F1104" s="48" t="s">
        <v>1106</v>
      </c>
      <c r="G1104" s="48" t="s">
        <v>1107</v>
      </c>
      <c r="H1104" s="47" t="s">
        <v>1108</v>
      </c>
      <c r="I1104" s="47" t="s">
        <v>1109</v>
      </c>
      <c r="J1104" s="47" t="s">
        <v>26</v>
      </c>
    </row>
    <row r="1105" ht="54" customHeight="1" spans="1:10">
      <c r="A1105" s="48" t="s">
        <v>315</v>
      </c>
      <c r="B1105" s="48" t="s">
        <v>2513</v>
      </c>
      <c r="C1105" s="47" t="s">
        <v>1375</v>
      </c>
      <c r="D1105" s="48" t="s">
        <v>1098</v>
      </c>
      <c r="E1105" s="48" t="s">
        <v>1099</v>
      </c>
      <c r="F1105" s="48" t="s">
        <v>1376</v>
      </c>
      <c r="G1105" s="48" t="s">
        <v>1377</v>
      </c>
      <c r="H1105" s="47" t="s">
        <v>1378</v>
      </c>
      <c r="I1105" s="47" t="s">
        <v>1379</v>
      </c>
      <c r="J1105" s="47" t="s">
        <v>26</v>
      </c>
    </row>
    <row r="1106" ht="54" customHeight="1" spans="1:10">
      <c r="A1106" s="48" t="s">
        <v>315</v>
      </c>
      <c r="B1106" s="48" t="s">
        <v>2514</v>
      </c>
      <c r="C1106" s="47" t="s">
        <v>1125</v>
      </c>
      <c r="D1106" s="48" t="s">
        <v>1059</v>
      </c>
      <c r="E1106" s="48" t="s">
        <v>1060</v>
      </c>
      <c r="F1106" s="48" t="s">
        <v>1126</v>
      </c>
      <c r="G1106" s="48" t="s">
        <v>1127</v>
      </c>
      <c r="H1106" s="47" t="s">
        <v>1128</v>
      </c>
      <c r="I1106" s="47" t="s">
        <v>1129</v>
      </c>
      <c r="J1106" s="47" t="s">
        <v>26</v>
      </c>
    </row>
    <row r="1107" ht="54" customHeight="1" spans="1:10">
      <c r="A1107" s="48" t="s">
        <v>317</v>
      </c>
      <c r="B1107" s="48" t="s">
        <v>2515</v>
      </c>
      <c r="C1107" s="47" t="s">
        <v>1105</v>
      </c>
      <c r="D1107" s="48" t="s">
        <v>1009</v>
      </c>
      <c r="E1107" s="48" t="s">
        <v>1010</v>
      </c>
      <c r="F1107" s="48" t="s">
        <v>1106</v>
      </c>
      <c r="G1107" s="48" t="s">
        <v>1107</v>
      </c>
      <c r="H1107" s="47" t="s">
        <v>1108</v>
      </c>
      <c r="I1107" s="47" t="s">
        <v>1109</v>
      </c>
      <c r="J1107" s="47" t="s">
        <v>26</v>
      </c>
    </row>
    <row r="1108" ht="54" customHeight="1" spans="1:10">
      <c r="A1108" s="48" t="s">
        <v>317</v>
      </c>
      <c r="B1108" s="48" t="s">
        <v>2516</v>
      </c>
      <c r="C1108" s="47" t="s">
        <v>1767</v>
      </c>
      <c r="D1108" s="48" t="s">
        <v>957</v>
      </c>
      <c r="E1108" s="48" t="s">
        <v>958</v>
      </c>
      <c r="F1108" s="48" t="s">
        <v>1768</v>
      </c>
      <c r="G1108" s="48" t="s">
        <v>1769</v>
      </c>
      <c r="H1108" s="47" t="s">
        <v>1770</v>
      </c>
      <c r="I1108" s="47" t="s">
        <v>1771</v>
      </c>
      <c r="J1108" s="47" t="s">
        <v>26</v>
      </c>
    </row>
    <row r="1109" ht="54" customHeight="1" spans="1:10">
      <c r="A1109" s="48" t="s">
        <v>317</v>
      </c>
      <c r="B1109" s="48" t="s">
        <v>2517</v>
      </c>
      <c r="C1109" s="47" t="s">
        <v>1097</v>
      </c>
      <c r="D1109" s="48" t="s">
        <v>1098</v>
      </c>
      <c r="E1109" s="48" t="s">
        <v>1099</v>
      </c>
      <c r="F1109" s="48" t="s">
        <v>1100</v>
      </c>
      <c r="G1109" s="48" t="s">
        <v>1101</v>
      </c>
      <c r="H1109" s="47" t="s">
        <v>1102</v>
      </c>
      <c r="I1109" s="47" t="s">
        <v>1103</v>
      </c>
      <c r="J1109" s="47" t="s">
        <v>26</v>
      </c>
    </row>
    <row r="1110" ht="54" customHeight="1" spans="1:10">
      <c r="A1110" s="48" t="s">
        <v>317</v>
      </c>
      <c r="B1110" s="48" t="s">
        <v>2518</v>
      </c>
      <c r="C1110" s="47" t="s">
        <v>1117</v>
      </c>
      <c r="D1110" s="48" t="s">
        <v>1118</v>
      </c>
      <c r="E1110" s="48" t="s">
        <v>1119</v>
      </c>
      <c r="F1110" s="48" t="s">
        <v>1120</v>
      </c>
      <c r="G1110" s="48" t="s">
        <v>1121</v>
      </c>
      <c r="H1110" s="47" t="s">
        <v>1122</v>
      </c>
      <c r="I1110" s="47" t="s">
        <v>1123</v>
      </c>
      <c r="J1110" s="47" t="s">
        <v>26</v>
      </c>
    </row>
    <row r="1111" ht="54" customHeight="1" spans="1:10">
      <c r="A1111" s="48" t="s">
        <v>317</v>
      </c>
      <c r="B1111" s="48" t="s">
        <v>2519</v>
      </c>
      <c r="C1111" s="47" t="s">
        <v>1285</v>
      </c>
      <c r="D1111" s="48" t="s">
        <v>965</v>
      </c>
      <c r="E1111" s="48" t="s">
        <v>966</v>
      </c>
      <c r="F1111" s="48" t="s">
        <v>1286</v>
      </c>
      <c r="G1111" s="48" t="s">
        <v>1287</v>
      </c>
      <c r="H1111" s="47" t="s">
        <v>1288</v>
      </c>
      <c r="I1111" s="47" t="s">
        <v>1289</v>
      </c>
      <c r="J1111" s="47" t="s">
        <v>26</v>
      </c>
    </row>
    <row r="1112" ht="54" customHeight="1" spans="1:10">
      <c r="A1112" s="48" t="s">
        <v>317</v>
      </c>
      <c r="B1112" s="48" t="s">
        <v>2520</v>
      </c>
      <c r="C1112" s="47" t="s">
        <v>1137</v>
      </c>
      <c r="D1112" s="48" t="s">
        <v>1138</v>
      </c>
      <c r="E1112" s="48" t="s">
        <v>1139</v>
      </c>
      <c r="F1112" s="48" t="s">
        <v>1140</v>
      </c>
      <c r="G1112" s="48" t="s">
        <v>1141</v>
      </c>
      <c r="H1112" s="47" t="s">
        <v>1142</v>
      </c>
      <c r="I1112" s="47" t="s">
        <v>940</v>
      </c>
      <c r="J1112" s="47" t="s">
        <v>26</v>
      </c>
    </row>
    <row r="1113" ht="54" customHeight="1" spans="1:10">
      <c r="A1113" s="48" t="s">
        <v>317</v>
      </c>
      <c r="B1113" s="48" t="s">
        <v>2521</v>
      </c>
      <c r="C1113" s="47" t="s">
        <v>971</v>
      </c>
      <c r="D1113" s="48" t="s">
        <v>965</v>
      </c>
      <c r="E1113" s="48" t="s">
        <v>966</v>
      </c>
      <c r="F1113" s="48" t="s">
        <v>972</v>
      </c>
      <c r="G1113" s="48" t="s">
        <v>973</v>
      </c>
      <c r="H1113" s="47" t="s">
        <v>974</v>
      </c>
      <c r="I1113" s="47" t="s">
        <v>975</v>
      </c>
      <c r="J1113" s="47" t="s">
        <v>26</v>
      </c>
    </row>
    <row r="1114" ht="54" customHeight="1" spans="1:10">
      <c r="A1114" s="48" t="s">
        <v>317</v>
      </c>
      <c r="B1114" s="48" t="s">
        <v>2522</v>
      </c>
      <c r="C1114" s="47" t="s">
        <v>1291</v>
      </c>
      <c r="D1114" s="48" t="s">
        <v>965</v>
      </c>
      <c r="E1114" s="48" t="s">
        <v>966</v>
      </c>
      <c r="F1114" s="48" t="s">
        <v>1292</v>
      </c>
      <c r="G1114" s="48" t="s">
        <v>1293</v>
      </c>
      <c r="H1114" s="47" t="s">
        <v>1294</v>
      </c>
      <c r="I1114" s="47" t="s">
        <v>1295</v>
      </c>
      <c r="J1114" s="47" t="s">
        <v>26</v>
      </c>
    </row>
    <row r="1115" ht="54" customHeight="1" spans="1:10">
      <c r="A1115" s="48" t="s">
        <v>317</v>
      </c>
      <c r="B1115" s="48" t="s">
        <v>2523</v>
      </c>
      <c r="C1115" s="47" t="s">
        <v>1313</v>
      </c>
      <c r="D1115" s="48" t="s">
        <v>1037</v>
      </c>
      <c r="E1115" s="48" t="s">
        <v>1038</v>
      </c>
      <c r="F1115" s="48" t="s">
        <v>1314</v>
      </c>
      <c r="G1115" s="48" t="s">
        <v>1315</v>
      </c>
      <c r="H1115" s="47" t="s">
        <v>1316</v>
      </c>
      <c r="I1115" s="47" t="s">
        <v>1317</v>
      </c>
      <c r="J1115" s="47" t="s">
        <v>26</v>
      </c>
    </row>
    <row r="1116" ht="54" customHeight="1" spans="1:10">
      <c r="A1116" s="48" t="s">
        <v>317</v>
      </c>
      <c r="B1116" s="48" t="s">
        <v>2524</v>
      </c>
      <c r="C1116" s="47" t="s">
        <v>1750</v>
      </c>
      <c r="D1116" s="48" t="s">
        <v>965</v>
      </c>
      <c r="E1116" s="48" t="s">
        <v>966</v>
      </c>
      <c r="F1116" s="48" t="s">
        <v>1751</v>
      </c>
      <c r="G1116" s="48" t="s">
        <v>1752</v>
      </c>
      <c r="H1116" s="47" t="s">
        <v>1753</v>
      </c>
      <c r="I1116" s="47" t="s">
        <v>940</v>
      </c>
      <c r="J1116" s="47" t="s">
        <v>26</v>
      </c>
    </row>
    <row r="1117" ht="54" customHeight="1" spans="1:10">
      <c r="A1117" s="48" t="s">
        <v>317</v>
      </c>
      <c r="B1117" s="48" t="s">
        <v>2525</v>
      </c>
      <c r="C1117" s="47" t="s">
        <v>1211</v>
      </c>
      <c r="D1117" s="48" t="s">
        <v>965</v>
      </c>
      <c r="E1117" s="48" t="s">
        <v>966</v>
      </c>
      <c r="F1117" s="48" t="s">
        <v>1212</v>
      </c>
      <c r="G1117" s="48" t="s">
        <v>1213</v>
      </c>
      <c r="H1117" s="47" t="s">
        <v>1214</v>
      </c>
      <c r="I1117" s="47" t="s">
        <v>940</v>
      </c>
      <c r="J1117" s="47" t="s">
        <v>26</v>
      </c>
    </row>
    <row r="1118" ht="54" customHeight="1" spans="1:10">
      <c r="A1118" s="48" t="s">
        <v>317</v>
      </c>
      <c r="B1118" s="48" t="s">
        <v>2526</v>
      </c>
      <c r="C1118" s="47" t="s">
        <v>1216</v>
      </c>
      <c r="D1118" s="48" t="s">
        <v>993</v>
      </c>
      <c r="E1118" s="48" t="s">
        <v>994</v>
      </c>
      <c r="F1118" s="48" t="s">
        <v>1217</v>
      </c>
      <c r="G1118" s="48" t="s">
        <v>1218</v>
      </c>
      <c r="H1118" s="47" t="s">
        <v>1219</v>
      </c>
      <c r="I1118" s="47" t="s">
        <v>1220</v>
      </c>
      <c r="J1118" s="47" t="s">
        <v>26</v>
      </c>
    </row>
    <row r="1119" ht="54" customHeight="1" spans="1:10">
      <c r="A1119" s="48" t="s">
        <v>319</v>
      </c>
      <c r="B1119" s="48" t="s">
        <v>2527</v>
      </c>
      <c r="C1119" s="47" t="s">
        <v>1105</v>
      </c>
      <c r="D1119" s="48" t="s">
        <v>1009</v>
      </c>
      <c r="E1119" s="48" t="s">
        <v>1010</v>
      </c>
      <c r="F1119" s="48" t="s">
        <v>1106</v>
      </c>
      <c r="G1119" s="48" t="s">
        <v>1107</v>
      </c>
      <c r="H1119" s="47" t="s">
        <v>1108</v>
      </c>
      <c r="I1119" s="47" t="s">
        <v>1109</v>
      </c>
      <c r="J1119" s="47" t="s">
        <v>26</v>
      </c>
    </row>
    <row r="1120" ht="54" customHeight="1" spans="1:10">
      <c r="A1120" s="48" t="s">
        <v>319</v>
      </c>
      <c r="B1120" s="48" t="s">
        <v>2528</v>
      </c>
      <c r="C1120" s="47" t="s">
        <v>1767</v>
      </c>
      <c r="D1120" s="48" t="s">
        <v>957</v>
      </c>
      <c r="E1120" s="48" t="s">
        <v>958</v>
      </c>
      <c r="F1120" s="48" t="s">
        <v>1768</v>
      </c>
      <c r="G1120" s="48" t="s">
        <v>1769</v>
      </c>
      <c r="H1120" s="47" t="s">
        <v>1770</v>
      </c>
      <c r="I1120" s="47" t="s">
        <v>1771</v>
      </c>
      <c r="J1120" s="47" t="s">
        <v>26</v>
      </c>
    </row>
    <row r="1121" ht="54" customHeight="1" spans="1:10">
      <c r="A1121" s="48" t="s">
        <v>319</v>
      </c>
      <c r="B1121" s="48" t="s">
        <v>2529</v>
      </c>
      <c r="C1121" s="47" t="s">
        <v>1097</v>
      </c>
      <c r="D1121" s="48" t="s">
        <v>1098</v>
      </c>
      <c r="E1121" s="48" t="s">
        <v>1099</v>
      </c>
      <c r="F1121" s="48" t="s">
        <v>1100</v>
      </c>
      <c r="G1121" s="48" t="s">
        <v>1101</v>
      </c>
      <c r="H1121" s="47" t="s">
        <v>1102</v>
      </c>
      <c r="I1121" s="47" t="s">
        <v>1103</v>
      </c>
      <c r="J1121" s="47" t="s">
        <v>26</v>
      </c>
    </row>
    <row r="1122" ht="54" customHeight="1" spans="1:10">
      <c r="A1122" s="48" t="s">
        <v>319</v>
      </c>
      <c r="B1122" s="48" t="s">
        <v>2530</v>
      </c>
      <c r="C1122" s="47" t="s">
        <v>1313</v>
      </c>
      <c r="D1122" s="48" t="s">
        <v>1037</v>
      </c>
      <c r="E1122" s="48" t="s">
        <v>1038</v>
      </c>
      <c r="F1122" s="48" t="s">
        <v>1314</v>
      </c>
      <c r="G1122" s="48" t="s">
        <v>1315</v>
      </c>
      <c r="H1122" s="47" t="s">
        <v>1316</v>
      </c>
      <c r="I1122" s="47" t="s">
        <v>1317</v>
      </c>
      <c r="J1122" s="47" t="s">
        <v>26</v>
      </c>
    </row>
    <row r="1123" ht="54" customHeight="1" spans="1:10">
      <c r="A1123" s="48" t="s">
        <v>319</v>
      </c>
      <c r="B1123" s="48" t="s">
        <v>2531</v>
      </c>
      <c r="C1123" s="47" t="s">
        <v>1235</v>
      </c>
      <c r="D1123" s="48" t="s">
        <v>1118</v>
      </c>
      <c r="E1123" s="48" t="s">
        <v>1119</v>
      </c>
      <c r="F1123" s="48" t="s">
        <v>1236</v>
      </c>
      <c r="G1123" s="48" t="s">
        <v>1237</v>
      </c>
      <c r="H1123" s="47" t="s">
        <v>1238</v>
      </c>
      <c r="I1123" s="47" t="s">
        <v>1239</v>
      </c>
      <c r="J1123" s="47" t="s">
        <v>26</v>
      </c>
    </row>
    <row r="1124" ht="54" customHeight="1" spans="1:10">
      <c r="A1124" s="48" t="s">
        <v>319</v>
      </c>
      <c r="B1124" s="48" t="s">
        <v>2532</v>
      </c>
      <c r="C1124" s="47" t="s">
        <v>1145</v>
      </c>
      <c r="D1124" s="48" t="s">
        <v>1146</v>
      </c>
      <c r="E1124" s="48" t="s">
        <v>1147</v>
      </c>
      <c r="F1124" s="48" t="s">
        <v>1148</v>
      </c>
      <c r="G1124" s="48" t="s">
        <v>1149</v>
      </c>
      <c r="H1124" s="47" t="s">
        <v>1150</v>
      </c>
      <c r="I1124" s="47" t="s">
        <v>1151</v>
      </c>
      <c r="J1124" s="47" t="s">
        <v>26</v>
      </c>
    </row>
    <row r="1125" ht="54" customHeight="1" spans="1:10">
      <c r="A1125" s="48" t="s">
        <v>319</v>
      </c>
      <c r="B1125" s="48" t="s">
        <v>2533</v>
      </c>
      <c r="C1125" s="47" t="s">
        <v>1170</v>
      </c>
      <c r="D1125" s="48" t="s">
        <v>1171</v>
      </c>
      <c r="E1125" s="48" t="s">
        <v>1172</v>
      </c>
      <c r="F1125" s="48" t="s">
        <v>1173</v>
      </c>
      <c r="G1125" s="48" t="s">
        <v>1174</v>
      </c>
      <c r="H1125" s="47" t="s">
        <v>1175</v>
      </c>
      <c r="I1125" s="47" t="s">
        <v>1176</v>
      </c>
      <c r="J1125" s="47" t="s">
        <v>26</v>
      </c>
    </row>
    <row r="1126" ht="54" customHeight="1" spans="1:10">
      <c r="A1126" s="48" t="s">
        <v>319</v>
      </c>
      <c r="B1126" s="48" t="s">
        <v>2534</v>
      </c>
      <c r="C1126" s="47" t="s">
        <v>1196</v>
      </c>
      <c r="D1126" s="48" t="s">
        <v>1118</v>
      </c>
      <c r="E1126" s="48" t="s">
        <v>1119</v>
      </c>
      <c r="F1126" s="48" t="s">
        <v>1197</v>
      </c>
      <c r="G1126" s="48" t="s">
        <v>1198</v>
      </c>
      <c r="H1126" s="47" t="s">
        <v>1199</v>
      </c>
      <c r="I1126" s="47" t="s">
        <v>1200</v>
      </c>
      <c r="J1126" s="47" t="s">
        <v>26</v>
      </c>
    </row>
    <row r="1127" ht="54" customHeight="1" spans="1:10">
      <c r="A1127" s="48" t="s">
        <v>321</v>
      </c>
      <c r="B1127" s="48" t="s">
        <v>2535</v>
      </c>
      <c r="C1127" s="47" t="s">
        <v>1459</v>
      </c>
      <c r="D1127" s="48" t="s">
        <v>957</v>
      </c>
      <c r="E1127" s="48" t="s">
        <v>958</v>
      </c>
      <c r="F1127" s="48" t="s">
        <v>1460</v>
      </c>
      <c r="G1127" s="48" t="s">
        <v>1461</v>
      </c>
      <c r="H1127" s="47" t="s">
        <v>1462</v>
      </c>
      <c r="I1127" s="47" t="s">
        <v>1463</v>
      </c>
      <c r="J1127" s="47" t="s">
        <v>26</v>
      </c>
    </row>
    <row r="1128" ht="54" customHeight="1" spans="1:10">
      <c r="A1128" s="48" t="s">
        <v>321</v>
      </c>
      <c r="B1128" s="48" t="s">
        <v>2536</v>
      </c>
      <c r="C1128" s="47" t="s">
        <v>956</v>
      </c>
      <c r="D1128" s="48" t="s">
        <v>957</v>
      </c>
      <c r="E1128" s="48" t="s">
        <v>958</v>
      </c>
      <c r="F1128" s="48" t="s">
        <v>959</v>
      </c>
      <c r="G1128" s="48" t="s">
        <v>960</v>
      </c>
      <c r="H1128" s="47" t="s">
        <v>961</v>
      </c>
      <c r="I1128" s="47" t="s">
        <v>962</v>
      </c>
      <c r="J1128" s="47" t="s">
        <v>26</v>
      </c>
    </row>
    <row r="1129" ht="54" customHeight="1" spans="1:10">
      <c r="A1129" s="48" t="s">
        <v>321</v>
      </c>
      <c r="B1129" s="48" t="s">
        <v>2537</v>
      </c>
      <c r="C1129" s="47" t="s">
        <v>1105</v>
      </c>
      <c r="D1129" s="48" t="s">
        <v>1009</v>
      </c>
      <c r="E1129" s="48" t="s">
        <v>1010</v>
      </c>
      <c r="F1129" s="48" t="s">
        <v>1106</v>
      </c>
      <c r="G1129" s="48" t="s">
        <v>1107</v>
      </c>
      <c r="H1129" s="47" t="s">
        <v>1108</v>
      </c>
      <c r="I1129" s="47" t="s">
        <v>1109</v>
      </c>
      <c r="J1129" s="47" t="s">
        <v>26</v>
      </c>
    </row>
    <row r="1130" ht="54" customHeight="1" spans="1:10">
      <c r="A1130" s="48" t="s">
        <v>321</v>
      </c>
      <c r="B1130" s="48" t="s">
        <v>2538</v>
      </c>
      <c r="C1130" s="47" t="s">
        <v>1767</v>
      </c>
      <c r="D1130" s="48" t="s">
        <v>957</v>
      </c>
      <c r="E1130" s="48" t="s">
        <v>958</v>
      </c>
      <c r="F1130" s="48" t="s">
        <v>1768</v>
      </c>
      <c r="G1130" s="48" t="s">
        <v>1769</v>
      </c>
      <c r="H1130" s="47" t="s">
        <v>1770</v>
      </c>
      <c r="I1130" s="47" t="s">
        <v>1771</v>
      </c>
      <c r="J1130" s="47" t="s">
        <v>26</v>
      </c>
    </row>
    <row r="1131" ht="54" customHeight="1" spans="1:10">
      <c r="A1131" s="48" t="s">
        <v>321</v>
      </c>
      <c r="B1131" s="48" t="s">
        <v>2539</v>
      </c>
      <c r="C1131" s="47" t="s">
        <v>1036</v>
      </c>
      <c r="D1131" s="48" t="s">
        <v>1037</v>
      </c>
      <c r="E1131" s="48" t="s">
        <v>1038</v>
      </c>
      <c r="F1131" s="48" t="s">
        <v>1039</v>
      </c>
      <c r="G1131" s="48" t="s">
        <v>1040</v>
      </c>
      <c r="H1131" s="47" t="s">
        <v>1041</v>
      </c>
      <c r="I1131" s="47" t="s">
        <v>1042</v>
      </c>
      <c r="J1131" s="47" t="s">
        <v>26</v>
      </c>
    </row>
    <row r="1132" ht="54" customHeight="1" spans="1:10">
      <c r="A1132" s="48" t="s">
        <v>321</v>
      </c>
      <c r="B1132" s="48" t="s">
        <v>2540</v>
      </c>
      <c r="C1132" s="47" t="s">
        <v>1097</v>
      </c>
      <c r="D1132" s="48" t="s">
        <v>1098</v>
      </c>
      <c r="E1132" s="48" t="s">
        <v>1099</v>
      </c>
      <c r="F1132" s="48" t="s">
        <v>1100</v>
      </c>
      <c r="G1132" s="48" t="s">
        <v>1101</v>
      </c>
      <c r="H1132" s="47" t="s">
        <v>1102</v>
      </c>
      <c r="I1132" s="47" t="s">
        <v>1103</v>
      </c>
      <c r="J1132" s="47" t="s">
        <v>26</v>
      </c>
    </row>
    <row r="1133" ht="54" customHeight="1" spans="1:10">
      <c r="A1133" s="48" t="s">
        <v>321</v>
      </c>
      <c r="B1133" s="48" t="s">
        <v>2541</v>
      </c>
      <c r="C1133" s="47" t="s">
        <v>1277</v>
      </c>
      <c r="D1133" s="48" t="s">
        <v>1278</v>
      </c>
      <c r="E1133" s="48" t="s">
        <v>1279</v>
      </c>
      <c r="F1133" s="48" t="s">
        <v>1280</v>
      </c>
      <c r="G1133" s="48" t="s">
        <v>1281</v>
      </c>
      <c r="H1133" s="47" t="s">
        <v>1282</v>
      </c>
      <c r="I1133" s="47" t="s">
        <v>1283</v>
      </c>
      <c r="J1133" s="47" t="s">
        <v>26</v>
      </c>
    </row>
    <row r="1134" ht="54" customHeight="1" spans="1:10">
      <c r="A1134" s="48" t="s">
        <v>321</v>
      </c>
      <c r="B1134" s="48" t="s">
        <v>2542</v>
      </c>
      <c r="C1134" s="47" t="s">
        <v>1388</v>
      </c>
      <c r="D1134" s="48" t="s">
        <v>1037</v>
      </c>
      <c r="E1134" s="48" t="s">
        <v>1038</v>
      </c>
      <c r="F1134" s="48" t="s">
        <v>1389</v>
      </c>
      <c r="G1134" s="48" t="s">
        <v>1390</v>
      </c>
      <c r="H1134" s="47" t="s">
        <v>1391</v>
      </c>
      <c r="I1134" s="47" t="s">
        <v>1392</v>
      </c>
      <c r="J1134" s="47" t="s">
        <v>26</v>
      </c>
    </row>
    <row r="1135" ht="54" customHeight="1" spans="1:10">
      <c r="A1135" s="48" t="s">
        <v>323</v>
      </c>
      <c r="B1135" s="48" t="s">
        <v>2543</v>
      </c>
      <c r="C1135" s="47" t="s">
        <v>956</v>
      </c>
      <c r="D1135" s="48" t="s">
        <v>957</v>
      </c>
      <c r="E1135" s="48" t="s">
        <v>958</v>
      </c>
      <c r="F1135" s="48" t="s">
        <v>959</v>
      </c>
      <c r="G1135" s="48" t="s">
        <v>960</v>
      </c>
      <c r="H1135" s="47" t="s">
        <v>961</v>
      </c>
      <c r="I1135" s="47" t="s">
        <v>962</v>
      </c>
      <c r="J1135" s="47" t="s">
        <v>26</v>
      </c>
    </row>
    <row r="1136" ht="54" customHeight="1" spans="1:10">
      <c r="A1136" s="48" t="s">
        <v>323</v>
      </c>
      <c r="B1136" s="48" t="s">
        <v>2544</v>
      </c>
      <c r="C1136" s="47" t="s">
        <v>1105</v>
      </c>
      <c r="D1136" s="48" t="s">
        <v>1009</v>
      </c>
      <c r="E1136" s="48" t="s">
        <v>1010</v>
      </c>
      <c r="F1136" s="48" t="s">
        <v>1106</v>
      </c>
      <c r="G1136" s="48" t="s">
        <v>1107</v>
      </c>
      <c r="H1136" s="47" t="s">
        <v>1108</v>
      </c>
      <c r="I1136" s="47" t="s">
        <v>1109</v>
      </c>
      <c r="J1136" s="47" t="s">
        <v>26</v>
      </c>
    </row>
    <row r="1137" ht="54" customHeight="1" spans="1:10">
      <c r="A1137" s="48" t="s">
        <v>323</v>
      </c>
      <c r="B1137" s="48" t="s">
        <v>2545</v>
      </c>
      <c r="C1137" s="47" t="s">
        <v>1097</v>
      </c>
      <c r="D1137" s="48" t="s">
        <v>1098</v>
      </c>
      <c r="E1137" s="48" t="s">
        <v>1099</v>
      </c>
      <c r="F1137" s="48" t="s">
        <v>1100</v>
      </c>
      <c r="G1137" s="48" t="s">
        <v>1101</v>
      </c>
      <c r="H1137" s="47" t="s">
        <v>1102</v>
      </c>
      <c r="I1137" s="47" t="s">
        <v>1103</v>
      </c>
      <c r="J1137" s="47" t="s">
        <v>26</v>
      </c>
    </row>
    <row r="1138" ht="54" customHeight="1" spans="1:10">
      <c r="A1138" s="48" t="s">
        <v>323</v>
      </c>
      <c r="B1138" s="48" t="s">
        <v>2546</v>
      </c>
      <c r="C1138" s="47" t="s">
        <v>1137</v>
      </c>
      <c r="D1138" s="48" t="s">
        <v>1138</v>
      </c>
      <c r="E1138" s="48" t="s">
        <v>1139</v>
      </c>
      <c r="F1138" s="48" t="s">
        <v>1140</v>
      </c>
      <c r="G1138" s="48" t="s">
        <v>1141</v>
      </c>
      <c r="H1138" s="47" t="s">
        <v>1142</v>
      </c>
      <c r="I1138" s="47" t="s">
        <v>940</v>
      </c>
      <c r="J1138" s="47" t="s">
        <v>26</v>
      </c>
    </row>
    <row r="1139" ht="54" customHeight="1" spans="1:10">
      <c r="A1139" s="48" t="s">
        <v>323</v>
      </c>
      <c r="B1139" s="48" t="s">
        <v>2547</v>
      </c>
      <c r="C1139" s="47" t="s">
        <v>971</v>
      </c>
      <c r="D1139" s="48" t="s">
        <v>965</v>
      </c>
      <c r="E1139" s="48" t="s">
        <v>966</v>
      </c>
      <c r="F1139" s="48" t="s">
        <v>972</v>
      </c>
      <c r="G1139" s="48" t="s">
        <v>973</v>
      </c>
      <c r="H1139" s="47" t="s">
        <v>974</v>
      </c>
      <c r="I1139" s="47" t="s">
        <v>975</v>
      </c>
      <c r="J1139" s="47" t="s">
        <v>26</v>
      </c>
    </row>
    <row r="1140" ht="54" customHeight="1" spans="1:10">
      <c r="A1140" s="48" t="s">
        <v>323</v>
      </c>
      <c r="B1140" s="48" t="s">
        <v>2548</v>
      </c>
      <c r="C1140" s="47" t="s">
        <v>1291</v>
      </c>
      <c r="D1140" s="48" t="s">
        <v>965</v>
      </c>
      <c r="E1140" s="48" t="s">
        <v>966</v>
      </c>
      <c r="F1140" s="48" t="s">
        <v>1292</v>
      </c>
      <c r="G1140" s="48" t="s">
        <v>1293</v>
      </c>
      <c r="H1140" s="47" t="s">
        <v>1294</v>
      </c>
      <c r="I1140" s="47" t="s">
        <v>1295</v>
      </c>
      <c r="J1140" s="47" t="s">
        <v>26</v>
      </c>
    </row>
    <row r="1141" ht="54" customHeight="1" spans="1:10">
      <c r="A1141" s="48" t="s">
        <v>323</v>
      </c>
      <c r="B1141" s="48" t="s">
        <v>2549</v>
      </c>
      <c r="C1141" s="47" t="s">
        <v>1313</v>
      </c>
      <c r="D1141" s="48" t="s">
        <v>1037</v>
      </c>
      <c r="E1141" s="48" t="s">
        <v>1038</v>
      </c>
      <c r="F1141" s="48" t="s">
        <v>1314</v>
      </c>
      <c r="G1141" s="48" t="s">
        <v>1315</v>
      </c>
      <c r="H1141" s="47" t="s">
        <v>1316</v>
      </c>
      <c r="I1141" s="47" t="s">
        <v>1317</v>
      </c>
      <c r="J1141" s="47" t="s">
        <v>26</v>
      </c>
    </row>
    <row r="1142" ht="54" customHeight="1" spans="1:10">
      <c r="A1142" s="48" t="s">
        <v>323</v>
      </c>
      <c r="B1142" s="48" t="s">
        <v>2550</v>
      </c>
      <c r="C1142" s="47" t="s">
        <v>1211</v>
      </c>
      <c r="D1142" s="48" t="s">
        <v>965</v>
      </c>
      <c r="E1142" s="48" t="s">
        <v>966</v>
      </c>
      <c r="F1142" s="48" t="s">
        <v>1212</v>
      </c>
      <c r="G1142" s="48" t="s">
        <v>1213</v>
      </c>
      <c r="H1142" s="47" t="s">
        <v>1214</v>
      </c>
      <c r="I1142" s="47" t="s">
        <v>940</v>
      </c>
      <c r="J1142" s="47" t="s">
        <v>26</v>
      </c>
    </row>
    <row r="1143" ht="54" customHeight="1" spans="1:10">
      <c r="A1143" s="48" t="s">
        <v>325</v>
      </c>
      <c r="B1143" s="48" t="s">
        <v>2551</v>
      </c>
      <c r="C1143" s="47" t="s">
        <v>971</v>
      </c>
      <c r="D1143" s="48" t="s">
        <v>965</v>
      </c>
      <c r="E1143" s="48" t="s">
        <v>966</v>
      </c>
      <c r="F1143" s="48" t="s">
        <v>972</v>
      </c>
      <c r="G1143" s="48" t="s">
        <v>973</v>
      </c>
      <c r="H1143" s="47" t="s">
        <v>974</v>
      </c>
      <c r="I1143" s="47" t="s">
        <v>975</v>
      </c>
      <c r="J1143" s="47" t="s">
        <v>26</v>
      </c>
    </row>
    <row r="1144" ht="54" customHeight="1" spans="1:10">
      <c r="A1144" s="48" t="s">
        <v>325</v>
      </c>
      <c r="B1144" s="48" t="s">
        <v>2552</v>
      </c>
      <c r="C1144" s="47" t="s">
        <v>1291</v>
      </c>
      <c r="D1144" s="48" t="s">
        <v>965</v>
      </c>
      <c r="E1144" s="48" t="s">
        <v>966</v>
      </c>
      <c r="F1144" s="48" t="s">
        <v>1292</v>
      </c>
      <c r="G1144" s="48" t="s">
        <v>1293</v>
      </c>
      <c r="H1144" s="47" t="s">
        <v>1294</v>
      </c>
      <c r="I1144" s="47" t="s">
        <v>1295</v>
      </c>
      <c r="J1144" s="47" t="s">
        <v>26</v>
      </c>
    </row>
    <row r="1145" ht="54" customHeight="1" spans="1:10">
      <c r="A1145" s="48" t="s">
        <v>325</v>
      </c>
      <c r="B1145" s="48" t="s">
        <v>2553</v>
      </c>
      <c r="C1145" s="47" t="s">
        <v>1313</v>
      </c>
      <c r="D1145" s="48" t="s">
        <v>1037</v>
      </c>
      <c r="E1145" s="48" t="s">
        <v>1038</v>
      </c>
      <c r="F1145" s="48" t="s">
        <v>1314</v>
      </c>
      <c r="G1145" s="48" t="s">
        <v>1315</v>
      </c>
      <c r="H1145" s="47" t="s">
        <v>1316</v>
      </c>
      <c r="I1145" s="47" t="s">
        <v>1317</v>
      </c>
      <c r="J1145" s="47" t="s">
        <v>26</v>
      </c>
    </row>
    <row r="1146" ht="54" customHeight="1" spans="1:10">
      <c r="A1146" s="48" t="s">
        <v>325</v>
      </c>
      <c r="B1146" s="48" t="s">
        <v>2554</v>
      </c>
      <c r="C1146" s="47" t="s">
        <v>1145</v>
      </c>
      <c r="D1146" s="48" t="s">
        <v>1146</v>
      </c>
      <c r="E1146" s="48" t="s">
        <v>1147</v>
      </c>
      <c r="F1146" s="48" t="s">
        <v>1148</v>
      </c>
      <c r="G1146" s="48" t="s">
        <v>1149</v>
      </c>
      <c r="H1146" s="47" t="s">
        <v>1150</v>
      </c>
      <c r="I1146" s="47" t="s">
        <v>1151</v>
      </c>
      <c r="J1146" s="47" t="s">
        <v>26</v>
      </c>
    </row>
    <row r="1147" ht="54" customHeight="1" spans="1:10">
      <c r="A1147" s="48" t="s">
        <v>327</v>
      </c>
      <c r="B1147" s="48" t="s">
        <v>2555</v>
      </c>
      <c r="C1147" s="47" t="s">
        <v>1459</v>
      </c>
      <c r="D1147" s="48" t="s">
        <v>957</v>
      </c>
      <c r="E1147" s="48" t="s">
        <v>958</v>
      </c>
      <c r="F1147" s="48" t="s">
        <v>1460</v>
      </c>
      <c r="G1147" s="48" t="s">
        <v>1461</v>
      </c>
      <c r="H1147" s="47" t="s">
        <v>1462</v>
      </c>
      <c r="I1147" s="47" t="s">
        <v>1463</v>
      </c>
      <c r="J1147" s="47" t="s">
        <v>26</v>
      </c>
    </row>
    <row r="1148" ht="54" customHeight="1" spans="1:10">
      <c r="A1148" s="48" t="s">
        <v>327</v>
      </c>
      <c r="B1148" s="48" t="s">
        <v>2556</v>
      </c>
      <c r="C1148" s="47" t="s">
        <v>956</v>
      </c>
      <c r="D1148" s="48" t="s">
        <v>957</v>
      </c>
      <c r="E1148" s="48" t="s">
        <v>958</v>
      </c>
      <c r="F1148" s="48" t="s">
        <v>959</v>
      </c>
      <c r="G1148" s="48" t="s">
        <v>960</v>
      </c>
      <c r="H1148" s="47" t="s">
        <v>961</v>
      </c>
      <c r="I1148" s="47" t="s">
        <v>962</v>
      </c>
      <c r="J1148" s="47" t="s">
        <v>26</v>
      </c>
    </row>
    <row r="1149" ht="54" customHeight="1" spans="1:10">
      <c r="A1149" s="48" t="s">
        <v>327</v>
      </c>
      <c r="B1149" s="48" t="s">
        <v>2557</v>
      </c>
      <c r="C1149" s="47" t="s">
        <v>1105</v>
      </c>
      <c r="D1149" s="48" t="s">
        <v>1009</v>
      </c>
      <c r="E1149" s="48" t="s">
        <v>1010</v>
      </c>
      <c r="F1149" s="48" t="s">
        <v>1106</v>
      </c>
      <c r="G1149" s="48" t="s">
        <v>1107</v>
      </c>
      <c r="H1149" s="47" t="s">
        <v>1108</v>
      </c>
      <c r="I1149" s="47" t="s">
        <v>1109</v>
      </c>
      <c r="J1149" s="47" t="s">
        <v>26</v>
      </c>
    </row>
    <row r="1150" ht="54" customHeight="1" spans="1:10">
      <c r="A1150" s="48" t="s">
        <v>327</v>
      </c>
      <c r="B1150" s="48" t="s">
        <v>2558</v>
      </c>
      <c r="C1150" s="47" t="s">
        <v>1097</v>
      </c>
      <c r="D1150" s="48" t="s">
        <v>1098</v>
      </c>
      <c r="E1150" s="48" t="s">
        <v>1099</v>
      </c>
      <c r="F1150" s="48" t="s">
        <v>1100</v>
      </c>
      <c r="G1150" s="48" t="s">
        <v>1101</v>
      </c>
      <c r="H1150" s="47" t="s">
        <v>1102</v>
      </c>
      <c r="I1150" s="47" t="s">
        <v>1103</v>
      </c>
      <c r="J1150" s="47" t="s">
        <v>26</v>
      </c>
    </row>
    <row r="1151" ht="54" customHeight="1" spans="1:10">
      <c r="A1151" s="48" t="s">
        <v>327</v>
      </c>
      <c r="B1151" s="48" t="s">
        <v>2559</v>
      </c>
      <c r="C1151" s="47" t="s">
        <v>1111</v>
      </c>
      <c r="D1151" s="48" t="s">
        <v>965</v>
      </c>
      <c r="E1151" s="48" t="s">
        <v>966</v>
      </c>
      <c r="F1151" s="48" t="s">
        <v>1112</v>
      </c>
      <c r="G1151" s="48" t="s">
        <v>1113</v>
      </c>
      <c r="H1151" s="47" t="s">
        <v>1114</v>
      </c>
      <c r="I1151" s="47" t="s">
        <v>1115</v>
      </c>
      <c r="J1151" s="47" t="s">
        <v>26</v>
      </c>
    </row>
    <row r="1152" ht="54" customHeight="1" spans="1:10">
      <c r="A1152" s="48" t="s">
        <v>327</v>
      </c>
      <c r="B1152" s="48" t="s">
        <v>2560</v>
      </c>
      <c r="C1152" s="47" t="s">
        <v>1137</v>
      </c>
      <c r="D1152" s="48" t="s">
        <v>1138</v>
      </c>
      <c r="E1152" s="48" t="s">
        <v>1139</v>
      </c>
      <c r="F1152" s="48" t="s">
        <v>1140</v>
      </c>
      <c r="G1152" s="48" t="s">
        <v>1141</v>
      </c>
      <c r="H1152" s="47" t="s">
        <v>1142</v>
      </c>
      <c r="I1152" s="47" t="s">
        <v>940</v>
      </c>
      <c r="J1152" s="47" t="s">
        <v>26</v>
      </c>
    </row>
    <row r="1153" ht="54" customHeight="1" spans="1:10">
      <c r="A1153" s="48" t="s">
        <v>329</v>
      </c>
      <c r="B1153" s="48" t="s">
        <v>2561</v>
      </c>
      <c r="C1153" s="47" t="s">
        <v>1105</v>
      </c>
      <c r="D1153" s="48" t="s">
        <v>1009</v>
      </c>
      <c r="E1153" s="48" t="s">
        <v>1010</v>
      </c>
      <c r="F1153" s="48" t="s">
        <v>1106</v>
      </c>
      <c r="G1153" s="48" t="s">
        <v>1107</v>
      </c>
      <c r="H1153" s="47" t="s">
        <v>1108</v>
      </c>
      <c r="I1153" s="47" t="s">
        <v>1109</v>
      </c>
      <c r="J1153" s="47" t="s">
        <v>26</v>
      </c>
    </row>
    <row r="1154" ht="54" customHeight="1" spans="1:10">
      <c r="A1154" s="48" t="s">
        <v>329</v>
      </c>
      <c r="B1154" s="48" t="s">
        <v>2562</v>
      </c>
      <c r="C1154" s="47" t="s">
        <v>1111</v>
      </c>
      <c r="D1154" s="48" t="s">
        <v>965</v>
      </c>
      <c r="E1154" s="48" t="s">
        <v>966</v>
      </c>
      <c r="F1154" s="48" t="s">
        <v>1112</v>
      </c>
      <c r="G1154" s="48" t="s">
        <v>1113</v>
      </c>
      <c r="H1154" s="47" t="s">
        <v>1114</v>
      </c>
      <c r="I1154" s="47" t="s">
        <v>1115</v>
      </c>
      <c r="J1154" s="47" t="s">
        <v>26</v>
      </c>
    </row>
    <row r="1155" ht="54" customHeight="1" spans="1:10">
      <c r="A1155" s="48" t="s">
        <v>329</v>
      </c>
      <c r="B1155" s="48" t="s">
        <v>2563</v>
      </c>
      <c r="C1155" s="47" t="s">
        <v>1164</v>
      </c>
      <c r="D1155" s="48" t="s">
        <v>978</v>
      </c>
      <c r="E1155" s="48" t="s">
        <v>979</v>
      </c>
      <c r="F1155" s="48" t="s">
        <v>1165</v>
      </c>
      <c r="G1155" s="48" t="s">
        <v>1166</v>
      </c>
      <c r="H1155" s="47" t="s">
        <v>1167</v>
      </c>
      <c r="I1155" s="47" t="s">
        <v>1168</v>
      </c>
      <c r="J1155" s="47" t="s">
        <v>26</v>
      </c>
    </row>
    <row r="1156" ht="54" customHeight="1" spans="1:10">
      <c r="A1156" s="48" t="s">
        <v>331</v>
      </c>
      <c r="B1156" s="48" t="s">
        <v>2564</v>
      </c>
      <c r="C1156" s="47" t="s">
        <v>1975</v>
      </c>
      <c r="D1156" s="48" t="s">
        <v>1009</v>
      </c>
      <c r="E1156" s="48" t="s">
        <v>1010</v>
      </c>
      <c r="F1156" s="48" t="s">
        <v>1976</v>
      </c>
      <c r="G1156" s="48" t="s">
        <v>1977</v>
      </c>
      <c r="H1156" s="47" t="s">
        <v>1978</v>
      </c>
      <c r="I1156" s="47" t="s">
        <v>1979</v>
      </c>
      <c r="J1156" s="47" t="s">
        <v>26</v>
      </c>
    </row>
    <row r="1157" ht="54" customHeight="1" spans="1:10">
      <c r="A1157" s="48" t="s">
        <v>331</v>
      </c>
      <c r="B1157" s="48" t="s">
        <v>2565</v>
      </c>
      <c r="C1157" s="47" t="s">
        <v>1000</v>
      </c>
      <c r="D1157" s="48" t="s">
        <v>1001</v>
      </c>
      <c r="E1157" s="48" t="s">
        <v>1002</v>
      </c>
      <c r="F1157" s="48" t="s">
        <v>1003</v>
      </c>
      <c r="G1157" s="48" t="s">
        <v>1004</v>
      </c>
      <c r="H1157" s="47" t="s">
        <v>1005</v>
      </c>
      <c r="I1157" s="47" t="s">
        <v>1006</v>
      </c>
      <c r="J1157" s="47" t="s">
        <v>26</v>
      </c>
    </row>
    <row r="1158" ht="54" customHeight="1" spans="1:10">
      <c r="A1158" s="48" t="s">
        <v>331</v>
      </c>
      <c r="B1158" s="48" t="s">
        <v>2566</v>
      </c>
      <c r="C1158" s="47" t="s">
        <v>1008</v>
      </c>
      <c r="D1158" s="48" t="s">
        <v>1009</v>
      </c>
      <c r="E1158" s="48" t="s">
        <v>1010</v>
      </c>
      <c r="F1158" s="48" t="s">
        <v>1011</v>
      </c>
      <c r="G1158" s="48" t="s">
        <v>1012</v>
      </c>
      <c r="H1158" s="47" t="s">
        <v>1013</v>
      </c>
      <c r="I1158" s="47" t="s">
        <v>1014</v>
      </c>
      <c r="J1158" s="47" t="s">
        <v>26</v>
      </c>
    </row>
    <row r="1159" ht="54" customHeight="1" spans="1:10">
      <c r="A1159" s="48" t="s">
        <v>331</v>
      </c>
      <c r="B1159" s="48" t="s">
        <v>2567</v>
      </c>
      <c r="C1159" s="47" t="s">
        <v>1105</v>
      </c>
      <c r="D1159" s="48" t="s">
        <v>1009</v>
      </c>
      <c r="E1159" s="48" t="s">
        <v>1010</v>
      </c>
      <c r="F1159" s="48" t="s">
        <v>1106</v>
      </c>
      <c r="G1159" s="48" t="s">
        <v>1107</v>
      </c>
      <c r="H1159" s="47" t="s">
        <v>1108</v>
      </c>
      <c r="I1159" s="47" t="s">
        <v>1109</v>
      </c>
      <c r="J1159" s="47" t="s">
        <v>26</v>
      </c>
    </row>
    <row r="1160" ht="54" customHeight="1" spans="1:10">
      <c r="A1160" s="48" t="s">
        <v>331</v>
      </c>
      <c r="B1160" s="48" t="s">
        <v>2568</v>
      </c>
      <c r="C1160" s="47" t="s">
        <v>1097</v>
      </c>
      <c r="D1160" s="48" t="s">
        <v>1098</v>
      </c>
      <c r="E1160" s="48" t="s">
        <v>1099</v>
      </c>
      <c r="F1160" s="48" t="s">
        <v>1100</v>
      </c>
      <c r="G1160" s="48" t="s">
        <v>1101</v>
      </c>
      <c r="H1160" s="47" t="s">
        <v>1102</v>
      </c>
      <c r="I1160" s="47" t="s">
        <v>1103</v>
      </c>
      <c r="J1160" s="47" t="s">
        <v>26</v>
      </c>
    </row>
    <row r="1161" ht="54" customHeight="1" spans="1:10">
      <c r="A1161" s="48" t="s">
        <v>331</v>
      </c>
      <c r="B1161" s="48" t="s">
        <v>2569</v>
      </c>
      <c r="C1161" s="47" t="s">
        <v>1066</v>
      </c>
      <c r="D1161" s="48" t="s">
        <v>935</v>
      </c>
      <c r="E1161" s="48" t="s">
        <v>936</v>
      </c>
      <c r="F1161" s="48" t="s">
        <v>1067</v>
      </c>
      <c r="G1161" s="48" t="s">
        <v>1068</v>
      </c>
      <c r="H1161" s="47" t="s">
        <v>1069</v>
      </c>
      <c r="I1161" s="47" t="s">
        <v>940</v>
      </c>
      <c r="J1161" s="47" t="s">
        <v>26</v>
      </c>
    </row>
    <row r="1162" ht="54" customHeight="1" spans="1:10">
      <c r="A1162" s="48" t="s">
        <v>331</v>
      </c>
      <c r="B1162" s="48" t="s">
        <v>2570</v>
      </c>
      <c r="C1162" s="47" t="s">
        <v>1252</v>
      </c>
      <c r="D1162" s="48" t="s">
        <v>1001</v>
      </c>
      <c r="E1162" s="48" t="s">
        <v>1002</v>
      </c>
      <c r="F1162" s="48" t="s">
        <v>1253</v>
      </c>
      <c r="G1162" s="48" t="s">
        <v>1254</v>
      </c>
      <c r="H1162" s="47" t="s">
        <v>1255</v>
      </c>
      <c r="I1162" s="47" t="s">
        <v>1256</v>
      </c>
      <c r="J1162" s="47" t="s">
        <v>26</v>
      </c>
    </row>
    <row r="1163" ht="54" customHeight="1" spans="1:10">
      <c r="A1163" s="48" t="s">
        <v>331</v>
      </c>
      <c r="B1163" s="48" t="s">
        <v>2571</v>
      </c>
      <c r="C1163" s="47" t="s">
        <v>1137</v>
      </c>
      <c r="D1163" s="48" t="s">
        <v>1138</v>
      </c>
      <c r="E1163" s="48" t="s">
        <v>1139</v>
      </c>
      <c r="F1163" s="48" t="s">
        <v>1140</v>
      </c>
      <c r="G1163" s="48" t="s">
        <v>1141</v>
      </c>
      <c r="H1163" s="47" t="s">
        <v>1142</v>
      </c>
      <c r="I1163" s="47" t="s">
        <v>940</v>
      </c>
      <c r="J1163" s="47" t="s">
        <v>26</v>
      </c>
    </row>
    <row r="1164" ht="54" customHeight="1" spans="1:10">
      <c r="A1164" s="48" t="s">
        <v>331</v>
      </c>
      <c r="B1164" s="48" t="s">
        <v>2572</v>
      </c>
      <c r="C1164" s="47" t="s">
        <v>971</v>
      </c>
      <c r="D1164" s="48" t="s">
        <v>965</v>
      </c>
      <c r="E1164" s="48" t="s">
        <v>966</v>
      </c>
      <c r="F1164" s="48" t="s">
        <v>972</v>
      </c>
      <c r="G1164" s="48" t="s">
        <v>973</v>
      </c>
      <c r="H1164" s="47" t="s">
        <v>974</v>
      </c>
      <c r="I1164" s="47" t="s">
        <v>975</v>
      </c>
      <c r="J1164" s="47" t="s">
        <v>26</v>
      </c>
    </row>
    <row r="1165" ht="54" customHeight="1" spans="1:10">
      <c r="A1165" s="48" t="s">
        <v>331</v>
      </c>
      <c r="B1165" s="48" t="s">
        <v>2573</v>
      </c>
      <c r="C1165" s="47" t="s">
        <v>1211</v>
      </c>
      <c r="D1165" s="48" t="s">
        <v>965</v>
      </c>
      <c r="E1165" s="48" t="s">
        <v>966</v>
      </c>
      <c r="F1165" s="48" t="s">
        <v>1212</v>
      </c>
      <c r="G1165" s="48" t="s">
        <v>1213</v>
      </c>
      <c r="H1165" s="47" t="s">
        <v>1214</v>
      </c>
      <c r="I1165" s="47" t="s">
        <v>940</v>
      </c>
      <c r="J1165" s="47" t="s">
        <v>26</v>
      </c>
    </row>
    <row r="1166" ht="54" customHeight="1" spans="1:10">
      <c r="A1166" s="48" t="s">
        <v>333</v>
      </c>
      <c r="B1166" s="48" t="s">
        <v>2574</v>
      </c>
      <c r="C1166" s="47" t="s">
        <v>1008</v>
      </c>
      <c r="D1166" s="48" t="s">
        <v>1009</v>
      </c>
      <c r="E1166" s="48" t="s">
        <v>1010</v>
      </c>
      <c r="F1166" s="48" t="s">
        <v>1011</v>
      </c>
      <c r="G1166" s="48" t="s">
        <v>1012</v>
      </c>
      <c r="H1166" s="47" t="s">
        <v>1013</v>
      </c>
      <c r="I1166" s="47" t="s">
        <v>1014</v>
      </c>
      <c r="J1166" s="47" t="s">
        <v>26</v>
      </c>
    </row>
    <row r="1167" ht="54" customHeight="1" spans="1:10">
      <c r="A1167" s="48" t="s">
        <v>333</v>
      </c>
      <c r="B1167" s="48" t="s">
        <v>2575</v>
      </c>
      <c r="C1167" s="47" t="s">
        <v>1097</v>
      </c>
      <c r="D1167" s="48" t="s">
        <v>1098</v>
      </c>
      <c r="E1167" s="48" t="s">
        <v>1099</v>
      </c>
      <c r="F1167" s="48" t="s">
        <v>1100</v>
      </c>
      <c r="G1167" s="48" t="s">
        <v>1101</v>
      </c>
      <c r="H1167" s="47" t="s">
        <v>1102</v>
      </c>
      <c r="I1167" s="47" t="s">
        <v>1103</v>
      </c>
      <c r="J1167" s="47" t="s">
        <v>26</v>
      </c>
    </row>
    <row r="1168" ht="54" customHeight="1" spans="1:10">
      <c r="A1168" s="48" t="s">
        <v>335</v>
      </c>
      <c r="B1168" s="48" t="s">
        <v>2576</v>
      </c>
      <c r="C1168" s="47" t="s">
        <v>1459</v>
      </c>
      <c r="D1168" s="48" t="s">
        <v>957</v>
      </c>
      <c r="E1168" s="48" t="s">
        <v>958</v>
      </c>
      <c r="F1168" s="48" t="s">
        <v>1460</v>
      </c>
      <c r="G1168" s="48" t="s">
        <v>1461</v>
      </c>
      <c r="H1168" s="47" t="s">
        <v>1462</v>
      </c>
      <c r="I1168" s="47" t="s">
        <v>1463</v>
      </c>
      <c r="J1168" s="47" t="s">
        <v>26</v>
      </c>
    </row>
    <row r="1169" ht="54" customHeight="1" spans="1:10">
      <c r="A1169" s="48" t="s">
        <v>335</v>
      </c>
      <c r="B1169" s="48" t="s">
        <v>2577</v>
      </c>
      <c r="C1169" s="47" t="s">
        <v>956</v>
      </c>
      <c r="D1169" s="48" t="s">
        <v>957</v>
      </c>
      <c r="E1169" s="48" t="s">
        <v>958</v>
      </c>
      <c r="F1169" s="48" t="s">
        <v>959</v>
      </c>
      <c r="G1169" s="48" t="s">
        <v>960</v>
      </c>
      <c r="H1169" s="47" t="s">
        <v>961</v>
      </c>
      <c r="I1169" s="47" t="s">
        <v>962</v>
      </c>
      <c r="J1169" s="47" t="s">
        <v>26</v>
      </c>
    </row>
    <row r="1170" ht="54" customHeight="1" spans="1:10">
      <c r="A1170" s="48" t="s">
        <v>335</v>
      </c>
      <c r="B1170" s="48" t="s">
        <v>2578</v>
      </c>
      <c r="C1170" s="47" t="s">
        <v>1105</v>
      </c>
      <c r="D1170" s="48" t="s">
        <v>1009</v>
      </c>
      <c r="E1170" s="48" t="s">
        <v>1010</v>
      </c>
      <c r="F1170" s="48" t="s">
        <v>1106</v>
      </c>
      <c r="G1170" s="48" t="s">
        <v>1107</v>
      </c>
      <c r="H1170" s="47" t="s">
        <v>1108</v>
      </c>
      <c r="I1170" s="47" t="s">
        <v>1109</v>
      </c>
      <c r="J1170" s="47" t="s">
        <v>26</v>
      </c>
    </row>
    <row r="1171" ht="54" customHeight="1" spans="1:10">
      <c r="A1171" s="48" t="s">
        <v>335</v>
      </c>
      <c r="B1171" s="48" t="s">
        <v>2579</v>
      </c>
      <c r="C1171" s="47" t="s">
        <v>1097</v>
      </c>
      <c r="D1171" s="48" t="s">
        <v>1098</v>
      </c>
      <c r="E1171" s="48" t="s">
        <v>1099</v>
      </c>
      <c r="F1171" s="48" t="s">
        <v>1100</v>
      </c>
      <c r="G1171" s="48" t="s">
        <v>1101</v>
      </c>
      <c r="H1171" s="47" t="s">
        <v>1102</v>
      </c>
      <c r="I1171" s="47" t="s">
        <v>1103</v>
      </c>
      <c r="J1171" s="47" t="s">
        <v>26</v>
      </c>
    </row>
    <row r="1172" ht="54" customHeight="1" spans="1:10">
      <c r="A1172" s="48" t="s">
        <v>335</v>
      </c>
      <c r="B1172" s="48" t="s">
        <v>2580</v>
      </c>
      <c r="C1172" s="47" t="s">
        <v>1111</v>
      </c>
      <c r="D1172" s="48" t="s">
        <v>965</v>
      </c>
      <c r="E1172" s="48" t="s">
        <v>966</v>
      </c>
      <c r="F1172" s="48" t="s">
        <v>1112</v>
      </c>
      <c r="G1172" s="48" t="s">
        <v>1113</v>
      </c>
      <c r="H1172" s="47" t="s">
        <v>1114</v>
      </c>
      <c r="I1172" s="47" t="s">
        <v>1115</v>
      </c>
      <c r="J1172" s="47" t="s">
        <v>26</v>
      </c>
    </row>
    <row r="1173" ht="54" customHeight="1" spans="1:10">
      <c r="A1173" s="48" t="s">
        <v>335</v>
      </c>
      <c r="B1173" s="48" t="s">
        <v>2581</v>
      </c>
      <c r="C1173" s="47" t="s">
        <v>1137</v>
      </c>
      <c r="D1173" s="48" t="s">
        <v>1138</v>
      </c>
      <c r="E1173" s="48" t="s">
        <v>1139</v>
      </c>
      <c r="F1173" s="48" t="s">
        <v>1140</v>
      </c>
      <c r="G1173" s="48" t="s">
        <v>1141</v>
      </c>
      <c r="H1173" s="47" t="s">
        <v>1142</v>
      </c>
      <c r="I1173" s="47" t="s">
        <v>940</v>
      </c>
      <c r="J1173" s="47" t="s">
        <v>26</v>
      </c>
    </row>
    <row r="1174" ht="54" customHeight="1" spans="1:10">
      <c r="A1174" s="48" t="s">
        <v>335</v>
      </c>
      <c r="B1174" s="48" t="s">
        <v>2582</v>
      </c>
      <c r="C1174" s="47" t="s">
        <v>971</v>
      </c>
      <c r="D1174" s="48" t="s">
        <v>965</v>
      </c>
      <c r="E1174" s="48" t="s">
        <v>966</v>
      </c>
      <c r="F1174" s="48" t="s">
        <v>972</v>
      </c>
      <c r="G1174" s="48" t="s">
        <v>973</v>
      </c>
      <c r="H1174" s="47" t="s">
        <v>974</v>
      </c>
      <c r="I1174" s="47" t="s">
        <v>975</v>
      </c>
      <c r="J1174" s="47" t="s">
        <v>26</v>
      </c>
    </row>
    <row r="1175" ht="54" customHeight="1" spans="1:10">
      <c r="A1175" s="48" t="s">
        <v>335</v>
      </c>
      <c r="B1175" s="48" t="s">
        <v>2583</v>
      </c>
      <c r="C1175" s="47" t="s">
        <v>1211</v>
      </c>
      <c r="D1175" s="48" t="s">
        <v>965</v>
      </c>
      <c r="E1175" s="48" t="s">
        <v>966</v>
      </c>
      <c r="F1175" s="48" t="s">
        <v>1212</v>
      </c>
      <c r="G1175" s="48" t="s">
        <v>1213</v>
      </c>
      <c r="H1175" s="47" t="s">
        <v>1214</v>
      </c>
      <c r="I1175" s="47" t="s">
        <v>940</v>
      </c>
      <c r="J1175" s="47" t="s">
        <v>26</v>
      </c>
    </row>
    <row r="1176" ht="54" customHeight="1" spans="1:10">
      <c r="A1176" s="48" t="s">
        <v>337</v>
      </c>
      <c r="B1176" s="48" t="s">
        <v>2584</v>
      </c>
      <c r="C1176" s="47" t="s">
        <v>1111</v>
      </c>
      <c r="D1176" s="48" t="s">
        <v>965</v>
      </c>
      <c r="E1176" s="48" t="s">
        <v>966</v>
      </c>
      <c r="F1176" s="48" t="s">
        <v>1112</v>
      </c>
      <c r="G1176" s="48" t="s">
        <v>1113</v>
      </c>
      <c r="H1176" s="47" t="s">
        <v>1114</v>
      </c>
      <c r="I1176" s="47" t="s">
        <v>1115</v>
      </c>
      <c r="J1176" s="47" t="s">
        <v>26</v>
      </c>
    </row>
    <row r="1177" ht="54" customHeight="1" spans="1:10">
      <c r="A1177" s="48" t="s">
        <v>337</v>
      </c>
      <c r="B1177" s="48" t="s">
        <v>2585</v>
      </c>
      <c r="C1177" s="47" t="s">
        <v>1927</v>
      </c>
      <c r="D1177" s="48" t="s">
        <v>1400</v>
      </c>
      <c r="E1177" s="48" t="s">
        <v>1401</v>
      </c>
      <c r="F1177" s="48" t="s">
        <v>1928</v>
      </c>
      <c r="G1177" s="48" t="s">
        <v>1929</v>
      </c>
      <c r="H1177" s="47" t="s">
        <v>1930</v>
      </c>
      <c r="I1177" s="47" t="s">
        <v>1931</v>
      </c>
      <c r="J1177" s="47" t="s">
        <v>26</v>
      </c>
    </row>
    <row r="1178" ht="54" customHeight="1" spans="1:10">
      <c r="A1178" s="48" t="s">
        <v>339</v>
      </c>
      <c r="B1178" s="48" t="s">
        <v>2586</v>
      </c>
      <c r="C1178" s="47" t="s">
        <v>1421</v>
      </c>
      <c r="D1178" s="48" t="s">
        <v>1422</v>
      </c>
      <c r="E1178" s="48" t="s">
        <v>1423</v>
      </c>
      <c r="F1178" s="48" t="s">
        <v>1424</v>
      </c>
      <c r="G1178" s="48" t="s">
        <v>1423</v>
      </c>
      <c r="H1178" s="47" t="s">
        <v>1425</v>
      </c>
      <c r="I1178" s="47" t="s">
        <v>1426</v>
      </c>
      <c r="J1178" s="47" t="s">
        <v>26</v>
      </c>
    </row>
    <row r="1179" ht="54" customHeight="1" spans="1:10">
      <c r="A1179" s="48" t="s">
        <v>339</v>
      </c>
      <c r="B1179" s="48" t="s">
        <v>2587</v>
      </c>
      <c r="C1179" s="47" t="s">
        <v>1022</v>
      </c>
      <c r="D1179" s="48" t="s">
        <v>957</v>
      </c>
      <c r="E1179" s="48" t="s">
        <v>958</v>
      </c>
      <c r="F1179" s="48" t="s">
        <v>1023</v>
      </c>
      <c r="G1179" s="48" t="s">
        <v>1024</v>
      </c>
      <c r="H1179" s="47" t="s">
        <v>1025</v>
      </c>
      <c r="I1179" s="47" t="s">
        <v>1026</v>
      </c>
      <c r="J1179" s="47" t="s">
        <v>26</v>
      </c>
    </row>
    <row r="1180" ht="54" customHeight="1" spans="1:10">
      <c r="A1180" s="48" t="s">
        <v>339</v>
      </c>
      <c r="B1180" s="48" t="s">
        <v>2588</v>
      </c>
      <c r="C1180" s="47" t="s">
        <v>956</v>
      </c>
      <c r="D1180" s="48" t="s">
        <v>957</v>
      </c>
      <c r="E1180" s="48" t="s">
        <v>958</v>
      </c>
      <c r="F1180" s="48" t="s">
        <v>959</v>
      </c>
      <c r="G1180" s="48" t="s">
        <v>960</v>
      </c>
      <c r="H1180" s="47" t="s">
        <v>961</v>
      </c>
      <c r="I1180" s="47" t="s">
        <v>962</v>
      </c>
      <c r="J1180" s="47" t="s">
        <v>26</v>
      </c>
    </row>
    <row r="1181" ht="54" customHeight="1" spans="1:10">
      <c r="A1181" s="48" t="s">
        <v>339</v>
      </c>
      <c r="B1181" s="48" t="s">
        <v>2589</v>
      </c>
      <c r="C1181" s="47" t="s">
        <v>1058</v>
      </c>
      <c r="D1181" s="48" t="s">
        <v>1059</v>
      </c>
      <c r="E1181" s="48" t="s">
        <v>1060</v>
      </c>
      <c r="F1181" s="48" t="s">
        <v>1061</v>
      </c>
      <c r="G1181" s="48" t="s">
        <v>1062</v>
      </c>
      <c r="H1181" s="47" t="s">
        <v>1063</v>
      </c>
      <c r="I1181" s="47" t="s">
        <v>1064</v>
      </c>
      <c r="J1181" s="47" t="s">
        <v>26</v>
      </c>
    </row>
    <row r="1182" ht="54" customHeight="1" spans="1:10">
      <c r="A1182" s="48" t="s">
        <v>339</v>
      </c>
      <c r="B1182" s="48" t="s">
        <v>2590</v>
      </c>
      <c r="C1182" s="47" t="s">
        <v>1097</v>
      </c>
      <c r="D1182" s="48" t="s">
        <v>1098</v>
      </c>
      <c r="E1182" s="48" t="s">
        <v>1099</v>
      </c>
      <c r="F1182" s="48" t="s">
        <v>1100</v>
      </c>
      <c r="G1182" s="48" t="s">
        <v>1101</v>
      </c>
      <c r="H1182" s="47" t="s">
        <v>1102</v>
      </c>
      <c r="I1182" s="47" t="s">
        <v>1103</v>
      </c>
      <c r="J1182" s="47" t="s">
        <v>26</v>
      </c>
    </row>
    <row r="1183" ht="54" customHeight="1" spans="1:10">
      <c r="A1183" s="48" t="s">
        <v>339</v>
      </c>
      <c r="B1183" s="48" t="s">
        <v>2591</v>
      </c>
      <c r="C1183" s="47" t="s">
        <v>1375</v>
      </c>
      <c r="D1183" s="48" t="s">
        <v>1098</v>
      </c>
      <c r="E1183" s="48" t="s">
        <v>1099</v>
      </c>
      <c r="F1183" s="48" t="s">
        <v>1376</v>
      </c>
      <c r="G1183" s="48" t="s">
        <v>1377</v>
      </c>
      <c r="H1183" s="47" t="s">
        <v>1378</v>
      </c>
      <c r="I1183" s="47" t="s">
        <v>1379</v>
      </c>
      <c r="J1183" s="47" t="s">
        <v>26</v>
      </c>
    </row>
    <row r="1184" ht="54" customHeight="1" spans="1:10">
      <c r="A1184" s="48" t="s">
        <v>339</v>
      </c>
      <c r="B1184" s="48" t="s">
        <v>2592</v>
      </c>
      <c r="C1184" s="47" t="s">
        <v>1066</v>
      </c>
      <c r="D1184" s="48" t="s">
        <v>935</v>
      </c>
      <c r="E1184" s="48" t="s">
        <v>936</v>
      </c>
      <c r="F1184" s="48" t="s">
        <v>1067</v>
      </c>
      <c r="G1184" s="48" t="s">
        <v>1068</v>
      </c>
      <c r="H1184" s="47" t="s">
        <v>1069</v>
      </c>
      <c r="I1184" s="47" t="s">
        <v>940</v>
      </c>
      <c r="J1184" s="47" t="s">
        <v>26</v>
      </c>
    </row>
    <row r="1185" ht="54" customHeight="1" spans="1:10">
      <c r="A1185" s="48" t="s">
        <v>339</v>
      </c>
      <c r="B1185" s="48" t="s">
        <v>2593</v>
      </c>
      <c r="C1185" s="47" t="s">
        <v>1252</v>
      </c>
      <c r="D1185" s="48" t="s">
        <v>1001</v>
      </c>
      <c r="E1185" s="48" t="s">
        <v>1002</v>
      </c>
      <c r="F1185" s="48" t="s">
        <v>1253</v>
      </c>
      <c r="G1185" s="48" t="s">
        <v>1254</v>
      </c>
      <c r="H1185" s="47" t="s">
        <v>1255</v>
      </c>
      <c r="I1185" s="47" t="s">
        <v>1256</v>
      </c>
      <c r="J1185" s="47" t="s">
        <v>26</v>
      </c>
    </row>
    <row r="1186" ht="54" customHeight="1" spans="1:10">
      <c r="A1186" s="48" t="s">
        <v>341</v>
      </c>
      <c r="B1186" s="48" t="s">
        <v>2594</v>
      </c>
      <c r="C1186" s="47" t="s">
        <v>1252</v>
      </c>
      <c r="D1186" s="48" t="s">
        <v>1001</v>
      </c>
      <c r="E1186" s="48" t="s">
        <v>1002</v>
      </c>
      <c r="F1186" s="48" t="s">
        <v>1253</v>
      </c>
      <c r="G1186" s="48" t="s">
        <v>1254</v>
      </c>
      <c r="H1186" s="47" t="s">
        <v>1255</v>
      </c>
      <c r="I1186" s="47" t="s">
        <v>1256</v>
      </c>
      <c r="J1186" s="47" t="s">
        <v>26</v>
      </c>
    </row>
    <row r="1187" ht="54" customHeight="1" spans="1:10">
      <c r="A1187" s="48" t="s">
        <v>341</v>
      </c>
      <c r="B1187" s="48" t="s">
        <v>2595</v>
      </c>
      <c r="C1187" s="47" t="s">
        <v>1927</v>
      </c>
      <c r="D1187" s="48" t="s">
        <v>1400</v>
      </c>
      <c r="E1187" s="48" t="s">
        <v>1401</v>
      </c>
      <c r="F1187" s="48" t="s">
        <v>1928</v>
      </c>
      <c r="G1187" s="48" t="s">
        <v>1929</v>
      </c>
      <c r="H1187" s="47" t="s">
        <v>1930</v>
      </c>
      <c r="I1187" s="47" t="s">
        <v>1931</v>
      </c>
      <c r="J1187" s="47" t="s">
        <v>26</v>
      </c>
    </row>
    <row r="1188" ht="54" customHeight="1" spans="1:10">
      <c r="A1188" s="48" t="s">
        <v>343</v>
      </c>
      <c r="B1188" s="48" t="s">
        <v>2596</v>
      </c>
      <c r="C1188" s="47" t="s">
        <v>1975</v>
      </c>
      <c r="D1188" s="48" t="s">
        <v>1009</v>
      </c>
      <c r="E1188" s="48" t="s">
        <v>1010</v>
      </c>
      <c r="F1188" s="48" t="s">
        <v>1976</v>
      </c>
      <c r="G1188" s="48" t="s">
        <v>1977</v>
      </c>
      <c r="H1188" s="47" t="s">
        <v>1978</v>
      </c>
      <c r="I1188" s="47" t="s">
        <v>1979</v>
      </c>
      <c r="J1188" s="47" t="s">
        <v>26</v>
      </c>
    </row>
    <row r="1189" ht="54" customHeight="1" spans="1:10">
      <c r="A1189" s="48" t="s">
        <v>343</v>
      </c>
      <c r="B1189" s="48" t="s">
        <v>2597</v>
      </c>
      <c r="C1189" s="47" t="s">
        <v>2074</v>
      </c>
      <c r="D1189" s="48" t="s">
        <v>1029</v>
      </c>
      <c r="E1189" s="48" t="s">
        <v>1030</v>
      </c>
      <c r="F1189" s="48" t="s">
        <v>2075</v>
      </c>
      <c r="G1189" s="48" t="s">
        <v>2076</v>
      </c>
      <c r="H1189" s="47" t="s">
        <v>2077</v>
      </c>
      <c r="I1189" s="47" t="s">
        <v>2078</v>
      </c>
      <c r="J1189" s="47" t="s">
        <v>26</v>
      </c>
    </row>
    <row r="1190" ht="54" customHeight="1" spans="1:10">
      <c r="A1190" s="48" t="s">
        <v>343</v>
      </c>
      <c r="B1190" s="48" t="s">
        <v>2598</v>
      </c>
      <c r="C1190" s="47" t="s">
        <v>1421</v>
      </c>
      <c r="D1190" s="48" t="s">
        <v>1422</v>
      </c>
      <c r="E1190" s="48" t="s">
        <v>1423</v>
      </c>
      <c r="F1190" s="48" t="s">
        <v>1424</v>
      </c>
      <c r="G1190" s="48" t="s">
        <v>1423</v>
      </c>
      <c r="H1190" s="47" t="s">
        <v>1425</v>
      </c>
      <c r="I1190" s="47" t="s">
        <v>1426</v>
      </c>
      <c r="J1190" s="47" t="s">
        <v>26</v>
      </c>
    </row>
    <row r="1191" ht="54" customHeight="1" spans="1:10">
      <c r="A1191" s="48" t="s">
        <v>343</v>
      </c>
      <c r="B1191" s="48" t="s">
        <v>2599</v>
      </c>
      <c r="C1191" s="47" t="s">
        <v>1000</v>
      </c>
      <c r="D1191" s="48" t="s">
        <v>1001</v>
      </c>
      <c r="E1191" s="48" t="s">
        <v>1002</v>
      </c>
      <c r="F1191" s="48" t="s">
        <v>1003</v>
      </c>
      <c r="G1191" s="48" t="s">
        <v>1004</v>
      </c>
      <c r="H1191" s="47" t="s">
        <v>1005</v>
      </c>
      <c r="I1191" s="47" t="s">
        <v>1006</v>
      </c>
      <c r="J1191" s="47" t="s">
        <v>26</v>
      </c>
    </row>
    <row r="1192" ht="54" customHeight="1" spans="1:10">
      <c r="A1192" s="48" t="s">
        <v>343</v>
      </c>
      <c r="B1192" s="48" t="s">
        <v>2600</v>
      </c>
      <c r="C1192" s="47" t="s">
        <v>1480</v>
      </c>
      <c r="D1192" s="48" t="s">
        <v>1001</v>
      </c>
      <c r="E1192" s="48" t="s">
        <v>1002</v>
      </c>
      <c r="F1192" s="48" t="s">
        <v>1481</v>
      </c>
      <c r="G1192" s="48" t="s">
        <v>1482</v>
      </c>
      <c r="H1192" s="47" t="s">
        <v>1483</v>
      </c>
      <c r="I1192" s="47" t="s">
        <v>1484</v>
      </c>
      <c r="J1192" s="47" t="s">
        <v>26</v>
      </c>
    </row>
    <row r="1193" ht="54" customHeight="1" spans="1:10">
      <c r="A1193" s="48" t="s">
        <v>343</v>
      </c>
      <c r="B1193" s="48" t="s">
        <v>2601</v>
      </c>
      <c r="C1193" s="47" t="s">
        <v>1022</v>
      </c>
      <c r="D1193" s="48" t="s">
        <v>957</v>
      </c>
      <c r="E1193" s="48" t="s">
        <v>958</v>
      </c>
      <c r="F1193" s="48" t="s">
        <v>1023</v>
      </c>
      <c r="G1193" s="48" t="s">
        <v>1024</v>
      </c>
      <c r="H1193" s="47" t="s">
        <v>1025</v>
      </c>
      <c r="I1193" s="47" t="s">
        <v>1026</v>
      </c>
      <c r="J1193" s="47" t="s">
        <v>26</v>
      </c>
    </row>
    <row r="1194" ht="54" customHeight="1" spans="1:10">
      <c r="A1194" s="48" t="s">
        <v>343</v>
      </c>
      <c r="B1194" s="48" t="s">
        <v>2602</v>
      </c>
      <c r="C1194" s="47" t="s">
        <v>1058</v>
      </c>
      <c r="D1194" s="48" t="s">
        <v>1059</v>
      </c>
      <c r="E1194" s="48" t="s">
        <v>1060</v>
      </c>
      <c r="F1194" s="48" t="s">
        <v>1061</v>
      </c>
      <c r="G1194" s="48" t="s">
        <v>1062</v>
      </c>
      <c r="H1194" s="47" t="s">
        <v>1063</v>
      </c>
      <c r="I1194" s="47" t="s">
        <v>1064</v>
      </c>
      <c r="J1194" s="47" t="s">
        <v>26</v>
      </c>
    </row>
    <row r="1195" ht="54" customHeight="1" spans="1:10">
      <c r="A1195" s="48" t="s">
        <v>343</v>
      </c>
      <c r="B1195" s="48" t="s">
        <v>2603</v>
      </c>
      <c r="C1195" s="47" t="s">
        <v>1097</v>
      </c>
      <c r="D1195" s="48" t="s">
        <v>1098</v>
      </c>
      <c r="E1195" s="48" t="s">
        <v>1099</v>
      </c>
      <c r="F1195" s="48" t="s">
        <v>1100</v>
      </c>
      <c r="G1195" s="48" t="s">
        <v>1101</v>
      </c>
      <c r="H1195" s="47" t="s">
        <v>1102</v>
      </c>
      <c r="I1195" s="47" t="s">
        <v>1103</v>
      </c>
      <c r="J1195" s="47" t="s">
        <v>26</v>
      </c>
    </row>
    <row r="1196" ht="54" customHeight="1" spans="1:10">
      <c r="A1196" s="48" t="s">
        <v>345</v>
      </c>
      <c r="B1196" s="48" t="s">
        <v>2604</v>
      </c>
      <c r="C1196" s="47" t="s">
        <v>1000</v>
      </c>
      <c r="D1196" s="48" t="s">
        <v>1001</v>
      </c>
      <c r="E1196" s="48" t="s">
        <v>1002</v>
      </c>
      <c r="F1196" s="48" t="s">
        <v>1003</v>
      </c>
      <c r="G1196" s="48" t="s">
        <v>1004</v>
      </c>
      <c r="H1196" s="47" t="s">
        <v>1005</v>
      </c>
      <c r="I1196" s="47" t="s">
        <v>1006</v>
      </c>
      <c r="J1196" s="47" t="s">
        <v>26</v>
      </c>
    </row>
    <row r="1197" ht="54" customHeight="1" spans="1:10">
      <c r="A1197" s="48" t="s">
        <v>345</v>
      </c>
      <c r="B1197" s="48" t="s">
        <v>2605</v>
      </c>
      <c r="C1197" s="47" t="s">
        <v>1480</v>
      </c>
      <c r="D1197" s="48" t="s">
        <v>1001</v>
      </c>
      <c r="E1197" s="48" t="s">
        <v>1002</v>
      </c>
      <c r="F1197" s="48" t="s">
        <v>1481</v>
      </c>
      <c r="G1197" s="48" t="s">
        <v>1482</v>
      </c>
      <c r="H1197" s="47" t="s">
        <v>1483</v>
      </c>
      <c r="I1197" s="47" t="s">
        <v>1484</v>
      </c>
      <c r="J1197" s="47" t="s">
        <v>26</v>
      </c>
    </row>
    <row r="1198" ht="54" customHeight="1" spans="1:10">
      <c r="A1198" s="48" t="s">
        <v>345</v>
      </c>
      <c r="B1198" s="48" t="s">
        <v>2606</v>
      </c>
      <c r="C1198" s="47" t="s">
        <v>1111</v>
      </c>
      <c r="D1198" s="48" t="s">
        <v>965</v>
      </c>
      <c r="E1198" s="48" t="s">
        <v>966</v>
      </c>
      <c r="F1198" s="48" t="s">
        <v>1112</v>
      </c>
      <c r="G1198" s="48" t="s">
        <v>1113</v>
      </c>
      <c r="H1198" s="47" t="s">
        <v>1114</v>
      </c>
      <c r="I1198" s="47" t="s">
        <v>1115</v>
      </c>
      <c r="J1198" s="47" t="s">
        <v>26</v>
      </c>
    </row>
    <row r="1199" ht="54" customHeight="1" spans="1:10">
      <c r="A1199" s="48" t="s">
        <v>345</v>
      </c>
      <c r="B1199" s="48" t="s">
        <v>2607</v>
      </c>
      <c r="C1199" s="47" t="s">
        <v>977</v>
      </c>
      <c r="D1199" s="48" t="s">
        <v>978</v>
      </c>
      <c r="E1199" s="48" t="s">
        <v>979</v>
      </c>
      <c r="F1199" s="48" t="s">
        <v>980</v>
      </c>
      <c r="G1199" s="48" t="s">
        <v>981</v>
      </c>
      <c r="H1199" s="47" t="s">
        <v>982</v>
      </c>
      <c r="I1199" s="47" t="s">
        <v>983</v>
      </c>
      <c r="J1199" s="47" t="s">
        <v>26</v>
      </c>
    </row>
    <row r="1200" ht="54" customHeight="1" spans="1:10">
      <c r="A1200" s="48" t="s">
        <v>347</v>
      </c>
      <c r="B1200" s="48" t="s">
        <v>2608</v>
      </c>
      <c r="C1200" s="47" t="s">
        <v>1459</v>
      </c>
      <c r="D1200" s="48" t="s">
        <v>957</v>
      </c>
      <c r="E1200" s="48" t="s">
        <v>958</v>
      </c>
      <c r="F1200" s="48" t="s">
        <v>1460</v>
      </c>
      <c r="G1200" s="48" t="s">
        <v>1461</v>
      </c>
      <c r="H1200" s="47" t="s">
        <v>1462</v>
      </c>
      <c r="I1200" s="47" t="s">
        <v>1463</v>
      </c>
      <c r="J1200" s="47" t="s">
        <v>26</v>
      </c>
    </row>
    <row r="1201" ht="54" customHeight="1" spans="1:10">
      <c r="A1201" s="48" t="s">
        <v>347</v>
      </c>
      <c r="B1201" s="48" t="s">
        <v>2609</v>
      </c>
      <c r="C1201" s="47" t="s">
        <v>1337</v>
      </c>
      <c r="D1201" s="48" t="s">
        <v>1009</v>
      </c>
      <c r="E1201" s="48" t="s">
        <v>1010</v>
      </c>
      <c r="F1201" s="48" t="s">
        <v>1338</v>
      </c>
      <c r="G1201" s="48" t="s">
        <v>1339</v>
      </c>
      <c r="H1201" s="47" t="s">
        <v>1340</v>
      </c>
      <c r="I1201" s="47" t="s">
        <v>1341</v>
      </c>
      <c r="J1201" s="47" t="s">
        <v>26</v>
      </c>
    </row>
    <row r="1202" ht="54" customHeight="1" spans="1:10">
      <c r="A1202" s="48" t="s">
        <v>347</v>
      </c>
      <c r="B1202" s="48" t="s">
        <v>2610</v>
      </c>
      <c r="C1202" s="47" t="s">
        <v>956</v>
      </c>
      <c r="D1202" s="48" t="s">
        <v>957</v>
      </c>
      <c r="E1202" s="48" t="s">
        <v>958</v>
      </c>
      <c r="F1202" s="48" t="s">
        <v>959</v>
      </c>
      <c r="G1202" s="48" t="s">
        <v>960</v>
      </c>
      <c r="H1202" s="47" t="s">
        <v>961</v>
      </c>
      <c r="I1202" s="47" t="s">
        <v>962</v>
      </c>
      <c r="J1202" s="47" t="s">
        <v>26</v>
      </c>
    </row>
    <row r="1203" ht="54" customHeight="1" spans="1:10">
      <c r="A1203" s="48" t="s">
        <v>347</v>
      </c>
      <c r="B1203" s="48" t="s">
        <v>2611</v>
      </c>
      <c r="C1203" s="47" t="s">
        <v>1052</v>
      </c>
      <c r="D1203" s="48" t="s">
        <v>1009</v>
      </c>
      <c r="E1203" s="48" t="s">
        <v>1010</v>
      </c>
      <c r="F1203" s="48" t="s">
        <v>1053</v>
      </c>
      <c r="G1203" s="48" t="s">
        <v>1054</v>
      </c>
      <c r="H1203" s="47" t="s">
        <v>1055</v>
      </c>
      <c r="I1203" s="47" t="s">
        <v>1056</v>
      </c>
      <c r="J1203" s="47" t="s">
        <v>26</v>
      </c>
    </row>
    <row r="1204" ht="54" customHeight="1" spans="1:10">
      <c r="A1204" s="48" t="s">
        <v>347</v>
      </c>
      <c r="B1204" s="48" t="s">
        <v>2612</v>
      </c>
      <c r="C1204" s="47" t="s">
        <v>1097</v>
      </c>
      <c r="D1204" s="48" t="s">
        <v>1098</v>
      </c>
      <c r="E1204" s="48" t="s">
        <v>1099</v>
      </c>
      <c r="F1204" s="48" t="s">
        <v>1100</v>
      </c>
      <c r="G1204" s="48" t="s">
        <v>1101</v>
      </c>
      <c r="H1204" s="47" t="s">
        <v>1102</v>
      </c>
      <c r="I1204" s="47" t="s">
        <v>1103</v>
      </c>
      <c r="J1204" s="47" t="s">
        <v>26</v>
      </c>
    </row>
    <row r="1205" ht="54" customHeight="1" spans="1:10">
      <c r="A1205" s="48" t="s">
        <v>347</v>
      </c>
      <c r="B1205" s="48" t="s">
        <v>2613</v>
      </c>
      <c r="C1205" s="47" t="s">
        <v>1137</v>
      </c>
      <c r="D1205" s="48" t="s">
        <v>1138</v>
      </c>
      <c r="E1205" s="48" t="s">
        <v>1139</v>
      </c>
      <c r="F1205" s="48" t="s">
        <v>1140</v>
      </c>
      <c r="G1205" s="48" t="s">
        <v>1141</v>
      </c>
      <c r="H1205" s="47" t="s">
        <v>1142</v>
      </c>
      <c r="I1205" s="47" t="s">
        <v>940</v>
      </c>
      <c r="J1205" s="47" t="s">
        <v>26</v>
      </c>
    </row>
    <row r="1206" ht="54" customHeight="1" spans="1:10">
      <c r="A1206" s="48" t="s">
        <v>347</v>
      </c>
      <c r="B1206" s="48" t="s">
        <v>2614</v>
      </c>
      <c r="C1206" s="47" t="s">
        <v>971</v>
      </c>
      <c r="D1206" s="48" t="s">
        <v>965</v>
      </c>
      <c r="E1206" s="48" t="s">
        <v>966</v>
      </c>
      <c r="F1206" s="48" t="s">
        <v>972</v>
      </c>
      <c r="G1206" s="48" t="s">
        <v>973</v>
      </c>
      <c r="H1206" s="47" t="s">
        <v>974</v>
      </c>
      <c r="I1206" s="47" t="s">
        <v>975</v>
      </c>
      <c r="J1206" s="47" t="s">
        <v>26</v>
      </c>
    </row>
    <row r="1207" ht="54" customHeight="1" spans="1:10">
      <c r="A1207" s="48" t="s">
        <v>347</v>
      </c>
      <c r="B1207" s="48" t="s">
        <v>2615</v>
      </c>
      <c r="C1207" s="47" t="s">
        <v>1211</v>
      </c>
      <c r="D1207" s="48" t="s">
        <v>965</v>
      </c>
      <c r="E1207" s="48" t="s">
        <v>966</v>
      </c>
      <c r="F1207" s="48" t="s">
        <v>1212</v>
      </c>
      <c r="G1207" s="48" t="s">
        <v>1213</v>
      </c>
      <c r="H1207" s="47" t="s">
        <v>1214</v>
      </c>
      <c r="I1207" s="47" t="s">
        <v>940</v>
      </c>
      <c r="J1207" s="47" t="s">
        <v>26</v>
      </c>
    </row>
    <row r="1208" ht="54" customHeight="1" spans="1:10">
      <c r="A1208" s="48" t="s">
        <v>349</v>
      </c>
      <c r="B1208" s="48" t="s">
        <v>2616</v>
      </c>
      <c r="C1208" s="47" t="s">
        <v>1337</v>
      </c>
      <c r="D1208" s="48" t="s">
        <v>1009</v>
      </c>
      <c r="E1208" s="48" t="s">
        <v>1010</v>
      </c>
      <c r="F1208" s="48" t="s">
        <v>1338</v>
      </c>
      <c r="G1208" s="48" t="s">
        <v>1339</v>
      </c>
      <c r="H1208" s="47" t="s">
        <v>1340</v>
      </c>
      <c r="I1208" s="47" t="s">
        <v>1341</v>
      </c>
      <c r="J1208" s="47" t="s">
        <v>26</v>
      </c>
    </row>
    <row r="1209" ht="54" customHeight="1" spans="1:10">
      <c r="A1209" s="48" t="s">
        <v>349</v>
      </c>
      <c r="B1209" s="48" t="s">
        <v>2617</v>
      </c>
      <c r="C1209" s="47" t="s">
        <v>1052</v>
      </c>
      <c r="D1209" s="48" t="s">
        <v>1009</v>
      </c>
      <c r="E1209" s="48" t="s">
        <v>1010</v>
      </c>
      <c r="F1209" s="48" t="s">
        <v>1053</v>
      </c>
      <c r="G1209" s="48" t="s">
        <v>1054</v>
      </c>
      <c r="H1209" s="47" t="s">
        <v>1055</v>
      </c>
      <c r="I1209" s="47" t="s">
        <v>1056</v>
      </c>
      <c r="J1209" s="47" t="s">
        <v>26</v>
      </c>
    </row>
    <row r="1210" ht="54" customHeight="1" spans="1:10">
      <c r="A1210" s="48" t="s">
        <v>349</v>
      </c>
      <c r="B1210" s="48" t="s">
        <v>2618</v>
      </c>
      <c r="C1210" s="47" t="s">
        <v>2004</v>
      </c>
      <c r="D1210" s="48" t="s">
        <v>1171</v>
      </c>
      <c r="E1210" s="48" t="s">
        <v>1172</v>
      </c>
      <c r="F1210" s="48" t="s">
        <v>2005</v>
      </c>
      <c r="G1210" s="48" t="s">
        <v>2006</v>
      </c>
      <c r="H1210" s="47" t="s">
        <v>2007</v>
      </c>
      <c r="I1210" s="47" t="s">
        <v>1176</v>
      </c>
      <c r="J1210" s="47" t="s">
        <v>26</v>
      </c>
    </row>
    <row r="1211" ht="54" customHeight="1" spans="1:10">
      <c r="A1211" s="48" t="s">
        <v>351</v>
      </c>
      <c r="B1211" s="48" t="s">
        <v>2619</v>
      </c>
      <c r="C1211" s="47" t="s">
        <v>1089</v>
      </c>
      <c r="D1211" s="48" t="s">
        <v>957</v>
      </c>
      <c r="E1211" s="48" t="s">
        <v>958</v>
      </c>
      <c r="F1211" s="48" t="s">
        <v>1090</v>
      </c>
      <c r="G1211" s="48" t="s">
        <v>1091</v>
      </c>
      <c r="H1211" s="47" t="s">
        <v>1092</v>
      </c>
      <c r="I1211" s="47" t="s">
        <v>1093</v>
      </c>
      <c r="J1211" s="47" t="s">
        <v>26</v>
      </c>
    </row>
    <row r="1212" ht="54" customHeight="1" spans="1:10">
      <c r="A1212" s="48" t="s">
        <v>351</v>
      </c>
      <c r="B1212" s="48" t="s">
        <v>2620</v>
      </c>
      <c r="C1212" s="47" t="s">
        <v>956</v>
      </c>
      <c r="D1212" s="48" t="s">
        <v>957</v>
      </c>
      <c r="E1212" s="48" t="s">
        <v>958</v>
      </c>
      <c r="F1212" s="48" t="s">
        <v>959</v>
      </c>
      <c r="G1212" s="48" t="s">
        <v>960</v>
      </c>
      <c r="H1212" s="47" t="s">
        <v>961</v>
      </c>
      <c r="I1212" s="47" t="s">
        <v>962</v>
      </c>
      <c r="J1212" s="47" t="s">
        <v>26</v>
      </c>
    </row>
    <row r="1213" ht="54" customHeight="1" spans="1:10">
      <c r="A1213" s="48" t="s">
        <v>351</v>
      </c>
      <c r="B1213" s="48" t="s">
        <v>2621</v>
      </c>
      <c r="C1213" s="47" t="s">
        <v>1097</v>
      </c>
      <c r="D1213" s="48" t="s">
        <v>1098</v>
      </c>
      <c r="E1213" s="48" t="s">
        <v>1099</v>
      </c>
      <c r="F1213" s="48" t="s">
        <v>1100</v>
      </c>
      <c r="G1213" s="48" t="s">
        <v>1101</v>
      </c>
      <c r="H1213" s="47" t="s">
        <v>1102</v>
      </c>
      <c r="I1213" s="47" t="s">
        <v>1103</v>
      </c>
      <c r="J1213" s="47" t="s">
        <v>26</v>
      </c>
    </row>
    <row r="1214" ht="54" customHeight="1" spans="1:10">
      <c r="A1214" s="48" t="s">
        <v>351</v>
      </c>
      <c r="B1214" s="48" t="s">
        <v>2622</v>
      </c>
      <c r="C1214" s="47" t="s">
        <v>1066</v>
      </c>
      <c r="D1214" s="48" t="s">
        <v>935</v>
      </c>
      <c r="E1214" s="48" t="s">
        <v>936</v>
      </c>
      <c r="F1214" s="48" t="s">
        <v>1067</v>
      </c>
      <c r="G1214" s="48" t="s">
        <v>1068</v>
      </c>
      <c r="H1214" s="47" t="s">
        <v>1069</v>
      </c>
      <c r="I1214" s="47" t="s">
        <v>940</v>
      </c>
      <c r="J1214" s="47" t="s">
        <v>26</v>
      </c>
    </row>
    <row r="1215" ht="54" customHeight="1" spans="1:10">
      <c r="A1215" s="48" t="s">
        <v>351</v>
      </c>
      <c r="B1215" s="48" t="s">
        <v>2623</v>
      </c>
      <c r="C1215" s="47" t="s">
        <v>1638</v>
      </c>
      <c r="D1215" s="48" t="s">
        <v>1118</v>
      </c>
      <c r="E1215" s="48" t="s">
        <v>1119</v>
      </c>
      <c r="F1215" s="48" t="s">
        <v>1639</v>
      </c>
      <c r="G1215" s="48" t="s">
        <v>1640</v>
      </c>
      <c r="H1215" s="47" t="s">
        <v>1641</v>
      </c>
      <c r="I1215" s="47" t="s">
        <v>1642</v>
      </c>
      <c r="J1215" s="47" t="s">
        <v>26</v>
      </c>
    </row>
    <row r="1216" ht="54" customHeight="1" spans="1:10">
      <c r="A1216" s="48" t="s">
        <v>351</v>
      </c>
      <c r="B1216" s="48" t="s">
        <v>2624</v>
      </c>
      <c r="C1216" s="47" t="s">
        <v>1137</v>
      </c>
      <c r="D1216" s="48" t="s">
        <v>1138</v>
      </c>
      <c r="E1216" s="48" t="s">
        <v>1139</v>
      </c>
      <c r="F1216" s="48" t="s">
        <v>1140</v>
      </c>
      <c r="G1216" s="48" t="s">
        <v>1141</v>
      </c>
      <c r="H1216" s="47" t="s">
        <v>1142</v>
      </c>
      <c r="I1216" s="47" t="s">
        <v>940</v>
      </c>
      <c r="J1216" s="47" t="s">
        <v>26</v>
      </c>
    </row>
    <row r="1217" ht="54" customHeight="1" spans="1:10">
      <c r="A1217" s="48" t="s">
        <v>351</v>
      </c>
      <c r="B1217" s="48" t="s">
        <v>2625</v>
      </c>
      <c r="C1217" s="47" t="s">
        <v>971</v>
      </c>
      <c r="D1217" s="48" t="s">
        <v>965</v>
      </c>
      <c r="E1217" s="48" t="s">
        <v>966</v>
      </c>
      <c r="F1217" s="48" t="s">
        <v>972</v>
      </c>
      <c r="G1217" s="48" t="s">
        <v>973</v>
      </c>
      <c r="H1217" s="47" t="s">
        <v>974</v>
      </c>
      <c r="I1217" s="47" t="s">
        <v>975</v>
      </c>
      <c r="J1217" s="47" t="s">
        <v>26</v>
      </c>
    </row>
    <row r="1218" ht="54" customHeight="1" spans="1:10">
      <c r="A1218" s="48" t="s">
        <v>351</v>
      </c>
      <c r="B1218" s="48" t="s">
        <v>2626</v>
      </c>
      <c r="C1218" s="47" t="s">
        <v>1205</v>
      </c>
      <c r="D1218" s="48" t="s">
        <v>978</v>
      </c>
      <c r="E1218" s="48" t="s">
        <v>979</v>
      </c>
      <c r="F1218" s="48" t="s">
        <v>1206</v>
      </c>
      <c r="G1218" s="48" t="s">
        <v>1207</v>
      </c>
      <c r="H1218" s="47" t="s">
        <v>1208</v>
      </c>
      <c r="I1218" s="47" t="s">
        <v>1209</v>
      </c>
      <c r="J1218" s="47" t="s">
        <v>26</v>
      </c>
    </row>
    <row r="1219" ht="54" customHeight="1" spans="1:10">
      <c r="A1219" s="48" t="s">
        <v>353</v>
      </c>
      <c r="B1219" s="48" t="s">
        <v>2627</v>
      </c>
      <c r="C1219" s="47" t="s">
        <v>1066</v>
      </c>
      <c r="D1219" s="48" t="s">
        <v>935</v>
      </c>
      <c r="E1219" s="48" t="s">
        <v>936</v>
      </c>
      <c r="F1219" s="48" t="s">
        <v>1067</v>
      </c>
      <c r="G1219" s="48" t="s">
        <v>1068</v>
      </c>
      <c r="H1219" s="47" t="s">
        <v>1069</v>
      </c>
      <c r="I1219" s="47" t="s">
        <v>940</v>
      </c>
      <c r="J1219" s="47" t="s">
        <v>26</v>
      </c>
    </row>
    <row r="1220" ht="54" customHeight="1" spans="1:10">
      <c r="A1220" s="48" t="s">
        <v>353</v>
      </c>
      <c r="B1220" s="48" t="s">
        <v>2628</v>
      </c>
      <c r="C1220" s="47" t="s">
        <v>1137</v>
      </c>
      <c r="D1220" s="48" t="s">
        <v>1138</v>
      </c>
      <c r="E1220" s="48" t="s">
        <v>1139</v>
      </c>
      <c r="F1220" s="48" t="s">
        <v>1140</v>
      </c>
      <c r="G1220" s="48" t="s">
        <v>1141</v>
      </c>
      <c r="H1220" s="47" t="s">
        <v>1142</v>
      </c>
      <c r="I1220" s="47" t="s">
        <v>940</v>
      </c>
      <c r="J1220" s="47" t="s">
        <v>26</v>
      </c>
    </row>
    <row r="1221" ht="54" customHeight="1" spans="1:10">
      <c r="A1221" s="48" t="s">
        <v>353</v>
      </c>
      <c r="B1221" s="48" t="s">
        <v>2629</v>
      </c>
      <c r="C1221" s="47" t="s">
        <v>1170</v>
      </c>
      <c r="D1221" s="48" t="s">
        <v>1171</v>
      </c>
      <c r="E1221" s="48" t="s">
        <v>1172</v>
      </c>
      <c r="F1221" s="48" t="s">
        <v>1173</v>
      </c>
      <c r="G1221" s="48" t="s">
        <v>1174</v>
      </c>
      <c r="H1221" s="47" t="s">
        <v>1175</v>
      </c>
      <c r="I1221" s="47" t="s">
        <v>1176</v>
      </c>
      <c r="J1221" s="47" t="s">
        <v>26</v>
      </c>
    </row>
    <row r="1222" ht="54" customHeight="1" spans="1:10">
      <c r="A1222" s="48" t="s">
        <v>355</v>
      </c>
      <c r="B1222" s="48" t="s">
        <v>2630</v>
      </c>
      <c r="C1222" s="47" t="s">
        <v>1008</v>
      </c>
      <c r="D1222" s="48" t="s">
        <v>1009</v>
      </c>
      <c r="E1222" s="48" t="s">
        <v>1010</v>
      </c>
      <c r="F1222" s="48" t="s">
        <v>1011</v>
      </c>
      <c r="G1222" s="48" t="s">
        <v>1012</v>
      </c>
      <c r="H1222" s="47" t="s">
        <v>1013</v>
      </c>
      <c r="I1222" s="47" t="s">
        <v>1014</v>
      </c>
      <c r="J1222" s="47" t="s">
        <v>26</v>
      </c>
    </row>
    <row r="1223" ht="54" customHeight="1" spans="1:10">
      <c r="A1223" s="48" t="s">
        <v>355</v>
      </c>
      <c r="B1223" s="48" t="s">
        <v>2631</v>
      </c>
      <c r="C1223" s="47" t="s">
        <v>1572</v>
      </c>
      <c r="D1223" s="48" t="s">
        <v>1098</v>
      </c>
      <c r="E1223" s="48" t="s">
        <v>1099</v>
      </c>
      <c r="F1223" s="48" t="s">
        <v>1573</v>
      </c>
      <c r="G1223" s="48" t="s">
        <v>1574</v>
      </c>
      <c r="H1223" s="47" t="s">
        <v>1575</v>
      </c>
      <c r="I1223" s="47" t="s">
        <v>1576</v>
      </c>
      <c r="J1223" s="47" t="s">
        <v>26</v>
      </c>
    </row>
    <row r="1224" ht="54" customHeight="1" spans="1:10">
      <c r="A1224" s="48" t="s">
        <v>355</v>
      </c>
      <c r="B1224" s="48" t="s">
        <v>2632</v>
      </c>
      <c r="C1224" s="47" t="s">
        <v>1589</v>
      </c>
      <c r="D1224" s="48" t="s">
        <v>943</v>
      </c>
      <c r="E1224" s="48" t="s">
        <v>944</v>
      </c>
      <c r="F1224" s="48" t="s">
        <v>1590</v>
      </c>
      <c r="G1224" s="48" t="s">
        <v>1591</v>
      </c>
      <c r="H1224" s="47" t="s">
        <v>1592</v>
      </c>
      <c r="I1224" s="47" t="s">
        <v>1593</v>
      </c>
      <c r="J1224" s="47" t="s">
        <v>26</v>
      </c>
    </row>
    <row r="1225" ht="54" customHeight="1" spans="1:10">
      <c r="A1225" s="48" t="s">
        <v>355</v>
      </c>
      <c r="B1225" s="48" t="s">
        <v>2633</v>
      </c>
      <c r="C1225" s="47" t="s">
        <v>1164</v>
      </c>
      <c r="D1225" s="48" t="s">
        <v>978</v>
      </c>
      <c r="E1225" s="48" t="s">
        <v>979</v>
      </c>
      <c r="F1225" s="48" t="s">
        <v>1165</v>
      </c>
      <c r="G1225" s="48" t="s">
        <v>1166</v>
      </c>
      <c r="H1225" s="47" t="s">
        <v>1167</v>
      </c>
      <c r="I1225" s="47" t="s">
        <v>1168</v>
      </c>
      <c r="J1225" s="47" t="s">
        <v>26</v>
      </c>
    </row>
    <row r="1226" ht="54" customHeight="1" spans="1:10">
      <c r="A1226" s="48" t="s">
        <v>357</v>
      </c>
      <c r="B1226" s="48" t="s">
        <v>2634</v>
      </c>
      <c r="C1226" s="47" t="s">
        <v>1516</v>
      </c>
      <c r="D1226" s="48" t="s">
        <v>1073</v>
      </c>
      <c r="E1226" s="48" t="s">
        <v>1074</v>
      </c>
      <c r="F1226" s="48" t="s">
        <v>1517</v>
      </c>
      <c r="G1226" s="48" t="s">
        <v>1518</v>
      </c>
      <c r="H1226" s="47" t="s">
        <v>1519</v>
      </c>
      <c r="I1226" s="47" t="s">
        <v>1520</v>
      </c>
      <c r="J1226" s="47" t="s">
        <v>26</v>
      </c>
    </row>
    <row r="1227" ht="54" customHeight="1" spans="1:10">
      <c r="A1227" s="48" t="s">
        <v>357</v>
      </c>
      <c r="B1227" s="48" t="s">
        <v>2635</v>
      </c>
      <c r="C1227" s="47" t="s">
        <v>1534</v>
      </c>
      <c r="D1227" s="48" t="s">
        <v>935</v>
      </c>
      <c r="E1227" s="48" t="s">
        <v>936</v>
      </c>
      <c r="F1227" s="48" t="s">
        <v>1535</v>
      </c>
      <c r="G1227" s="48" t="s">
        <v>1536</v>
      </c>
      <c r="H1227" s="47" t="s">
        <v>1537</v>
      </c>
      <c r="I1227" s="47" t="s">
        <v>940</v>
      </c>
      <c r="J1227" s="47" t="s">
        <v>26</v>
      </c>
    </row>
    <row r="1228" ht="54" customHeight="1" spans="1:10">
      <c r="A1228" s="48" t="s">
        <v>357</v>
      </c>
      <c r="B1228" s="48" t="s">
        <v>2636</v>
      </c>
      <c r="C1228" s="47" t="s">
        <v>956</v>
      </c>
      <c r="D1228" s="48" t="s">
        <v>957</v>
      </c>
      <c r="E1228" s="48" t="s">
        <v>958</v>
      </c>
      <c r="F1228" s="48" t="s">
        <v>959</v>
      </c>
      <c r="G1228" s="48" t="s">
        <v>960</v>
      </c>
      <c r="H1228" s="47" t="s">
        <v>961</v>
      </c>
      <c r="I1228" s="47" t="s">
        <v>962</v>
      </c>
      <c r="J1228" s="47" t="s">
        <v>26</v>
      </c>
    </row>
    <row r="1229" ht="54" customHeight="1" spans="1:10">
      <c r="A1229" s="48" t="s">
        <v>357</v>
      </c>
      <c r="B1229" s="48" t="s">
        <v>2637</v>
      </c>
      <c r="C1229" s="47" t="s">
        <v>1097</v>
      </c>
      <c r="D1229" s="48" t="s">
        <v>1098</v>
      </c>
      <c r="E1229" s="48" t="s">
        <v>1099</v>
      </c>
      <c r="F1229" s="48" t="s">
        <v>1100</v>
      </c>
      <c r="G1229" s="48" t="s">
        <v>1101</v>
      </c>
      <c r="H1229" s="47" t="s">
        <v>1102</v>
      </c>
      <c r="I1229" s="47" t="s">
        <v>1103</v>
      </c>
      <c r="J1229" s="47" t="s">
        <v>26</v>
      </c>
    </row>
    <row r="1230" ht="54" customHeight="1" spans="1:10">
      <c r="A1230" s="48" t="s">
        <v>357</v>
      </c>
      <c r="B1230" s="48" t="s">
        <v>2638</v>
      </c>
      <c r="C1230" s="47" t="s">
        <v>1545</v>
      </c>
      <c r="D1230" s="48" t="s">
        <v>1138</v>
      </c>
      <c r="E1230" s="48" t="s">
        <v>1139</v>
      </c>
      <c r="F1230" s="48" t="s">
        <v>1546</v>
      </c>
      <c r="G1230" s="48" t="s">
        <v>1547</v>
      </c>
      <c r="H1230" s="47" t="s">
        <v>1548</v>
      </c>
      <c r="I1230" s="47" t="s">
        <v>940</v>
      </c>
      <c r="J1230" s="47" t="s">
        <v>26</v>
      </c>
    </row>
    <row r="1231" ht="54" customHeight="1" spans="1:10">
      <c r="A1231" s="48" t="s">
        <v>357</v>
      </c>
      <c r="B1231" s="48" t="s">
        <v>2639</v>
      </c>
      <c r="C1231" s="47" t="s">
        <v>1131</v>
      </c>
      <c r="D1231" s="48" t="s">
        <v>993</v>
      </c>
      <c r="E1231" s="48" t="s">
        <v>994</v>
      </c>
      <c r="F1231" s="48" t="s">
        <v>1132</v>
      </c>
      <c r="G1231" s="48" t="s">
        <v>1133</v>
      </c>
      <c r="H1231" s="47" t="s">
        <v>1134</v>
      </c>
      <c r="I1231" s="47" t="s">
        <v>1135</v>
      </c>
      <c r="J1231" s="47" t="s">
        <v>26</v>
      </c>
    </row>
    <row r="1232" ht="54" customHeight="1" spans="1:10">
      <c r="A1232" s="48" t="s">
        <v>357</v>
      </c>
      <c r="B1232" s="48" t="s">
        <v>2640</v>
      </c>
      <c r="C1232" s="47" t="s">
        <v>1137</v>
      </c>
      <c r="D1232" s="48" t="s">
        <v>1138</v>
      </c>
      <c r="E1232" s="48" t="s">
        <v>1139</v>
      </c>
      <c r="F1232" s="48" t="s">
        <v>1140</v>
      </c>
      <c r="G1232" s="48" t="s">
        <v>1141</v>
      </c>
      <c r="H1232" s="47" t="s">
        <v>1142</v>
      </c>
      <c r="I1232" s="47" t="s">
        <v>940</v>
      </c>
      <c r="J1232" s="47" t="s">
        <v>26</v>
      </c>
    </row>
    <row r="1233" ht="54" customHeight="1" spans="1:10">
      <c r="A1233" s="48" t="s">
        <v>357</v>
      </c>
      <c r="B1233" s="48" t="s">
        <v>2641</v>
      </c>
      <c r="C1233" s="47" t="s">
        <v>971</v>
      </c>
      <c r="D1233" s="48" t="s">
        <v>965</v>
      </c>
      <c r="E1233" s="48" t="s">
        <v>966</v>
      </c>
      <c r="F1233" s="48" t="s">
        <v>972</v>
      </c>
      <c r="G1233" s="48" t="s">
        <v>973</v>
      </c>
      <c r="H1233" s="47" t="s">
        <v>974</v>
      </c>
      <c r="I1233" s="47" t="s">
        <v>975</v>
      </c>
      <c r="J1233" s="47" t="s">
        <v>26</v>
      </c>
    </row>
    <row r="1234" ht="54" customHeight="1" spans="1:10">
      <c r="A1234" s="48" t="s">
        <v>359</v>
      </c>
      <c r="B1234" s="48" t="s">
        <v>2642</v>
      </c>
      <c r="C1234" s="47" t="s">
        <v>934</v>
      </c>
      <c r="D1234" s="48" t="s">
        <v>935</v>
      </c>
      <c r="E1234" s="48" t="s">
        <v>936</v>
      </c>
      <c r="F1234" s="48" t="s">
        <v>937</v>
      </c>
      <c r="G1234" s="48" t="s">
        <v>938</v>
      </c>
      <c r="H1234" s="47" t="s">
        <v>939</v>
      </c>
      <c r="I1234" s="47" t="s">
        <v>940</v>
      </c>
      <c r="J1234" s="47" t="s">
        <v>26</v>
      </c>
    </row>
    <row r="1235" ht="54" customHeight="1" spans="1:10">
      <c r="A1235" s="48" t="s">
        <v>359</v>
      </c>
      <c r="B1235" s="48" t="s">
        <v>2643</v>
      </c>
      <c r="C1235" s="47" t="s">
        <v>1066</v>
      </c>
      <c r="D1235" s="48" t="s">
        <v>935</v>
      </c>
      <c r="E1235" s="48" t="s">
        <v>936</v>
      </c>
      <c r="F1235" s="48" t="s">
        <v>1067</v>
      </c>
      <c r="G1235" s="48" t="s">
        <v>1068</v>
      </c>
      <c r="H1235" s="47" t="s">
        <v>1069</v>
      </c>
      <c r="I1235" s="47" t="s">
        <v>940</v>
      </c>
      <c r="J1235" s="47" t="s">
        <v>26</v>
      </c>
    </row>
    <row r="1236" ht="54" customHeight="1" spans="1:10">
      <c r="A1236" s="48" t="s">
        <v>359</v>
      </c>
      <c r="B1236" s="48" t="s">
        <v>2644</v>
      </c>
      <c r="C1236" s="47" t="s">
        <v>1291</v>
      </c>
      <c r="D1236" s="48" t="s">
        <v>965</v>
      </c>
      <c r="E1236" s="48" t="s">
        <v>966</v>
      </c>
      <c r="F1236" s="48" t="s">
        <v>1292</v>
      </c>
      <c r="G1236" s="48" t="s">
        <v>1293</v>
      </c>
      <c r="H1236" s="47" t="s">
        <v>1294</v>
      </c>
      <c r="I1236" s="47" t="s">
        <v>1295</v>
      </c>
      <c r="J1236" s="47" t="s">
        <v>26</v>
      </c>
    </row>
    <row r="1237" ht="54" customHeight="1" spans="1:10">
      <c r="A1237" s="48" t="s">
        <v>359</v>
      </c>
      <c r="B1237" s="48" t="s">
        <v>2645</v>
      </c>
      <c r="C1237" s="47" t="s">
        <v>1145</v>
      </c>
      <c r="D1237" s="48" t="s">
        <v>1146</v>
      </c>
      <c r="E1237" s="48" t="s">
        <v>1147</v>
      </c>
      <c r="F1237" s="48" t="s">
        <v>1148</v>
      </c>
      <c r="G1237" s="48" t="s">
        <v>1149</v>
      </c>
      <c r="H1237" s="47" t="s">
        <v>1150</v>
      </c>
      <c r="I1237" s="47" t="s">
        <v>1151</v>
      </c>
      <c r="J1237" s="47" t="s">
        <v>26</v>
      </c>
    </row>
    <row r="1238" ht="54" customHeight="1" spans="1:10">
      <c r="A1238" s="48" t="s">
        <v>359</v>
      </c>
      <c r="B1238" s="48" t="s">
        <v>2646</v>
      </c>
      <c r="C1238" s="47" t="s">
        <v>1245</v>
      </c>
      <c r="D1238" s="48" t="s">
        <v>1171</v>
      </c>
      <c r="E1238" s="48" t="s">
        <v>1172</v>
      </c>
      <c r="F1238" s="48" t="s">
        <v>1246</v>
      </c>
      <c r="G1238" s="48" t="s">
        <v>1247</v>
      </c>
      <c r="H1238" s="47" t="s">
        <v>1248</v>
      </c>
      <c r="I1238" s="47" t="s">
        <v>1176</v>
      </c>
      <c r="J1238" s="47" t="s">
        <v>26</v>
      </c>
    </row>
    <row r="1239" ht="54" customHeight="1" spans="1:10">
      <c r="A1239" s="48" t="s">
        <v>359</v>
      </c>
      <c r="B1239" s="48" t="s">
        <v>2647</v>
      </c>
      <c r="C1239" s="47" t="s">
        <v>1196</v>
      </c>
      <c r="D1239" s="48" t="s">
        <v>1118</v>
      </c>
      <c r="E1239" s="48" t="s">
        <v>1119</v>
      </c>
      <c r="F1239" s="48" t="s">
        <v>1197</v>
      </c>
      <c r="G1239" s="48" t="s">
        <v>1198</v>
      </c>
      <c r="H1239" s="47" t="s">
        <v>1199</v>
      </c>
      <c r="I1239" s="47" t="s">
        <v>1200</v>
      </c>
      <c r="J1239" s="47" t="s">
        <v>26</v>
      </c>
    </row>
    <row r="1240" ht="54" customHeight="1" spans="1:10">
      <c r="A1240" s="48" t="s">
        <v>361</v>
      </c>
      <c r="B1240" s="48" t="s">
        <v>2648</v>
      </c>
      <c r="C1240" s="47" t="s">
        <v>1008</v>
      </c>
      <c r="D1240" s="48" t="s">
        <v>1009</v>
      </c>
      <c r="E1240" s="48" t="s">
        <v>1010</v>
      </c>
      <c r="F1240" s="48" t="s">
        <v>1011</v>
      </c>
      <c r="G1240" s="48" t="s">
        <v>1012</v>
      </c>
      <c r="H1240" s="47" t="s">
        <v>1013</v>
      </c>
      <c r="I1240" s="47" t="s">
        <v>1014</v>
      </c>
      <c r="J1240" s="47" t="s">
        <v>26</v>
      </c>
    </row>
    <row r="1241" ht="54" customHeight="1" spans="1:10">
      <c r="A1241" s="48" t="s">
        <v>361</v>
      </c>
      <c r="B1241" s="48" t="s">
        <v>2649</v>
      </c>
      <c r="C1241" s="47" t="s">
        <v>1337</v>
      </c>
      <c r="D1241" s="48" t="s">
        <v>1009</v>
      </c>
      <c r="E1241" s="48" t="s">
        <v>1010</v>
      </c>
      <c r="F1241" s="48" t="s">
        <v>1338</v>
      </c>
      <c r="G1241" s="48" t="s">
        <v>1339</v>
      </c>
      <c r="H1241" s="47" t="s">
        <v>1340</v>
      </c>
      <c r="I1241" s="47" t="s">
        <v>1341</v>
      </c>
      <c r="J1241" s="47" t="s">
        <v>26</v>
      </c>
    </row>
    <row r="1242" ht="54" customHeight="1" spans="1:10">
      <c r="A1242" s="48" t="s">
        <v>361</v>
      </c>
      <c r="B1242" s="48" t="s">
        <v>2650</v>
      </c>
      <c r="C1242" s="47" t="s">
        <v>956</v>
      </c>
      <c r="D1242" s="48" t="s">
        <v>957</v>
      </c>
      <c r="E1242" s="48" t="s">
        <v>958</v>
      </c>
      <c r="F1242" s="48" t="s">
        <v>959</v>
      </c>
      <c r="G1242" s="48" t="s">
        <v>960</v>
      </c>
      <c r="H1242" s="47" t="s">
        <v>961</v>
      </c>
      <c r="I1242" s="47" t="s">
        <v>962</v>
      </c>
      <c r="J1242" s="47" t="s">
        <v>26</v>
      </c>
    </row>
    <row r="1243" ht="54" customHeight="1" spans="1:10">
      <c r="A1243" s="48" t="s">
        <v>361</v>
      </c>
      <c r="B1243" s="48" t="s">
        <v>2651</v>
      </c>
      <c r="C1243" s="47" t="s">
        <v>1767</v>
      </c>
      <c r="D1243" s="48" t="s">
        <v>957</v>
      </c>
      <c r="E1243" s="48" t="s">
        <v>958</v>
      </c>
      <c r="F1243" s="48" t="s">
        <v>1768</v>
      </c>
      <c r="G1243" s="48" t="s">
        <v>1769</v>
      </c>
      <c r="H1243" s="47" t="s">
        <v>1770</v>
      </c>
      <c r="I1243" s="47" t="s">
        <v>1771</v>
      </c>
      <c r="J1243" s="47" t="s">
        <v>26</v>
      </c>
    </row>
    <row r="1244" ht="54" customHeight="1" spans="1:10">
      <c r="A1244" s="48" t="s">
        <v>361</v>
      </c>
      <c r="B1244" s="48" t="s">
        <v>2652</v>
      </c>
      <c r="C1244" s="47" t="s">
        <v>1052</v>
      </c>
      <c r="D1244" s="48" t="s">
        <v>1009</v>
      </c>
      <c r="E1244" s="48" t="s">
        <v>1010</v>
      </c>
      <c r="F1244" s="48" t="s">
        <v>1053</v>
      </c>
      <c r="G1244" s="48" t="s">
        <v>1054</v>
      </c>
      <c r="H1244" s="47" t="s">
        <v>1055</v>
      </c>
      <c r="I1244" s="47" t="s">
        <v>1056</v>
      </c>
      <c r="J1244" s="47" t="s">
        <v>26</v>
      </c>
    </row>
    <row r="1245" ht="54" customHeight="1" spans="1:10">
      <c r="A1245" s="48" t="s">
        <v>361</v>
      </c>
      <c r="B1245" s="48" t="s">
        <v>2653</v>
      </c>
      <c r="C1245" s="47" t="s">
        <v>1097</v>
      </c>
      <c r="D1245" s="48" t="s">
        <v>1098</v>
      </c>
      <c r="E1245" s="48" t="s">
        <v>1099</v>
      </c>
      <c r="F1245" s="48" t="s">
        <v>1100</v>
      </c>
      <c r="G1245" s="48" t="s">
        <v>1101</v>
      </c>
      <c r="H1245" s="47" t="s">
        <v>1102</v>
      </c>
      <c r="I1245" s="47" t="s">
        <v>1103</v>
      </c>
      <c r="J1245" s="47" t="s">
        <v>26</v>
      </c>
    </row>
    <row r="1246" ht="54" customHeight="1" spans="1:10">
      <c r="A1246" s="48" t="s">
        <v>363</v>
      </c>
      <c r="B1246" s="48" t="s">
        <v>2654</v>
      </c>
      <c r="C1246" s="47" t="s">
        <v>956</v>
      </c>
      <c r="D1246" s="48" t="s">
        <v>957</v>
      </c>
      <c r="E1246" s="48" t="s">
        <v>958</v>
      </c>
      <c r="F1246" s="48" t="s">
        <v>959</v>
      </c>
      <c r="G1246" s="48" t="s">
        <v>960</v>
      </c>
      <c r="H1246" s="47" t="s">
        <v>961</v>
      </c>
      <c r="I1246" s="47" t="s">
        <v>962</v>
      </c>
      <c r="J1246" s="47" t="s">
        <v>26</v>
      </c>
    </row>
    <row r="1247" ht="54" customHeight="1" spans="1:10">
      <c r="A1247" s="48" t="s">
        <v>363</v>
      </c>
      <c r="B1247" s="48" t="s">
        <v>2655</v>
      </c>
      <c r="C1247" s="47" t="s">
        <v>1097</v>
      </c>
      <c r="D1247" s="48" t="s">
        <v>1098</v>
      </c>
      <c r="E1247" s="48" t="s">
        <v>1099</v>
      </c>
      <c r="F1247" s="48" t="s">
        <v>1100</v>
      </c>
      <c r="G1247" s="48" t="s">
        <v>1101</v>
      </c>
      <c r="H1247" s="47" t="s">
        <v>1102</v>
      </c>
      <c r="I1247" s="47" t="s">
        <v>1103</v>
      </c>
      <c r="J1247" s="47" t="s">
        <v>26</v>
      </c>
    </row>
    <row r="1248" ht="54" customHeight="1" spans="1:10">
      <c r="A1248" s="48" t="s">
        <v>363</v>
      </c>
      <c r="B1248" s="48" t="s">
        <v>2656</v>
      </c>
      <c r="C1248" s="47" t="s">
        <v>971</v>
      </c>
      <c r="D1248" s="48" t="s">
        <v>965</v>
      </c>
      <c r="E1248" s="48" t="s">
        <v>966</v>
      </c>
      <c r="F1248" s="48" t="s">
        <v>972</v>
      </c>
      <c r="G1248" s="48" t="s">
        <v>973</v>
      </c>
      <c r="H1248" s="47" t="s">
        <v>974</v>
      </c>
      <c r="I1248" s="47" t="s">
        <v>975</v>
      </c>
      <c r="J1248" s="47" t="s">
        <v>26</v>
      </c>
    </row>
    <row r="1249" ht="54" customHeight="1" spans="1:10">
      <c r="A1249" s="48" t="s">
        <v>363</v>
      </c>
      <c r="B1249" s="48" t="s">
        <v>2657</v>
      </c>
      <c r="C1249" s="47" t="s">
        <v>1750</v>
      </c>
      <c r="D1249" s="48" t="s">
        <v>965</v>
      </c>
      <c r="E1249" s="48" t="s">
        <v>966</v>
      </c>
      <c r="F1249" s="48" t="s">
        <v>1751</v>
      </c>
      <c r="G1249" s="48" t="s">
        <v>1752</v>
      </c>
      <c r="H1249" s="47" t="s">
        <v>1753</v>
      </c>
      <c r="I1249" s="47" t="s">
        <v>940</v>
      </c>
      <c r="J1249" s="47" t="s">
        <v>26</v>
      </c>
    </row>
    <row r="1250" ht="54" customHeight="1" spans="1:10">
      <c r="A1250" s="48" t="s">
        <v>363</v>
      </c>
      <c r="B1250" s="48" t="s">
        <v>2658</v>
      </c>
      <c r="C1250" s="47" t="s">
        <v>1164</v>
      </c>
      <c r="D1250" s="48" t="s">
        <v>978</v>
      </c>
      <c r="E1250" s="48" t="s">
        <v>979</v>
      </c>
      <c r="F1250" s="48" t="s">
        <v>1165</v>
      </c>
      <c r="G1250" s="48" t="s">
        <v>1166</v>
      </c>
      <c r="H1250" s="47" t="s">
        <v>1167</v>
      </c>
      <c r="I1250" s="47" t="s">
        <v>1168</v>
      </c>
      <c r="J1250" s="47" t="s">
        <v>26</v>
      </c>
    </row>
    <row r="1251" ht="54" customHeight="1" spans="1:10">
      <c r="A1251" s="48" t="s">
        <v>363</v>
      </c>
      <c r="B1251" s="48" t="s">
        <v>2659</v>
      </c>
      <c r="C1251" s="47" t="s">
        <v>1245</v>
      </c>
      <c r="D1251" s="48" t="s">
        <v>1171</v>
      </c>
      <c r="E1251" s="48" t="s">
        <v>1172</v>
      </c>
      <c r="F1251" s="48" t="s">
        <v>1246</v>
      </c>
      <c r="G1251" s="48" t="s">
        <v>1247</v>
      </c>
      <c r="H1251" s="47" t="s">
        <v>1248</v>
      </c>
      <c r="I1251" s="47" t="s">
        <v>1176</v>
      </c>
      <c r="J1251" s="47" t="s">
        <v>26</v>
      </c>
    </row>
    <row r="1252" ht="54" customHeight="1" spans="1:10">
      <c r="A1252" s="48" t="s">
        <v>365</v>
      </c>
      <c r="B1252" s="48" t="s">
        <v>2660</v>
      </c>
      <c r="C1252" s="47" t="s">
        <v>1145</v>
      </c>
      <c r="D1252" s="48" t="s">
        <v>1146</v>
      </c>
      <c r="E1252" s="48" t="s">
        <v>1147</v>
      </c>
      <c r="F1252" s="48" t="s">
        <v>1148</v>
      </c>
      <c r="G1252" s="48" t="s">
        <v>1149</v>
      </c>
      <c r="H1252" s="47" t="s">
        <v>1150</v>
      </c>
      <c r="I1252" s="47" t="s">
        <v>1151</v>
      </c>
      <c r="J1252" s="47" t="s">
        <v>26</v>
      </c>
    </row>
    <row r="1253" ht="54" customHeight="1" spans="1:10">
      <c r="A1253" s="48" t="s">
        <v>365</v>
      </c>
      <c r="B1253" s="48" t="s">
        <v>2661</v>
      </c>
      <c r="C1253" s="47" t="s">
        <v>1245</v>
      </c>
      <c r="D1253" s="48" t="s">
        <v>1171</v>
      </c>
      <c r="E1253" s="48" t="s">
        <v>1172</v>
      </c>
      <c r="F1253" s="48" t="s">
        <v>1246</v>
      </c>
      <c r="G1253" s="48" t="s">
        <v>1247</v>
      </c>
      <c r="H1253" s="47" t="s">
        <v>1248</v>
      </c>
      <c r="I1253" s="47" t="s">
        <v>1176</v>
      </c>
      <c r="J1253" s="47" t="s">
        <v>26</v>
      </c>
    </row>
    <row r="1254" ht="54" customHeight="1" spans="1:10">
      <c r="A1254" s="48" t="s">
        <v>365</v>
      </c>
      <c r="B1254" s="48" t="s">
        <v>2662</v>
      </c>
      <c r="C1254" s="47" t="s">
        <v>1196</v>
      </c>
      <c r="D1254" s="48" t="s">
        <v>1118</v>
      </c>
      <c r="E1254" s="48" t="s">
        <v>1119</v>
      </c>
      <c r="F1254" s="48" t="s">
        <v>1197</v>
      </c>
      <c r="G1254" s="48" t="s">
        <v>1198</v>
      </c>
      <c r="H1254" s="47" t="s">
        <v>1199</v>
      </c>
      <c r="I1254" s="47" t="s">
        <v>1200</v>
      </c>
      <c r="J1254" s="47" t="s">
        <v>26</v>
      </c>
    </row>
    <row r="1255" ht="54" customHeight="1" spans="1:10">
      <c r="A1255" s="48" t="s">
        <v>367</v>
      </c>
      <c r="B1255" s="48" t="s">
        <v>2663</v>
      </c>
      <c r="C1255" s="47" t="s">
        <v>1934</v>
      </c>
      <c r="D1255" s="48" t="s">
        <v>1184</v>
      </c>
      <c r="E1255" s="48" t="s">
        <v>1185</v>
      </c>
      <c r="F1255" s="48" t="s">
        <v>1935</v>
      </c>
      <c r="G1255" s="48" t="s">
        <v>1936</v>
      </c>
      <c r="H1255" s="47" t="s">
        <v>1937</v>
      </c>
      <c r="I1255" s="47" t="s">
        <v>1938</v>
      </c>
      <c r="J1255" s="47" t="s">
        <v>26</v>
      </c>
    </row>
    <row r="1256" ht="54" customHeight="1" spans="1:10">
      <c r="A1256" s="48" t="s">
        <v>367</v>
      </c>
      <c r="B1256" s="48" t="s">
        <v>2664</v>
      </c>
      <c r="C1256" s="47" t="s">
        <v>964</v>
      </c>
      <c r="D1256" s="48" t="s">
        <v>965</v>
      </c>
      <c r="E1256" s="48" t="s">
        <v>966</v>
      </c>
      <c r="F1256" s="48" t="s">
        <v>967</v>
      </c>
      <c r="G1256" s="48" t="s">
        <v>968</v>
      </c>
      <c r="H1256" s="47" t="s">
        <v>969</v>
      </c>
      <c r="I1256" s="47" t="s">
        <v>940</v>
      </c>
      <c r="J1256" s="47" t="s">
        <v>26</v>
      </c>
    </row>
    <row r="1257" ht="54" customHeight="1" spans="1:10">
      <c r="A1257" s="48" t="s">
        <v>367</v>
      </c>
      <c r="B1257" s="48" t="s">
        <v>2665</v>
      </c>
      <c r="C1257" s="47" t="s">
        <v>977</v>
      </c>
      <c r="D1257" s="48" t="s">
        <v>978</v>
      </c>
      <c r="E1257" s="48" t="s">
        <v>979</v>
      </c>
      <c r="F1257" s="48" t="s">
        <v>980</v>
      </c>
      <c r="G1257" s="48" t="s">
        <v>981</v>
      </c>
      <c r="H1257" s="47" t="s">
        <v>982</v>
      </c>
      <c r="I1257" s="47" t="s">
        <v>983</v>
      </c>
      <c r="J1257" s="47" t="s">
        <v>26</v>
      </c>
    </row>
    <row r="1258" ht="54" customHeight="1" spans="1:10">
      <c r="A1258" s="48" t="s">
        <v>367</v>
      </c>
      <c r="B1258" s="48" t="s">
        <v>2666</v>
      </c>
      <c r="C1258" s="47" t="s">
        <v>1245</v>
      </c>
      <c r="D1258" s="48" t="s">
        <v>1171</v>
      </c>
      <c r="E1258" s="48" t="s">
        <v>1172</v>
      </c>
      <c r="F1258" s="48" t="s">
        <v>1246</v>
      </c>
      <c r="G1258" s="48" t="s">
        <v>1247</v>
      </c>
      <c r="H1258" s="47" t="s">
        <v>1248</v>
      </c>
      <c r="I1258" s="47" t="s">
        <v>1176</v>
      </c>
      <c r="J1258" s="47" t="s">
        <v>26</v>
      </c>
    </row>
    <row r="1259" ht="54" customHeight="1" spans="1:10">
      <c r="A1259" s="48" t="s">
        <v>369</v>
      </c>
      <c r="B1259" s="48" t="s">
        <v>2667</v>
      </c>
      <c r="C1259" s="47" t="s">
        <v>1052</v>
      </c>
      <c r="D1259" s="48" t="s">
        <v>1009</v>
      </c>
      <c r="E1259" s="48" t="s">
        <v>1010</v>
      </c>
      <c r="F1259" s="48" t="s">
        <v>1053</v>
      </c>
      <c r="G1259" s="48" t="s">
        <v>1054</v>
      </c>
      <c r="H1259" s="47" t="s">
        <v>1055</v>
      </c>
      <c r="I1259" s="47" t="s">
        <v>1056</v>
      </c>
      <c r="J1259" s="47" t="s">
        <v>26</v>
      </c>
    </row>
    <row r="1260" ht="54" customHeight="1" spans="1:10">
      <c r="A1260" s="48" t="s">
        <v>369</v>
      </c>
      <c r="B1260" s="48" t="s">
        <v>2668</v>
      </c>
      <c r="C1260" s="47" t="s">
        <v>1375</v>
      </c>
      <c r="D1260" s="48" t="s">
        <v>1098</v>
      </c>
      <c r="E1260" s="48" t="s">
        <v>1099</v>
      </c>
      <c r="F1260" s="48" t="s">
        <v>1376</v>
      </c>
      <c r="G1260" s="48" t="s">
        <v>1377</v>
      </c>
      <c r="H1260" s="47" t="s">
        <v>1378</v>
      </c>
      <c r="I1260" s="47" t="s">
        <v>1379</v>
      </c>
      <c r="J1260" s="47" t="s">
        <v>26</v>
      </c>
    </row>
    <row r="1261" ht="54" customHeight="1" spans="1:10">
      <c r="A1261" s="48" t="s">
        <v>369</v>
      </c>
      <c r="B1261" s="48" t="s">
        <v>2669</v>
      </c>
      <c r="C1261" s="47" t="s">
        <v>1066</v>
      </c>
      <c r="D1261" s="48" t="s">
        <v>935</v>
      </c>
      <c r="E1261" s="48" t="s">
        <v>936</v>
      </c>
      <c r="F1261" s="48" t="s">
        <v>1067</v>
      </c>
      <c r="G1261" s="48" t="s">
        <v>1068</v>
      </c>
      <c r="H1261" s="47" t="s">
        <v>1069</v>
      </c>
      <c r="I1261" s="47" t="s">
        <v>940</v>
      </c>
      <c r="J1261" s="47" t="s">
        <v>26</v>
      </c>
    </row>
    <row r="1262" ht="54" customHeight="1" spans="1:10">
      <c r="A1262" s="48" t="s">
        <v>371</v>
      </c>
      <c r="B1262" s="48" t="s">
        <v>2670</v>
      </c>
      <c r="C1262" s="47" t="s">
        <v>2074</v>
      </c>
      <c r="D1262" s="48" t="s">
        <v>1029</v>
      </c>
      <c r="E1262" s="48" t="s">
        <v>1030</v>
      </c>
      <c r="F1262" s="48" t="s">
        <v>2075</v>
      </c>
      <c r="G1262" s="48" t="s">
        <v>2076</v>
      </c>
      <c r="H1262" s="47" t="s">
        <v>2077</v>
      </c>
      <c r="I1262" s="47" t="s">
        <v>2078</v>
      </c>
      <c r="J1262" s="47" t="s">
        <v>26</v>
      </c>
    </row>
    <row r="1263" ht="54" customHeight="1" spans="1:10">
      <c r="A1263" s="48" t="s">
        <v>371</v>
      </c>
      <c r="B1263" s="48" t="s">
        <v>2671</v>
      </c>
      <c r="C1263" s="47" t="s">
        <v>1016</v>
      </c>
      <c r="D1263" s="48" t="s">
        <v>935</v>
      </c>
      <c r="E1263" s="48" t="s">
        <v>936</v>
      </c>
      <c r="F1263" s="48" t="s">
        <v>1017</v>
      </c>
      <c r="G1263" s="48" t="s">
        <v>1018</v>
      </c>
      <c r="H1263" s="47" t="s">
        <v>1019</v>
      </c>
      <c r="I1263" s="47" t="s">
        <v>1020</v>
      </c>
      <c r="J1263" s="47" t="s">
        <v>26</v>
      </c>
    </row>
    <row r="1264" ht="54" customHeight="1" spans="1:10">
      <c r="A1264" s="48" t="s">
        <v>371</v>
      </c>
      <c r="B1264" s="48" t="s">
        <v>2672</v>
      </c>
      <c r="C1264" s="47" t="s">
        <v>1480</v>
      </c>
      <c r="D1264" s="48" t="s">
        <v>1001</v>
      </c>
      <c r="E1264" s="48" t="s">
        <v>1002</v>
      </c>
      <c r="F1264" s="48" t="s">
        <v>1481</v>
      </c>
      <c r="G1264" s="48" t="s">
        <v>1482</v>
      </c>
      <c r="H1264" s="47" t="s">
        <v>1483</v>
      </c>
      <c r="I1264" s="47" t="s">
        <v>1484</v>
      </c>
      <c r="J1264" s="47" t="s">
        <v>26</v>
      </c>
    </row>
    <row r="1265" ht="54" customHeight="1" spans="1:10">
      <c r="A1265" s="48" t="s">
        <v>371</v>
      </c>
      <c r="B1265" s="48" t="s">
        <v>2673</v>
      </c>
      <c r="C1265" s="47" t="s">
        <v>1052</v>
      </c>
      <c r="D1265" s="48" t="s">
        <v>1009</v>
      </c>
      <c r="E1265" s="48" t="s">
        <v>1010</v>
      </c>
      <c r="F1265" s="48" t="s">
        <v>1053</v>
      </c>
      <c r="G1265" s="48" t="s">
        <v>1054</v>
      </c>
      <c r="H1265" s="47" t="s">
        <v>1055</v>
      </c>
      <c r="I1265" s="47" t="s">
        <v>1056</v>
      </c>
      <c r="J1265" s="47" t="s">
        <v>26</v>
      </c>
    </row>
    <row r="1266" ht="54" customHeight="1" spans="1:10">
      <c r="A1266" s="48" t="s">
        <v>371</v>
      </c>
      <c r="B1266" s="48" t="s">
        <v>2674</v>
      </c>
      <c r="C1266" s="47" t="s">
        <v>1097</v>
      </c>
      <c r="D1266" s="48" t="s">
        <v>1098</v>
      </c>
      <c r="E1266" s="48" t="s">
        <v>1099</v>
      </c>
      <c r="F1266" s="48" t="s">
        <v>1100</v>
      </c>
      <c r="G1266" s="48" t="s">
        <v>1101</v>
      </c>
      <c r="H1266" s="47" t="s">
        <v>1102</v>
      </c>
      <c r="I1266" s="47" t="s">
        <v>1103</v>
      </c>
      <c r="J1266" s="47" t="s">
        <v>26</v>
      </c>
    </row>
    <row r="1267" ht="54" customHeight="1" spans="1:10">
      <c r="A1267" s="48" t="s">
        <v>371</v>
      </c>
      <c r="B1267" s="48" t="s">
        <v>2675</v>
      </c>
      <c r="C1267" s="47" t="s">
        <v>1252</v>
      </c>
      <c r="D1267" s="48" t="s">
        <v>1001</v>
      </c>
      <c r="E1267" s="48" t="s">
        <v>1002</v>
      </c>
      <c r="F1267" s="48" t="s">
        <v>1253</v>
      </c>
      <c r="G1267" s="48" t="s">
        <v>1254</v>
      </c>
      <c r="H1267" s="47" t="s">
        <v>1255</v>
      </c>
      <c r="I1267" s="47" t="s">
        <v>1256</v>
      </c>
      <c r="J1267" s="47" t="s">
        <v>26</v>
      </c>
    </row>
    <row r="1268" ht="54" customHeight="1" spans="1:10">
      <c r="A1268" s="48" t="s">
        <v>373</v>
      </c>
      <c r="B1268" s="48" t="s">
        <v>2676</v>
      </c>
      <c r="C1268" s="47" t="s">
        <v>1052</v>
      </c>
      <c r="D1268" s="48" t="s">
        <v>1009</v>
      </c>
      <c r="E1268" s="48" t="s">
        <v>1010</v>
      </c>
      <c r="F1268" s="48" t="s">
        <v>1053</v>
      </c>
      <c r="G1268" s="48" t="s">
        <v>1054</v>
      </c>
      <c r="H1268" s="47" t="s">
        <v>1055</v>
      </c>
      <c r="I1268" s="47" t="s">
        <v>1056</v>
      </c>
      <c r="J1268" s="47" t="s">
        <v>26</v>
      </c>
    </row>
    <row r="1269" ht="54" customHeight="1" spans="1:10">
      <c r="A1269" s="48" t="s">
        <v>373</v>
      </c>
      <c r="B1269" s="48" t="s">
        <v>2677</v>
      </c>
      <c r="C1269" s="47" t="s">
        <v>1205</v>
      </c>
      <c r="D1269" s="48" t="s">
        <v>978</v>
      </c>
      <c r="E1269" s="48" t="s">
        <v>979</v>
      </c>
      <c r="F1269" s="48" t="s">
        <v>1206</v>
      </c>
      <c r="G1269" s="48" t="s">
        <v>1207</v>
      </c>
      <c r="H1269" s="47" t="s">
        <v>1208</v>
      </c>
      <c r="I1269" s="47" t="s">
        <v>1209</v>
      </c>
      <c r="J1269" s="47" t="s">
        <v>26</v>
      </c>
    </row>
    <row r="1270" ht="54" customHeight="1" spans="1:10">
      <c r="A1270" s="48" t="s">
        <v>375</v>
      </c>
      <c r="B1270" s="48" t="s">
        <v>2678</v>
      </c>
      <c r="C1270" s="47" t="s">
        <v>2074</v>
      </c>
      <c r="D1270" s="48" t="s">
        <v>1029</v>
      </c>
      <c r="E1270" s="48" t="s">
        <v>1030</v>
      </c>
      <c r="F1270" s="48" t="s">
        <v>2075</v>
      </c>
      <c r="G1270" s="48" t="s">
        <v>2076</v>
      </c>
      <c r="H1270" s="47" t="s">
        <v>2077</v>
      </c>
      <c r="I1270" s="47" t="s">
        <v>2078</v>
      </c>
      <c r="J1270" s="47" t="s">
        <v>26</v>
      </c>
    </row>
    <row r="1271" ht="54" customHeight="1" spans="1:10">
      <c r="A1271" s="48" t="s">
        <v>375</v>
      </c>
      <c r="B1271" s="48" t="s">
        <v>2679</v>
      </c>
      <c r="C1271" s="47" t="s">
        <v>1016</v>
      </c>
      <c r="D1271" s="48" t="s">
        <v>935</v>
      </c>
      <c r="E1271" s="48" t="s">
        <v>936</v>
      </c>
      <c r="F1271" s="48" t="s">
        <v>1017</v>
      </c>
      <c r="G1271" s="48" t="s">
        <v>1018</v>
      </c>
      <c r="H1271" s="47" t="s">
        <v>1019</v>
      </c>
      <c r="I1271" s="47" t="s">
        <v>1020</v>
      </c>
      <c r="J1271" s="47" t="s">
        <v>26</v>
      </c>
    </row>
    <row r="1272" ht="54" customHeight="1" spans="1:10">
      <c r="A1272" s="48" t="s">
        <v>375</v>
      </c>
      <c r="B1272" s="48" t="s">
        <v>2680</v>
      </c>
      <c r="C1272" s="47" t="s">
        <v>1052</v>
      </c>
      <c r="D1272" s="48" t="s">
        <v>1009</v>
      </c>
      <c r="E1272" s="48" t="s">
        <v>1010</v>
      </c>
      <c r="F1272" s="48" t="s">
        <v>1053</v>
      </c>
      <c r="G1272" s="48" t="s">
        <v>1054</v>
      </c>
      <c r="H1272" s="47" t="s">
        <v>1055</v>
      </c>
      <c r="I1272" s="47" t="s">
        <v>1056</v>
      </c>
      <c r="J1272" s="47" t="s">
        <v>26</v>
      </c>
    </row>
    <row r="1273" ht="54" customHeight="1" spans="1:10">
      <c r="A1273" s="48" t="s">
        <v>375</v>
      </c>
      <c r="B1273" s="48" t="s">
        <v>2681</v>
      </c>
      <c r="C1273" s="47" t="s">
        <v>1117</v>
      </c>
      <c r="D1273" s="48" t="s">
        <v>1118</v>
      </c>
      <c r="E1273" s="48" t="s">
        <v>1119</v>
      </c>
      <c r="F1273" s="48" t="s">
        <v>1120</v>
      </c>
      <c r="G1273" s="48" t="s">
        <v>1121</v>
      </c>
      <c r="H1273" s="47" t="s">
        <v>1122</v>
      </c>
      <c r="I1273" s="47" t="s">
        <v>1123</v>
      </c>
      <c r="J1273" s="47" t="s">
        <v>26</v>
      </c>
    </row>
    <row r="1274" ht="54" customHeight="1" spans="1:10">
      <c r="A1274" s="48" t="s">
        <v>375</v>
      </c>
      <c r="B1274" s="48" t="s">
        <v>2682</v>
      </c>
      <c r="C1274" s="47" t="s">
        <v>971</v>
      </c>
      <c r="D1274" s="48" t="s">
        <v>965</v>
      </c>
      <c r="E1274" s="48" t="s">
        <v>966</v>
      </c>
      <c r="F1274" s="48" t="s">
        <v>972</v>
      </c>
      <c r="G1274" s="48" t="s">
        <v>973</v>
      </c>
      <c r="H1274" s="47" t="s">
        <v>974</v>
      </c>
      <c r="I1274" s="47" t="s">
        <v>975</v>
      </c>
      <c r="J1274" s="47" t="s">
        <v>26</v>
      </c>
    </row>
    <row r="1275" ht="54" customHeight="1" spans="1:10">
      <c r="A1275" s="48" t="s">
        <v>375</v>
      </c>
      <c r="B1275" s="48" t="s">
        <v>2683</v>
      </c>
      <c r="C1275" s="47" t="s">
        <v>1313</v>
      </c>
      <c r="D1275" s="48" t="s">
        <v>1037</v>
      </c>
      <c r="E1275" s="48" t="s">
        <v>1038</v>
      </c>
      <c r="F1275" s="48" t="s">
        <v>1314</v>
      </c>
      <c r="G1275" s="48" t="s">
        <v>1315</v>
      </c>
      <c r="H1275" s="47" t="s">
        <v>1316</v>
      </c>
      <c r="I1275" s="47" t="s">
        <v>1317</v>
      </c>
      <c r="J1275" s="47" t="s">
        <v>26</v>
      </c>
    </row>
    <row r="1276" ht="54" customHeight="1" spans="1:10">
      <c r="A1276" s="48" t="s">
        <v>377</v>
      </c>
      <c r="B1276" s="48" t="s">
        <v>2684</v>
      </c>
      <c r="C1276" s="47" t="s">
        <v>2074</v>
      </c>
      <c r="D1276" s="48" t="s">
        <v>1029</v>
      </c>
      <c r="E1276" s="48" t="s">
        <v>1030</v>
      </c>
      <c r="F1276" s="48" t="s">
        <v>2075</v>
      </c>
      <c r="G1276" s="48" t="s">
        <v>2076</v>
      </c>
      <c r="H1276" s="47" t="s">
        <v>2077</v>
      </c>
      <c r="I1276" s="47" t="s">
        <v>2078</v>
      </c>
      <c r="J1276" s="47" t="s">
        <v>26</v>
      </c>
    </row>
    <row r="1277" ht="54" customHeight="1" spans="1:10">
      <c r="A1277" s="48" t="s">
        <v>377</v>
      </c>
      <c r="B1277" s="48" t="s">
        <v>2685</v>
      </c>
      <c r="C1277" s="47" t="s">
        <v>1052</v>
      </c>
      <c r="D1277" s="48" t="s">
        <v>1009</v>
      </c>
      <c r="E1277" s="48" t="s">
        <v>1010</v>
      </c>
      <c r="F1277" s="48" t="s">
        <v>1053</v>
      </c>
      <c r="G1277" s="48" t="s">
        <v>1054</v>
      </c>
      <c r="H1277" s="47" t="s">
        <v>1055</v>
      </c>
      <c r="I1277" s="47" t="s">
        <v>1056</v>
      </c>
      <c r="J1277" s="47" t="s">
        <v>26</v>
      </c>
    </row>
    <row r="1278" ht="54" customHeight="1" spans="1:10">
      <c r="A1278" s="48" t="s">
        <v>379</v>
      </c>
      <c r="B1278" s="48" t="s">
        <v>2686</v>
      </c>
      <c r="C1278" s="47" t="s">
        <v>1421</v>
      </c>
      <c r="D1278" s="48" t="s">
        <v>1422</v>
      </c>
      <c r="E1278" s="48" t="s">
        <v>1423</v>
      </c>
      <c r="F1278" s="48" t="s">
        <v>1424</v>
      </c>
      <c r="G1278" s="48" t="s">
        <v>1423</v>
      </c>
      <c r="H1278" s="47" t="s">
        <v>1425</v>
      </c>
      <c r="I1278" s="47" t="s">
        <v>1426</v>
      </c>
      <c r="J1278" s="47" t="s">
        <v>26</v>
      </c>
    </row>
    <row r="1279" ht="54" customHeight="1" spans="1:10">
      <c r="A1279" s="48" t="s">
        <v>379</v>
      </c>
      <c r="B1279" s="48" t="s">
        <v>2687</v>
      </c>
      <c r="C1279" s="47" t="s">
        <v>1008</v>
      </c>
      <c r="D1279" s="48" t="s">
        <v>1009</v>
      </c>
      <c r="E1279" s="48" t="s">
        <v>1010</v>
      </c>
      <c r="F1279" s="48" t="s">
        <v>1011</v>
      </c>
      <c r="G1279" s="48" t="s">
        <v>1012</v>
      </c>
      <c r="H1279" s="47" t="s">
        <v>1013</v>
      </c>
      <c r="I1279" s="47" t="s">
        <v>1014</v>
      </c>
      <c r="J1279" s="47" t="s">
        <v>26</v>
      </c>
    </row>
    <row r="1280" ht="54" customHeight="1" spans="1:10">
      <c r="A1280" s="48" t="s">
        <v>379</v>
      </c>
      <c r="B1280" s="48" t="s">
        <v>2688</v>
      </c>
      <c r="C1280" s="47" t="s">
        <v>1016</v>
      </c>
      <c r="D1280" s="48" t="s">
        <v>935</v>
      </c>
      <c r="E1280" s="48" t="s">
        <v>936</v>
      </c>
      <c r="F1280" s="48" t="s">
        <v>1017</v>
      </c>
      <c r="G1280" s="48" t="s">
        <v>1018</v>
      </c>
      <c r="H1280" s="47" t="s">
        <v>1019</v>
      </c>
      <c r="I1280" s="47" t="s">
        <v>1020</v>
      </c>
      <c r="J1280" s="47" t="s">
        <v>26</v>
      </c>
    </row>
    <row r="1281" ht="54" customHeight="1" spans="1:10">
      <c r="A1281" s="48" t="s">
        <v>379</v>
      </c>
      <c r="B1281" s="48" t="s">
        <v>2689</v>
      </c>
      <c r="C1281" s="47" t="s">
        <v>1480</v>
      </c>
      <c r="D1281" s="48" t="s">
        <v>1001</v>
      </c>
      <c r="E1281" s="48" t="s">
        <v>1002</v>
      </c>
      <c r="F1281" s="48" t="s">
        <v>1481</v>
      </c>
      <c r="G1281" s="48" t="s">
        <v>1482</v>
      </c>
      <c r="H1281" s="47" t="s">
        <v>1483</v>
      </c>
      <c r="I1281" s="47" t="s">
        <v>1484</v>
      </c>
      <c r="J1281" s="47" t="s">
        <v>26</v>
      </c>
    </row>
    <row r="1282" ht="54" customHeight="1" spans="1:10">
      <c r="A1282" s="48" t="s">
        <v>379</v>
      </c>
      <c r="B1282" s="48" t="s">
        <v>2690</v>
      </c>
      <c r="C1282" s="47" t="s">
        <v>1022</v>
      </c>
      <c r="D1282" s="48" t="s">
        <v>957</v>
      </c>
      <c r="E1282" s="48" t="s">
        <v>958</v>
      </c>
      <c r="F1282" s="48" t="s">
        <v>1023</v>
      </c>
      <c r="G1282" s="48" t="s">
        <v>1024</v>
      </c>
      <c r="H1282" s="47" t="s">
        <v>1025</v>
      </c>
      <c r="I1282" s="47" t="s">
        <v>1026</v>
      </c>
      <c r="J1282" s="47" t="s">
        <v>26</v>
      </c>
    </row>
    <row r="1283" ht="54" customHeight="1" spans="1:10">
      <c r="A1283" s="48" t="s">
        <v>379</v>
      </c>
      <c r="B1283" s="48" t="s">
        <v>2691</v>
      </c>
      <c r="C1283" s="47" t="s">
        <v>1052</v>
      </c>
      <c r="D1283" s="48" t="s">
        <v>1009</v>
      </c>
      <c r="E1283" s="48" t="s">
        <v>1010</v>
      </c>
      <c r="F1283" s="48" t="s">
        <v>1053</v>
      </c>
      <c r="G1283" s="48" t="s">
        <v>1054</v>
      </c>
      <c r="H1283" s="47" t="s">
        <v>1055</v>
      </c>
      <c r="I1283" s="47" t="s">
        <v>1056</v>
      </c>
      <c r="J1283" s="47" t="s">
        <v>26</v>
      </c>
    </row>
    <row r="1284" ht="54" customHeight="1" spans="1:10">
      <c r="A1284" s="48" t="s">
        <v>379</v>
      </c>
      <c r="B1284" s="48" t="s">
        <v>2692</v>
      </c>
      <c r="C1284" s="47" t="s">
        <v>964</v>
      </c>
      <c r="D1284" s="48" t="s">
        <v>965</v>
      </c>
      <c r="E1284" s="48" t="s">
        <v>966</v>
      </c>
      <c r="F1284" s="48" t="s">
        <v>967</v>
      </c>
      <c r="G1284" s="48" t="s">
        <v>968</v>
      </c>
      <c r="H1284" s="47" t="s">
        <v>969</v>
      </c>
      <c r="I1284" s="47" t="s">
        <v>940</v>
      </c>
      <c r="J1284" s="47" t="s">
        <v>26</v>
      </c>
    </row>
    <row r="1285" ht="54" customHeight="1" spans="1:10">
      <c r="A1285" s="48" t="s">
        <v>379</v>
      </c>
      <c r="B1285" s="48" t="s">
        <v>2693</v>
      </c>
      <c r="C1285" s="47" t="s">
        <v>1137</v>
      </c>
      <c r="D1285" s="48" t="s">
        <v>1138</v>
      </c>
      <c r="E1285" s="48" t="s">
        <v>1139</v>
      </c>
      <c r="F1285" s="48" t="s">
        <v>1140</v>
      </c>
      <c r="G1285" s="48" t="s">
        <v>1141</v>
      </c>
      <c r="H1285" s="47" t="s">
        <v>1142</v>
      </c>
      <c r="I1285" s="47" t="s">
        <v>940</v>
      </c>
      <c r="J1285" s="47" t="s">
        <v>26</v>
      </c>
    </row>
    <row r="1286" ht="54" customHeight="1" spans="1:10">
      <c r="A1286" s="48" t="s">
        <v>381</v>
      </c>
      <c r="B1286" s="48" t="s">
        <v>2694</v>
      </c>
      <c r="C1286" s="47" t="s">
        <v>1016</v>
      </c>
      <c r="D1286" s="48" t="s">
        <v>935</v>
      </c>
      <c r="E1286" s="48" t="s">
        <v>936</v>
      </c>
      <c r="F1286" s="48" t="s">
        <v>1017</v>
      </c>
      <c r="G1286" s="48" t="s">
        <v>1018</v>
      </c>
      <c r="H1286" s="47" t="s">
        <v>1019</v>
      </c>
      <c r="I1286" s="47" t="s">
        <v>1020</v>
      </c>
      <c r="J1286" s="47" t="s">
        <v>26</v>
      </c>
    </row>
    <row r="1287" ht="54" customHeight="1" spans="1:10">
      <c r="A1287" s="48" t="s">
        <v>381</v>
      </c>
      <c r="B1287" s="48" t="s">
        <v>2695</v>
      </c>
      <c r="C1287" s="47" t="s">
        <v>1052</v>
      </c>
      <c r="D1287" s="48" t="s">
        <v>1009</v>
      </c>
      <c r="E1287" s="48" t="s">
        <v>1010</v>
      </c>
      <c r="F1287" s="48" t="s">
        <v>1053</v>
      </c>
      <c r="G1287" s="48" t="s">
        <v>1054</v>
      </c>
      <c r="H1287" s="47" t="s">
        <v>1055</v>
      </c>
      <c r="I1287" s="47" t="s">
        <v>1056</v>
      </c>
      <c r="J1287" s="47" t="s">
        <v>26</v>
      </c>
    </row>
    <row r="1288" ht="54" customHeight="1" spans="1:10">
      <c r="A1288" s="48" t="s">
        <v>383</v>
      </c>
      <c r="B1288" s="48" t="s">
        <v>2696</v>
      </c>
      <c r="C1288" s="47" t="s">
        <v>1022</v>
      </c>
      <c r="D1288" s="48" t="s">
        <v>957</v>
      </c>
      <c r="E1288" s="48" t="s">
        <v>958</v>
      </c>
      <c r="F1288" s="48" t="s">
        <v>1023</v>
      </c>
      <c r="G1288" s="48" t="s">
        <v>1024</v>
      </c>
      <c r="H1288" s="47" t="s">
        <v>1025</v>
      </c>
      <c r="I1288" s="47" t="s">
        <v>1026</v>
      </c>
      <c r="J1288" s="47" t="s">
        <v>26</v>
      </c>
    </row>
    <row r="1289" ht="54" customHeight="1" spans="1:10">
      <c r="A1289" s="48" t="s">
        <v>383</v>
      </c>
      <c r="B1289" s="48" t="s">
        <v>2697</v>
      </c>
      <c r="C1289" s="47" t="s">
        <v>1348</v>
      </c>
      <c r="D1289" s="48" t="s">
        <v>1082</v>
      </c>
      <c r="E1289" s="48" t="s">
        <v>1083</v>
      </c>
      <c r="F1289" s="48" t="s">
        <v>1349</v>
      </c>
      <c r="G1289" s="48" t="s">
        <v>1350</v>
      </c>
      <c r="H1289" s="47" t="s">
        <v>1351</v>
      </c>
      <c r="I1289" s="47" t="s">
        <v>1352</v>
      </c>
      <c r="J1289" s="47" t="s">
        <v>26</v>
      </c>
    </row>
    <row r="1290" ht="54" customHeight="1" spans="1:10">
      <c r="A1290" s="48" t="s">
        <v>383</v>
      </c>
      <c r="B1290" s="48" t="s">
        <v>2698</v>
      </c>
      <c r="C1290" s="47" t="s">
        <v>1429</v>
      </c>
      <c r="D1290" s="48" t="s">
        <v>1430</v>
      </c>
      <c r="E1290" s="48" t="s">
        <v>1431</v>
      </c>
      <c r="F1290" s="48" t="s">
        <v>1432</v>
      </c>
      <c r="G1290" s="48" t="s">
        <v>1433</v>
      </c>
      <c r="H1290" s="47" t="s">
        <v>1434</v>
      </c>
      <c r="I1290" s="47" t="s">
        <v>1435</v>
      </c>
      <c r="J1290" s="47" t="s">
        <v>26</v>
      </c>
    </row>
    <row r="1291" ht="54" customHeight="1" spans="1:10">
      <c r="A1291" s="48" t="s">
        <v>383</v>
      </c>
      <c r="B1291" s="48" t="s">
        <v>2699</v>
      </c>
      <c r="C1291" s="47" t="s">
        <v>977</v>
      </c>
      <c r="D1291" s="48" t="s">
        <v>978</v>
      </c>
      <c r="E1291" s="48" t="s">
        <v>979</v>
      </c>
      <c r="F1291" s="48" t="s">
        <v>980</v>
      </c>
      <c r="G1291" s="48" t="s">
        <v>981</v>
      </c>
      <c r="H1291" s="47" t="s">
        <v>982</v>
      </c>
      <c r="I1291" s="47" t="s">
        <v>983</v>
      </c>
      <c r="J1291" s="47" t="s">
        <v>26</v>
      </c>
    </row>
    <row r="1292" ht="54" customHeight="1" spans="1:10">
      <c r="A1292" s="48" t="s">
        <v>383</v>
      </c>
      <c r="B1292" s="48" t="s">
        <v>2700</v>
      </c>
      <c r="C1292" s="47" t="s">
        <v>1211</v>
      </c>
      <c r="D1292" s="48" t="s">
        <v>965</v>
      </c>
      <c r="E1292" s="48" t="s">
        <v>966</v>
      </c>
      <c r="F1292" s="48" t="s">
        <v>1212</v>
      </c>
      <c r="G1292" s="48" t="s">
        <v>1213</v>
      </c>
      <c r="H1292" s="47" t="s">
        <v>1214</v>
      </c>
      <c r="I1292" s="47" t="s">
        <v>940</v>
      </c>
      <c r="J1292" s="47" t="s">
        <v>26</v>
      </c>
    </row>
    <row r="1293" ht="54" customHeight="1" spans="1:10">
      <c r="A1293" s="48" t="s">
        <v>383</v>
      </c>
      <c r="B1293" s="48" t="s">
        <v>2701</v>
      </c>
      <c r="C1293" s="47" t="s">
        <v>1235</v>
      </c>
      <c r="D1293" s="48" t="s">
        <v>1118</v>
      </c>
      <c r="E1293" s="48" t="s">
        <v>1119</v>
      </c>
      <c r="F1293" s="48" t="s">
        <v>1236</v>
      </c>
      <c r="G1293" s="48" t="s">
        <v>1237</v>
      </c>
      <c r="H1293" s="47" t="s">
        <v>1238</v>
      </c>
      <c r="I1293" s="47" t="s">
        <v>1239</v>
      </c>
      <c r="J1293" s="47" t="s">
        <v>26</v>
      </c>
    </row>
    <row r="1294" ht="54" customHeight="1" spans="1:10">
      <c r="A1294" s="48" t="s">
        <v>383</v>
      </c>
      <c r="B1294" s="48" t="s">
        <v>2702</v>
      </c>
      <c r="C1294" s="47" t="s">
        <v>1145</v>
      </c>
      <c r="D1294" s="48" t="s">
        <v>1146</v>
      </c>
      <c r="E1294" s="48" t="s">
        <v>1147</v>
      </c>
      <c r="F1294" s="48" t="s">
        <v>1148</v>
      </c>
      <c r="G1294" s="48" t="s">
        <v>1149</v>
      </c>
      <c r="H1294" s="47" t="s">
        <v>1150</v>
      </c>
      <c r="I1294" s="47" t="s">
        <v>1151</v>
      </c>
      <c r="J1294" s="47" t="s">
        <v>26</v>
      </c>
    </row>
    <row r="1295" ht="54" customHeight="1" spans="1:10">
      <c r="A1295" s="48" t="s">
        <v>383</v>
      </c>
      <c r="B1295" s="48" t="s">
        <v>2703</v>
      </c>
      <c r="C1295" s="47" t="s">
        <v>1170</v>
      </c>
      <c r="D1295" s="48" t="s">
        <v>1171</v>
      </c>
      <c r="E1295" s="48" t="s">
        <v>1172</v>
      </c>
      <c r="F1295" s="48" t="s">
        <v>1173</v>
      </c>
      <c r="G1295" s="48" t="s">
        <v>1174</v>
      </c>
      <c r="H1295" s="47" t="s">
        <v>1175</v>
      </c>
      <c r="I1295" s="47" t="s">
        <v>1176</v>
      </c>
      <c r="J1295" s="47" t="s">
        <v>26</v>
      </c>
    </row>
    <row r="1296" ht="54" customHeight="1" spans="1:10">
      <c r="A1296" s="48" t="s">
        <v>385</v>
      </c>
      <c r="B1296" s="48" t="s">
        <v>2704</v>
      </c>
      <c r="C1296" s="47" t="s">
        <v>1348</v>
      </c>
      <c r="D1296" s="48" t="s">
        <v>1082</v>
      </c>
      <c r="E1296" s="48" t="s">
        <v>1083</v>
      </c>
      <c r="F1296" s="48" t="s">
        <v>1349</v>
      </c>
      <c r="G1296" s="48" t="s">
        <v>1350</v>
      </c>
      <c r="H1296" s="47" t="s">
        <v>1351</v>
      </c>
      <c r="I1296" s="47" t="s">
        <v>1352</v>
      </c>
      <c r="J1296" s="47" t="s">
        <v>26</v>
      </c>
    </row>
    <row r="1297" ht="54" customHeight="1" spans="1:10">
      <c r="A1297" s="48" t="s">
        <v>385</v>
      </c>
      <c r="B1297" s="48" t="s">
        <v>2705</v>
      </c>
      <c r="C1297" s="47" t="s">
        <v>977</v>
      </c>
      <c r="D1297" s="48" t="s">
        <v>978</v>
      </c>
      <c r="E1297" s="48" t="s">
        <v>979</v>
      </c>
      <c r="F1297" s="48" t="s">
        <v>980</v>
      </c>
      <c r="G1297" s="48" t="s">
        <v>981</v>
      </c>
      <c r="H1297" s="47" t="s">
        <v>982</v>
      </c>
      <c r="I1297" s="47" t="s">
        <v>983</v>
      </c>
      <c r="J1297" s="47" t="s">
        <v>26</v>
      </c>
    </row>
    <row r="1298" ht="54" customHeight="1" spans="1:10">
      <c r="A1298" s="48" t="s">
        <v>385</v>
      </c>
      <c r="B1298" s="48" t="s">
        <v>2706</v>
      </c>
      <c r="C1298" s="47" t="s">
        <v>1235</v>
      </c>
      <c r="D1298" s="48" t="s">
        <v>1118</v>
      </c>
      <c r="E1298" s="48" t="s">
        <v>1119</v>
      </c>
      <c r="F1298" s="48" t="s">
        <v>1236</v>
      </c>
      <c r="G1298" s="48" t="s">
        <v>1237</v>
      </c>
      <c r="H1298" s="47" t="s">
        <v>1238</v>
      </c>
      <c r="I1298" s="47" t="s">
        <v>1239</v>
      </c>
      <c r="J1298" s="47" t="s">
        <v>26</v>
      </c>
    </row>
    <row r="1299" ht="54" customHeight="1" spans="1:10">
      <c r="A1299" s="48" t="s">
        <v>385</v>
      </c>
      <c r="B1299" s="48" t="s">
        <v>2707</v>
      </c>
      <c r="C1299" s="47" t="s">
        <v>1145</v>
      </c>
      <c r="D1299" s="48" t="s">
        <v>1146</v>
      </c>
      <c r="E1299" s="48" t="s">
        <v>1147</v>
      </c>
      <c r="F1299" s="48" t="s">
        <v>1148</v>
      </c>
      <c r="G1299" s="48" t="s">
        <v>1149</v>
      </c>
      <c r="H1299" s="47" t="s">
        <v>1150</v>
      </c>
      <c r="I1299" s="47" t="s">
        <v>1151</v>
      </c>
      <c r="J1299" s="47" t="s">
        <v>26</v>
      </c>
    </row>
    <row r="1300" ht="54" customHeight="1" spans="1:10">
      <c r="A1300" s="48" t="s">
        <v>387</v>
      </c>
      <c r="B1300" s="48" t="s">
        <v>2708</v>
      </c>
      <c r="C1300" s="47" t="s">
        <v>934</v>
      </c>
      <c r="D1300" s="48" t="s">
        <v>935</v>
      </c>
      <c r="E1300" s="48" t="s">
        <v>936</v>
      </c>
      <c r="F1300" s="48" t="s">
        <v>937</v>
      </c>
      <c r="G1300" s="48" t="s">
        <v>938</v>
      </c>
      <c r="H1300" s="47" t="s">
        <v>939</v>
      </c>
      <c r="I1300" s="47" t="s">
        <v>940</v>
      </c>
      <c r="J1300" s="47" t="s">
        <v>26</v>
      </c>
    </row>
    <row r="1301" ht="54" customHeight="1" spans="1:10">
      <c r="A1301" s="48" t="s">
        <v>387</v>
      </c>
      <c r="B1301" s="48" t="s">
        <v>2709</v>
      </c>
      <c r="C1301" s="47" t="s">
        <v>2074</v>
      </c>
      <c r="D1301" s="48" t="s">
        <v>1029</v>
      </c>
      <c r="E1301" s="48" t="s">
        <v>1030</v>
      </c>
      <c r="F1301" s="48" t="s">
        <v>2075</v>
      </c>
      <c r="G1301" s="48" t="s">
        <v>2076</v>
      </c>
      <c r="H1301" s="47" t="s">
        <v>2077</v>
      </c>
      <c r="I1301" s="47" t="s">
        <v>2078</v>
      </c>
      <c r="J1301" s="47" t="s">
        <v>26</v>
      </c>
    </row>
    <row r="1302" ht="54" customHeight="1" spans="1:10">
      <c r="A1302" s="48" t="s">
        <v>387</v>
      </c>
      <c r="B1302" s="48" t="s">
        <v>2710</v>
      </c>
      <c r="C1302" s="47" t="s">
        <v>1421</v>
      </c>
      <c r="D1302" s="48" t="s">
        <v>1422</v>
      </c>
      <c r="E1302" s="48" t="s">
        <v>1423</v>
      </c>
      <c r="F1302" s="48" t="s">
        <v>1424</v>
      </c>
      <c r="G1302" s="48" t="s">
        <v>1423</v>
      </c>
      <c r="H1302" s="47" t="s">
        <v>1425</v>
      </c>
      <c r="I1302" s="47" t="s">
        <v>1426</v>
      </c>
      <c r="J1302" s="47" t="s">
        <v>26</v>
      </c>
    </row>
    <row r="1303" ht="54" customHeight="1" spans="1:10">
      <c r="A1303" s="48" t="s">
        <v>387</v>
      </c>
      <c r="B1303" s="48" t="s">
        <v>2711</v>
      </c>
      <c r="C1303" s="47" t="s">
        <v>1480</v>
      </c>
      <c r="D1303" s="48" t="s">
        <v>1001</v>
      </c>
      <c r="E1303" s="48" t="s">
        <v>1002</v>
      </c>
      <c r="F1303" s="48" t="s">
        <v>1481</v>
      </c>
      <c r="G1303" s="48" t="s">
        <v>1482</v>
      </c>
      <c r="H1303" s="47" t="s">
        <v>1483</v>
      </c>
      <c r="I1303" s="47" t="s">
        <v>1484</v>
      </c>
      <c r="J1303" s="47" t="s">
        <v>26</v>
      </c>
    </row>
    <row r="1304" ht="54" customHeight="1" spans="1:10">
      <c r="A1304" s="48" t="s">
        <v>387</v>
      </c>
      <c r="B1304" s="48" t="s">
        <v>2712</v>
      </c>
      <c r="C1304" s="47" t="s">
        <v>1459</v>
      </c>
      <c r="D1304" s="48" t="s">
        <v>957</v>
      </c>
      <c r="E1304" s="48" t="s">
        <v>958</v>
      </c>
      <c r="F1304" s="48" t="s">
        <v>1460</v>
      </c>
      <c r="G1304" s="48" t="s">
        <v>1461</v>
      </c>
      <c r="H1304" s="47" t="s">
        <v>1462</v>
      </c>
      <c r="I1304" s="47" t="s">
        <v>1463</v>
      </c>
      <c r="J1304" s="47" t="s">
        <v>26</v>
      </c>
    </row>
    <row r="1305" ht="54" customHeight="1" spans="1:10">
      <c r="A1305" s="48" t="s">
        <v>387</v>
      </c>
      <c r="B1305" s="48" t="s">
        <v>2713</v>
      </c>
      <c r="C1305" s="47" t="s">
        <v>1081</v>
      </c>
      <c r="D1305" s="48" t="s">
        <v>1082</v>
      </c>
      <c r="E1305" s="48" t="s">
        <v>1083</v>
      </c>
      <c r="F1305" s="48" t="s">
        <v>1084</v>
      </c>
      <c r="G1305" s="48" t="s">
        <v>1085</v>
      </c>
      <c r="H1305" s="47" t="s">
        <v>1086</v>
      </c>
      <c r="I1305" s="47" t="s">
        <v>1087</v>
      </c>
      <c r="J1305" s="47" t="s">
        <v>26</v>
      </c>
    </row>
    <row r="1306" ht="54" customHeight="1" spans="1:10">
      <c r="A1306" s="48" t="s">
        <v>387</v>
      </c>
      <c r="B1306" s="48" t="s">
        <v>2714</v>
      </c>
      <c r="C1306" s="47" t="s">
        <v>1089</v>
      </c>
      <c r="D1306" s="48" t="s">
        <v>957</v>
      </c>
      <c r="E1306" s="48" t="s">
        <v>958</v>
      </c>
      <c r="F1306" s="48" t="s">
        <v>1090</v>
      </c>
      <c r="G1306" s="48" t="s">
        <v>1091</v>
      </c>
      <c r="H1306" s="47" t="s">
        <v>1092</v>
      </c>
      <c r="I1306" s="47" t="s">
        <v>1093</v>
      </c>
      <c r="J1306" s="47" t="s">
        <v>26</v>
      </c>
    </row>
    <row r="1307" ht="54" customHeight="1" spans="1:10">
      <c r="A1307" s="48" t="s">
        <v>387</v>
      </c>
      <c r="B1307" s="48" t="s">
        <v>2715</v>
      </c>
      <c r="C1307" s="47" t="s">
        <v>950</v>
      </c>
      <c r="D1307" s="48" t="s">
        <v>935</v>
      </c>
      <c r="E1307" s="48" t="s">
        <v>936</v>
      </c>
      <c r="F1307" s="48" t="s">
        <v>951</v>
      </c>
      <c r="G1307" s="48" t="s">
        <v>952</v>
      </c>
      <c r="H1307" s="47" t="s">
        <v>953</v>
      </c>
      <c r="I1307" s="47" t="s">
        <v>954</v>
      </c>
      <c r="J1307" s="47" t="s">
        <v>26</v>
      </c>
    </row>
    <row r="1308" ht="54" customHeight="1" spans="1:10">
      <c r="A1308" s="48" t="s">
        <v>387</v>
      </c>
      <c r="B1308" s="48" t="s">
        <v>2716</v>
      </c>
      <c r="C1308" s="47" t="s">
        <v>956</v>
      </c>
      <c r="D1308" s="48" t="s">
        <v>957</v>
      </c>
      <c r="E1308" s="48" t="s">
        <v>958</v>
      </c>
      <c r="F1308" s="48" t="s">
        <v>959</v>
      </c>
      <c r="G1308" s="48" t="s">
        <v>960</v>
      </c>
      <c r="H1308" s="47" t="s">
        <v>961</v>
      </c>
      <c r="I1308" s="47" t="s">
        <v>962</v>
      </c>
      <c r="J1308" s="47" t="s">
        <v>26</v>
      </c>
    </row>
    <row r="1309" ht="54" customHeight="1" spans="1:10">
      <c r="A1309" s="48" t="s">
        <v>387</v>
      </c>
      <c r="B1309" s="48" t="s">
        <v>2717</v>
      </c>
      <c r="C1309" s="47" t="s">
        <v>1097</v>
      </c>
      <c r="D1309" s="48" t="s">
        <v>1098</v>
      </c>
      <c r="E1309" s="48" t="s">
        <v>1099</v>
      </c>
      <c r="F1309" s="48" t="s">
        <v>1100</v>
      </c>
      <c r="G1309" s="48" t="s">
        <v>1101</v>
      </c>
      <c r="H1309" s="47" t="s">
        <v>1102</v>
      </c>
      <c r="I1309" s="47" t="s">
        <v>1103</v>
      </c>
      <c r="J1309" s="47" t="s">
        <v>26</v>
      </c>
    </row>
    <row r="1310" ht="54" customHeight="1" spans="1:10">
      <c r="A1310" s="48" t="s">
        <v>389</v>
      </c>
      <c r="B1310" s="48" t="s">
        <v>2718</v>
      </c>
      <c r="C1310" s="47" t="s">
        <v>1089</v>
      </c>
      <c r="D1310" s="48" t="s">
        <v>957</v>
      </c>
      <c r="E1310" s="48" t="s">
        <v>958</v>
      </c>
      <c r="F1310" s="48" t="s">
        <v>1090</v>
      </c>
      <c r="G1310" s="48" t="s">
        <v>1091</v>
      </c>
      <c r="H1310" s="47" t="s">
        <v>1092</v>
      </c>
      <c r="I1310" s="47" t="s">
        <v>1093</v>
      </c>
      <c r="J1310" s="47" t="s">
        <v>26</v>
      </c>
    </row>
    <row r="1311" ht="54" customHeight="1" spans="1:10">
      <c r="A1311" s="48" t="s">
        <v>389</v>
      </c>
      <c r="B1311" s="48" t="s">
        <v>2719</v>
      </c>
      <c r="C1311" s="47" t="s">
        <v>1097</v>
      </c>
      <c r="D1311" s="48" t="s">
        <v>1098</v>
      </c>
      <c r="E1311" s="48" t="s">
        <v>1099</v>
      </c>
      <c r="F1311" s="48" t="s">
        <v>1100</v>
      </c>
      <c r="G1311" s="48" t="s">
        <v>1101</v>
      </c>
      <c r="H1311" s="47" t="s">
        <v>1102</v>
      </c>
      <c r="I1311" s="47" t="s">
        <v>1103</v>
      </c>
      <c r="J1311" s="47" t="s">
        <v>26</v>
      </c>
    </row>
    <row r="1312" ht="54" customHeight="1" spans="1:10">
      <c r="A1312" s="48" t="s">
        <v>389</v>
      </c>
      <c r="B1312" s="48" t="s">
        <v>2720</v>
      </c>
      <c r="C1312" s="47" t="s">
        <v>1967</v>
      </c>
      <c r="D1312" s="48" t="s">
        <v>965</v>
      </c>
      <c r="E1312" s="48" t="s">
        <v>966</v>
      </c>
      <c r="F1312" s="48" t="s">
        <v>1968</v>
      </c>
      <c r="G1312" s="48" t="s">
        <v>1969</v>
      </c>
      <c r="H1312" s="47" t="s">
        <v>1970</v>
      </c>
      <c r="I1312" s="47" t="s">
        <v>940</v>
      </c>
      <c r="J1312" s="47" t="s">
        <v>26</v>
      </c>
    </row>
    <row r="1313" ht="54" customHeight="1" spans="1:10">
      <c r="A1313" s="48" t="s">
        <v>391</v>
      </c>
      <c r="B1313" s="48" t="s">
        <v>2721</v>
      </c>
      <c r="C1313" s="47" t="s">
        <v>1137</v>
      </c>
      <c r="D1313" s="48" t="s">
        <v>1138</v>
      </c>
      <c r="E1313" s="48" t="s">
        <v>1139</v>
      </c>
      <c r="F1313" s="48" t="s">
        <v>1140</v>
      </c>
      <c r="G1313" s="48" t="s">
        <v>1141</v>
      </c>
      <c r="H1313" s="47" t="s">
        <v>1142</v>
      </c>
      <c r="I1313" s="47" t="s">
        <v>940</v>
      </c>
      <c r="J1313" s="47" t="s">
        <v>26</v>
      </c>
    </row>
    <row r="1314" ht="54" customHeight="1" spans="1:10">
      <c r="A1314" s="48" t="s">
        <v>391</v>
      </c>
      <c r="B1314" s="48" t="s">
        <v>2722</v>
      </c>
      <c r="C1314" s="47" t="s">
        <v>971</v>
      </c>
      <c r="D1314" s="48" t="s">
        <v>965</v>
      </c>
      <c r="E1314" s="48" t="s">
        <v>966</v>
      </c>
      <c r="F1314" s="48" t="s">
        <v>972</v>
      </c>
      <c r="G1314" s="48" t="s">
        <v>973</v>
      </c>
      <c r="H1314" s="47" t="s">
        <v>974</v>
      </c>
      <c r="I1314" s="47" t="s">
        <v>975</v>
      </c>
      <c r="J1314" s="47" t="s">
        <v>26</v>
      </c>
    </row>
    <row r="1315" ht="54" customHeight="1" spans="1:10">
      <c r="A1315" s="48" t="s">
        <v>391</v>
      </c>
      <c r="B1315" s="48" t="s">
        <v>2723</v>
      </c>
      <c r="C1315" s="47" t="s">
        <v>1145</v>
      </c>
      <c r="D1315" s="48" t="s">
        <v>1146</v>
      </c>
      <c r="E1315" s="48" t="s">
        <v>1147</v>
      </c>
      <c r="F1315" s="48" t="s">
        <v>1148</v>
      </c>
      <c r="G1315" s="48" t="s">
        <v>1149</v>
      </c>
      <c r="H1315" s="47" t="s">
        <v>1150</v>
      </c>
      <c r="I1315" s="47" t="s">
        <v>1151</v>
      </c>
      <c r="J1315" s="47" t="s">
        <v>26</v>
      </c>
    </row>
    <row r="1316" ht="54" customHeight="1" spans="1:10">
      <c r="A1316" s="48" t="s">
        <v>391</v>
      </c>
      <c r="B1316" s="48" t="s">
        <v>2724</v>
      </c>
      <c r="C1316" s="47" t="s">
        <v>1245</v>
      </c>
      <c r="D1316" s="48" t="s">
        <v>1171</v>
      </c>
      <c r="E1316" s="48" t="s">
        <v>1172</v>
      </c>
      <c r="F1316" s="48" t="s">
        <v>1246</v>
      </c>
      <c r="G1316" s="48" t="s">
        <v>1247</v>
      </c>
      <c r="H1316" s="47" t="s">
        <v>1248</v>
      </c>
      <c r="I1316" s="47" t="s">
        <v>1176</v>
      </c>
      <c r="J1316" s="47" t="s">
        <v>26</v>
      </c>
    </row>
    <row r="1317" ht="54" customHeight="1" spans="1:10">
      <c r="A1317" s="48" t="s">
        <v>391</v>
      </c>
      <c r="B1317" s="48" t="s">
        <v>2725</v>
      </c>
      <c r="C1317" s="47" t="s">
        <v>1196</v>
      </c>
      <c r="D1317" s="48" t="s">
        <v>1118</v>
      </c>
      <c r="E1317" s="48" t="s">
        <v>1119</v>
      </c>
      <c r="F1317" s="48" t="s">
        <v>1197</v>
      </c>
      <c r="G1317" s="48" t="s">
        <v>1198</v>
      </c>
      <c r="H1317" s="47" t="s">
        <v>1199</v>
      </c>
      <c r="I1317" s="47" t="s">
        <v>1200</v>
      </c>
      <c r="J1317" s="47" t="s">
        <v>26</v>
      </c>
    </row>
    <row r="1318" ht="54" customHeight="1" spans="1:10">
      <c r="A1318" s="48" t="s">
        <v>393</v>
      </c>
      <c r="B1318" s="48" t="s">
        <v>2726</v>
      </c>
      <c r="C1318" s="47" t="s">
        <v>971</v>
      </c>
      <c r="D1318" s="48" t="s">
        <v>965</v>
      </c>
      <c r="E1318" s="48" t="s">
        <v>966</v>
      </c>
      <c r="F1318" s="48" t="s">
        <v>972</v>
      </c>
      <c r="G1318" s="48" t="s">
        <v>973</v>
      </c>
      <c r="H1318" s="47" t="s">
        <v>974</v>
      </c>
      <c r="I1318" s="47" t="s">
        <v>975</v>
      </c>
      <c r="J1318" s="47" t="s">
        <v>26</v>
      </c>
    </row>
    <row r="1319" ht="54" customHeight="1" spans="1:10">
      <c r="A1319" s="48" t="s">
        <v>393</v>
      </c>
      <c r="B1319" s="48" t="s">
        <v>2727</v>
      </c>
      <c r="C1319" s="47" t="s">
        <v>1145</v>
      </c>
      <c r="D1319" s="48" t="s">
        <v>1146</v>
      </c>
      <c r="E1319" s="48" t="s">
        <v>1147</v>
      </c>
      <c r="F1319" s="48" t="s">
        <v>1148</v>
      </c>
      <c r="G1319" s="48" t="s">
        <v>1149</v>
      </c>
      <c r="H1319" s="47" t="s">
        <v>1150</v>
      </c>
      <c r="I1319" s="47" t="s">
        <v>1151</v>
      </c>
      <c r="J1319" s="47" t="s">
        <v>26</v>
      </c>
    </row>
    <row r="1320" ht="54" customHeight="1" spans="1:10">
      <c r="A1320" s="48" t="s">
        <v>393</v>
      </c>
      <c r="B1320" s="48" t="s">
        <v>2728</v>
      </c>
      <c r="C1320" s="47" t="s">
        <v>1196</v>
      </c>
      <c r="D1320" s="48" t="s">
        <v>1118</v>
      </c>
      <c r="E1320" s="48" t="s">
        <v>1119</v>
      </c>
      <c r="F1320" s="48" t="s">
        <v>1197</v>
      </c>
      <c r="G1320" s="48" t="s">
        <v>1198</v>
      </c>
      <c r="H1320" s="47" t="s">
        <v>1199</v>
      </c>
      <c r="I1320" s="47" t="s">
        <v>1200</v>
      </c>
      <c r="J1320" s="47" t="s">
        <v>26</v>
      </c>
    </row>
    <row r="1321" ht="54" customHeight="1" spans="1:10">
      <c r="A1321" s="48" t="s">
        <v>395</v>
      </c>
      <c r="B1321" s="48" t="s">
        <v>2729</v>
      </c>
      <c r="C1321" s="47" t="s">
        <v>1016</v>
      </c>
      <c r="D1321" s="48" t="s">
        <v>935</v>
      </c>
      <c r="E1321" s="48" t="s">
        <v>936</v>
      </c>
      <c r="F1321" s="48" t="s">
        <v>1017</v>
      </c>
      <c r="G1321" s="48" t="s">
        <v>1018</v>
      </c>
      <c r="H1321" s="47" t="s">
        <v>1019</v>
      </c>
      <c r="I1321" s="47" t="s">
        <v>1020</v>
      </c>
      <c r="J1321" s="47" t="s">
        <v>26</v>
      </c>
    </row>
    <row r="1322" ht="54" customHeight="1" spans="1:10">
      <c r="A1322" s="48" t="s">
        <v>395</v>
      </c>
      <c r="B1322" s="48" t="s">
        <v>2730</v>
      </c>
      <c r="C1322" s="47" t="s">
        <v>1268</v>
      </c>
      <c r="D1322" s="48" t="s">
        <v>957</v>
      </c>
      <c r="E1322" s="48" t="s">
        <v>958</v>
      </c>
      <c r="F1322" s="48" t="s">
        <v>1269</v>
      </c>
      <c r="G1322" s="48" t="s">
        <v>1270</v>
      </c>
      <c r="H1322" s="47" t="s">
        <v>1271</v>
      </c>
      <c r="I1322" s="47" t="s">
        <v>1272</v>
      </c>
      <c r="J1322" s="47" t="s">
        <v>26</v>
      </c>
    </row>
    <row r="1323" ht="54" customHeight="1" spans="1:10">
      <c r="A1323" s="48" t="s">
        <v>395</v>
      </c>
      <c r="B1323" s="48" t="s">
        <v>2731</v>
      </c>
      <c r="C1323" s="47" t="s">
        <v>1097</v>
      </c>
      <c r="D1323" s="48" t="s">
        <v>1098</v>
      </c>
      <c r="E1323" s="48" t="s">
        <v>1099</v>
      </c>
      <c r="F1323" s="48" t="s">
        <v>1100</v>
      </c>
      <c r="G1323" s="48" t="s">
        <v>1101</v>
      </c>
      <c r="H1323" s="47" t="s">
        <v>1102</v>
      </c>
      <c r="I1323" s="47" t="s">
        <v>1103</v>
      </c>
      <c r="J1323" s="47" t="s">
        <v>26</v>
      </c>
    </row>
    <row r="1324" ht="54" customHeight="1" spans="1:10">
      <c r="A1324" s="48" t="s">
        <v>395</v>
      </c>
      <c r="B1324" s="48" t="s">
        <v>2732</v>
      </c>
      <c r="C1324" s="47" t="s">
        <v>1137</v>
      </c>
      <c r="D1324" s="48" t="s">
        <v>1138</v>
      </c>
      <c r="E1324" s="48" t="s">
        <v>1139</v>
      </c>
      <c r="F1324" s="48" t="s">
        <v>1140</v>
      </c>
      <c r="G1324" s="48" t="s">
        <v>1141</v>
      </c>
      <c r="H1324" s="47" t="s">
        <v>1142</v>
      </c>
      <c r="I1324" s="47" t="s">
        <v>940</v>
      </c>
      <c r="J1324" s="47" t="s">
        <v>26</v>
      </c>
    </row>
    <row r="1325" ht="54" customHeight="1" spans="1:10">
      <c r="A1325" s="48" t="s">
        <v>397</v>
      </c>
      <c r="B1325" s="48" t="s">
        <v>2733</v>
      </c>
      <c r="C1325" s="47" t="s">
        <v>977</v>
      </c>
      <c r="D1325" s="48" t="s">
        <v>978</v>
      </c>
      <c r="E1325" s="48" t="s">
        <v>979</v>
      </c>
      <c r="F1325" s="48" t="s">
        <v>980</v>
      </c>
      <c r="G1325" s="48" t="s">
        <v>981</v>
      </c>
      <c r="H1325" s="47" t="s">
        <v>982</v>
      </c>
      <c r="I1325" s="47" t="s">
        <v>983</v>
      </c>
      <c r="J1325" s="47" t="s">
        <v>26</v>
      </c>
    </row>
    <row r="1326" ht="54" customHeight="1" spans="1:10">
      <c r="A1326" s="48" t="s">
        <v>397</v>
      </c>
      <c r="B1326" s="48" t="s">
        <v>2734</v>
      </c>
      <c r="C1326" s="47" t="s">
        <v>1205</v>
      </c>
      <c r="D1326" s="48" t="s">
        <v>978</v>
      </c>
      <c r="E1326" s="48" t="s">
        <v>979</v>
      </c>
      <c r="F1326" s="48" t="s">
        <v>1206</v>
      </c>
      <c r="G1326" s="48" t="s">
        <v>1207</v>
      </c>
      <c r="H1326" s="47" t="s">
        <v>1208</v>
      </c>
      <c r="I1326" s="47" t="s">
        <v>1209</v>
      </c>
      <c r="J1326" s="47" t="s">
        <v>26</v>
      </c>
    </row>
    <row r="1327" ht="54" customHeight="1" spans="1:10">
      <c r="A1327" s="48" t="s">
        <v>397</v>
      </c>
      <c r="B1327" s="48" t="s">
        <v>2735</v>
      </c>
      <c r="C1327" s="47" t="s">
        <v>1145</v>
      </c>
      <c r="D1327" s="48" t="s">
        <v>1146</v>
      </c>
      <c r="E1327" s="48" t="s">
        <v>1147</v>
      </c>
      <c r="F1327" s="48" t="s">
        <v>1148</v>
      </c>
      <c r="G1327" s="48" t="s">
        <v>1149</v>
      </c>
      <c r="H1327" s="47" t="s">
        <v>1150</v>
      </c>
      <c r="I1327" s="47" t="s">
        <v>1151</v>
      </c>
      <c r="J1327" s="47" t="s">
        <v>26</v>
      </c>
    </row>
    <row r="1328" ht="54" customHeight="1" spans="1:10">
      <c r="A1328" s="48" t="s">
        <v>397</v>
      </c>
      <c r="B1328" s="48" t="s">
        <v>2736</v>
      </c>
      <c r="C1328" s="47" t="s">
        <v>1245</v>
      </c>
      <c r="D1328" s="48" t="s">
        <v>1171</v>
      </c>
      <c r="E1328" s="48" t="s">
        <v>1172</v>
      </c>
      <c r="F1328" s="48" t="s">
        <v>1246</v>
      </c>
      <c r="G1328" s="48" t="s">
        <v>1247</v>
      </c>
      <c r="H1328" s="47" t="s">
        <v>1248</v>
      </c>
      <c r="I1328" s="47" t="s">
        <v>1176</v>
      </c>
      <c r="J1328" s="47" t="s">
        <v>26</v>
      </c>
    </row>
    <row r="1329" ht="54" customHeight="1" spans="1:10">
      <c r="A1329" s="48" t="s">
        <v>399</v>
      </c>
      <c r="B1329" s="48" t="s">
        <v>2737</v>
      </c>
      <c r="C1329" s="47" t="s">
        <v>1008</v>
      </c>
      <c r="D1329" s="48" t="s">
        <v>1009</v>
      </c>
      <c r="E1329" s="48" t="s">
        <v>1010</v>
      </c>
      <c r="F1329" s="48" t="s">
        <v>1011</v>
      </c>
      <c r="G1329" s="48" t="s">
        <v>1012</v>
      </c>
      <c r="H1329" s="47" t="s">
        <v>1013</v>
      </c>
      <c r="I1329" s="47" t="s">
        <v>1014</v>
      </c>
      <c r="J1329" s="47" t="s">
        <v>26</v>
      </c>
    </row>
    <row r="1330" ht="54" customHeight="1" spans="1:10">
      <c r="A1330" s="48" t="s">
        <v>399</v>
      </c>
      <c r="B1330" s="48" t="s">
        <v>2738</v>
      </c>
      <c r="C1330" s="47" t="s">
        <v>1767</v>
      </c>
      <c r="D1330" s="48" t="s">
        <v>957</v>
      </c>
      <c r="E1330" s="48" t="s">
        <v>958</v>
      </c>
      <c r="F1330" s="48" t="s">
        <v>1768</v>
      </c>
      <c r="G1330" s="48" t="s">
        <v>1769</v>
      </c>
      <c r="H1330" s="47" t="s">
        <v>1770</v>
      </c>
      <c r="I1330" s="47" t="s">
        <v>1771</v>
      </c>
      <c r="J1330" s="47" t="s">
        <v>26</v>
      </c>
    </row>
    <row r="1331" ht="54" customHeight="1" spans="1:10">
      <c r="A1331" s="48" t="s">
        <v>399</v>
      </c>
      <c r="B1331" s="48" t="s">
        <v>2739</v>
      </c>
      <c r="C1331" s="47" t="s">
        <v>1291</v>
      </c>
      <c r="D1331" s="48" t="s">
        <v>965</v>
      </c>
      <c r="E1331" s="48" t="s">
        <v>966</v>
      </c>
      <c r="F1331" s="48" t="s">
        <v>1292</v>
      </c>
      <c r="G1331" s="48" t="s">
        <v>1293</v>
      </c>
      <c r="H1331" s="47" t="s">
        <v>1294</v>
      </c>
      <c r="I1331" s="47" t="s">
        <v>1295</v>
      </c>
      <c r="J1331" s="47" t="s">
        <v>26</v>
      </c>
    </row>
    <row r="1332" ht="54" customHeight="1" spans="1:10">
      <c r="A1332" s="48" t="s">
        <v>399</v>
      </c>
      <c r="B1332" s="48" t="s">
        <v>2740</v>
      </c>
      <c r="C1332" s="47" t="s">
        <v>1313</v>
      </c>
      <c r="D1332" s="48" t="s">
        <v>1037</v>
      </c>
      <c r="E1332" s="48" t="s">
        <v>1038</v>
      </c>
      <c r="F1332" s="48" t="s">
        <v>1314</v>
      </c>
      <c r="G1332" s="48" t="s">
        <v>1315</v>
      </c>
      <c r="H1332" s="47" t="s">
        <v>1316</v>
      </c>
      <c r="I1332" s="47" t="s">
        <v>1317</v>
      </c>
      <c r="J1332" s="47" t="s">
        <v>26</v>
      </c>
    </row>
    <row r="1333" ht="54" customHeight="1" spans="1:10">
      <c r="A1333" s="48" t="s">
        <v>399</v>
      </c>
      <c r="B1333" s="48" t="s">
        <v>2741</v>
      </c>
      <c r="C1333" s="47" t="s">
        <v>1145</v>
      </c>
      <c r="D1333" s="48" t="s">
        <v>1146</v>
      </c>
      <c r="E1333" s="48" t="s">
        <v>1147</v>
      </c>
      <c r="F1333" s="48" t="s">
        <v>1148</v>
      </c>
      <c r="G1333" s="48" t="s">
        <v>1149</v>
      </c>
      <c r="H1333" s="47" t="s">
        <v>1150</v>
      </c>
      <c r="I1333" s="47" t="s">
        <v>1151</v>
      </c>
      <c r="J1333" s="47" t="s">
        <v>26</v>
      </c>
    </row>
    <row r="1334" ht="54" customHeight="1" spans="1:10">
      <c r="A1334" s="48" t="s">
        <v>399</v>
      </c>
      <c r="B1334" s="48" t="s">
        <v>2742</v>
      </c>
      <c r="C1334" s="47" t="s">
        <v>1164</v>
      </c>
      <c r="D1334" s="48" t="s">
        <v>978</v>
      </c>
      <c r="E1334" s="48" t="s">
        <v>979</v>
      </c>
      <c r="F1334" s="48" t="s">
        <v>1165</v>
      </c>
      <c r="G1334" s="48" t="s">
        <v>1166</v>
      </c>
      <c r="H1334" s="47" t="s">
        <v>1167</v>
      </c>
      <c r="I1334" s="47" t="s">
        <v>1168</v>
      </c>
      <c r="J1334" s="47" t="s">
        <v>26</v>
      </c>
    </row>
    <row r="1335" ht="54" customHeight="1" spans="1:10">
      <c r="A1335" s="48" t="s">
        <v>401</v>
      </c>
      <c r="B1335" s="48" t="s">
        <v>2743</v>
      </c>
      <c r="C1335" s="47" t="s">
        <v>1291</v>
      </c>
      <c r="D1335" s="48" t="s">
        <v>965</v>
      </c>
      <c r="E1335" s="48" t="s">
        <v>966</v>
      </c>
      <c r="F1335" s="48" t="s">
        <v>1292</v>
      </c>
      <c r="G1335" s="48" t="s">
        <v>1293</v>
      </c>
      <c r="H1335" s="47" t="s">
        <v>1294</v>
      </c>
      <c r="I1335" s="47" t="s">
        <v>1295</v>
      </c>
      <c r="J1335" s="47" t="s">
        <v>26</v>
      </c>
    </row>
    <row r="1336" ht="54" customHeight="1" spans="1:10">
      <c r="A1336" s="48" t="s">
        <v>401</v>
      </c>
      <c r="B1336" s="48" t="s">
        <v>2744</v>
      </c>
      <c r="C1336" s="47" t="s">
        <v>1145</v>
      </c>
      <c r="D1336" s="48" t="s">
        <v>1146</v>
      </c>
      <c r="E1336" s="48" t="s">
        <v>1147</v>
      </c>
      <c r="F1336" s="48" t="s">
        <v>1148</v>
      </c>
      <c r="G1336" s="48" t="s">
        <v>1149</v>
      </c>
      <c r="H1336" s="47" t="s">
        <v>1150</v>
      </c>
      <c r="I1336" s="47" t="s">
        <v>1151</v>
      </c>
      <c r="J1336" s="47" t="s">
        <v>26</v>
      </c>
    </row>
    <row r="1337" ht="54" customHeight="1" spans="1:10">
      <c r="A1337" s="48" t="s">
        <v>401</v>
      </c>
      <c r="B1337" s="48" t="s">
        <v>2745</v>
      </c>
      <c r="C1337" s="47" t="s">
        <v>1196</v>
      </c>
      <c r="D1337" s="48" t="s">
        <v>1118</v>
      </c>
      <c r="E1337" s="48" t="s">
        <v>1119</v>
      </c>
      <c r="F1337" s="48" t="s">
        <v>1197</v>
      </c>
      <c r="G1337" s="48" t="s">
        <v>1198</v>
      </c>
      <c r="H1337" s="47" t="s">
        <v>1199</v>
      </c>
      <c r="I1337" s="47" t="s">
        <v>1200</v>
      </c>
      <c r="J1337" s="47" t="s">
        <v>26</v>
      </c>
    </row>
    <row r="1338" ht="54" customHeight="1" spans="1:10">
      <c r="A1338" s="48" t="s">
        <v>403</v>
      </c>
      <c r="B1338" s="48" t="s">
        <v>2746</v>
      </c>
      <c r="C1338" s="47" t="s">
        <v>1534</v>
      </c>
      <c r="D1338" s="48" t="s">
        <v>935</v>
      </c>
      <c r="E1338" s="48" t="s">
        <v>936</v>
      </c>
      <c r="F1338" s="48" t="s">
        <v>1535</v>
      </c>
      <c r="G1338" s="48" t="s">
        <v>1536</v>
      </c>
      <c r="H1338" s="47" t="s">
        <v>1537</v>
      </c>
      <c r="I1338" s="47" t="s">
        <v>940</v>
      </c>
      <c r="J1338" s="47" t="s">
        <v>26</v>
      </c>
    </row>
    <row r="1339" ht="54" customHeight="1" spans="1:10">
      <c r="A1339" s="48" t="s">
        <v>403</v>
      </c>
      <c r="B1339" s="48" t="s">
        <v>2747</v>
      </c>
      <c r="C1339" s="47" t="s">
        <v>1008</v>
      </c>
      <c r="D1339" s="48" t="s">
        <v>1009</v>
      </c>
      <c r="E1339" s="48" t="s">
        <v>1010</v>
      </c>
      <c r="F1339" s="48" t="s">
        <v>1011</v>
      </c>
      <c r="G1339" s="48" t="s">
        <v>1012</v>
      </c>
      <c r="H1339" s="47" t="s">
        <v>1013</v>
      </c>
      <c r="I1339" s="47" t="s">
        <v>1014</v>
      </c>
      <c r="J1339" s="47" t="s">
        <v>26</v>
      </c>
    </row>
    <row r="1340" ht="54" customHeight="1" spans="1:10">
      <c r="A1340" s="48" t="s">
        <v>403</v>
      </c>
      <c r="B1340" s="48" t="s">
        <v>2748</v>
      </c>
      <c r="C1340" s="47" t="s">
        <v>1022</v>
      </c>
      <c r="D1340" s="48" t="s">
        <v>957</v>
      </c>
      <c r="E1340" s="48" t="s">
        <v>958</v>
      </c>
      <c r="F1340" s="48" t="s">
        <v>1023</v>
      </c>
      <c r="G1340" s="48" t="s">
        <v>1024</v>
      </c>
      <c r="H1340" s="47" t="s">
        <v>1025</v>
      </c>
      <c r="I1340" s="47" t="s">
        <v>1026</v>
      </c>
      <c r="J1340" s="47" t="s">
        <v>26</v>
      </c>
    </row>
    <row r="1341" ht="54" customHeight="1" spans="1:10">
      <c r="A1341" s="48" t="s">
        <v>403</v>
      </c>
      <c r="B1341" s="48" t="s">
        <v>2749</v>
      </c>
      <c r="C1341" s="47" t="s">
        <v>1337</v>
      </c>
      <c r="D1341" s="48" t="s">
        <v>1009</v>
      </c>
      <c r="E1341" s="48" t="s">
        <v>1010</v>
      </c>
      <c r="F1341" s="48" t="s">
        <v>1338</v>
      </c>
      <c r="G1341" s="48" t="s">
        <v>1339</v>
      </c>
      <c r="H1341" s="47" t="s">
        <v>1340</v>
      </c>
      <c r="I1341" s="47" t="s">
        <v>1341</v>
      </c>
      <c r="J1341" s="47" t="s">
        <v>26</v>
      </c>
    </row>
    <row r="1342" ht="54" customHeight="1" spans="1:10">
      <c r="A1342" s="48" t="s">
        <v>403</v>
      </c>
      <c r="B1342" s="48" t="s">
        <v>2750</v>
      </c>
      <c r="C1342" s="47" t="s">
        <v>1052</v>
      </c>
      <c r="D1342" s="48" t="s">
        <v>1009</v>
      </c>
      <c r="E1342" s="48" t="s">
        <v>1010</v>
      </c>
      <c r="F1342" s="48" t="s">
        <v>1053</v>
      </c>
      <c r="G1342" s="48" t="s">
        <v>1054</v>
      </c>
      <c r="H1342" s="47" t="s">
        <v>1055</v>
      </c>
      <c r="I1342" s="47" t="s">
        <v>1056</v>
      </c>
      <c r="J1342" s="47" t="s">
        <v>26</v>
      </c>
    </row>
    <row r="1343" ht="54" customHeight="1" spans="1:10">
      <c r="A1343" s="48" t="s">
        <v>403</v>
      </c>
      <c r="B1343" s="48" t="s">
        <v>2751</v>
      </c>
      <c r="C1343" s="47" t="s">
        <v>1097</v>
      </c>
      <c r="D1343" s="48" t="s">
        <v>1098</v>
      </c>
      <c r="E1343" s="48" t="s">
        <v>1099</v>
      </c>
      <c r="F1343" s="48" t="s">
        <v>1100</v>
      </c>
      <c r="G1343" s="48" t="s">
        <v>1101</v>
      </c>
      <c r="H1343" s="47" t="s">
        <v>1102</v>
      </c>
      <c r="I1343" s="47" t="s">
        <v>1103</v>
      </c>
      <c r="J1343" s="47" t="s">
        <v>26</v>
      </c>
    </row>
    <row r="1344" ht="54" customHeight="1" spans="1:10">
      <c r="A1344" s="48" t="s">
        <v>405</v>
      </c>
      <c r="B1344" s="48" t="s">
        <v>2752</v>
      </c>
      <c r="C1344" s="47" t="s">
        <v>1008</v>
      </c>
      <c r="D1344" s="48" t="s">
        <v>1009</v>
      </c>
      <c r="E1344" s="48" t="s">
        <v>1010</v>
      </c>
      <c r="F1344" s="48" t="s">
        <v>1011</v>
      </c>
      <c r="G1344" s="48" t="s">
        <v>1012</v>
      </c>
      <c r="H1344" s="47" t="s">
        <v>1013</v>
      </c>
      <c r="I1344" s="47" t="s">
        <v>1014</v>
      </c>
      <c r="J1344" s="47" t="s">
        <v>26</v>
      </c>
    </row>
    <row r="1345" ht="54" customHeight="1" spans="1:10">
      <c r="A1345" s="48" t="s">
        <v>405</v>
      </c>
      <c r="B1345" s="48" t="s">
        <v>2753</v>
      </c>
      <c r="C1345" s="47" t="s">
        <v>1052</v>
      </c>
      <c r="D1345" s="48" t="s">
        <v>1009</v>
      </c>
      <c r="E1345" s="48" t="s">
        <v>1010</v>
      </c>
      <c r="F1345" s="48" t="s">
        <v>1053</v>
      </c>
      <c r="G1345" s="48" t="s">
        <v>1054</v>
      </c>
      <c r="H1345" s="47" t="s">
        <v>1055</v>
      </c>
      <c r="I1345" s="47" t="s">
        <v>1056</v>
      </c>
      <c r="J1345" s="47" t="s">
        <v>26</v>
      </c>
    </row>
    <row r="1346" ht="54" customHeight="1" spans="1:10">
      <c r="A1346" s="48" t="s">
        <v>405</v>
      </c>
      <c r="B1346" s="48" t="s">
        <v>2754</v>
      </c>
      <c r="C1346" s="47" t="s">
        <v>1097</v>
      </c>
      <c r="D1346" s="48" t="s">
        <v>1098</v>
      </c>
      <c r="E1346" s="48" t="s">
        <v>1099</v>
      </c>
      <c r="F1346" s="48" t="s">
        <v>1100</v>
      </c>
      <c r="G1346" s="48" t="s">
        <v>1101</v>
      </c>
      <c r="H1346" s="47" t="s">
        <v>1102</v>
      </c>
      <c r="I1346" s="47" t="s">
        <v>1103</v>
      </c>
      <c r="J1346" s="47" t="s">
        <v>26</v>
      </c>
    </row>
    <row r="1347" ht="54" customHeight="1" spans="1:10">
      <c r="A1347" s="48" t="s">
        <v>405</v>
      </c>
      <c r="B1347" s="48" t="s">
        <v>2755</v>
      </c>
      <c r="C1347" s="47" t="s">
        <v>1117</v>
      </c>
      <c r="D1347" s="48" t="s">
        <v>1118</v>
      </c>
      <c r="E1347" s="48" t="s">
        <v>1119</v>
      </c>
      <c r="F1347" s="48" t="s">
        <v>1120</v>
      </c>
      <c r="G1347" s="48" t="s">
        <v>1121</v>
      </c>
      <c r="H1347" s="47" t="s">
        <v>1122</v>
      </c>
      <c r="I1347" s="47" t="s">
        <v>1123</v>
      </c>
      <c r="J1347" s="47" t="s">
        <v>26</v>
      </c>
    </row>
    <row r="1348" ht="54" customHeight="1" spans="1:10">
      <c r="A1348" s="48" t="s">
        <v>407</v>
      </c>
      <c r="B1348" s="48" t="s">
        <v>2756</v>
      </c>
      <c r="C1348" s="47" t="s">
        <v>956</v>
      </c>
      <c r="D1348" s="48" t="s">
        <v>957</v>
      </c>
      <c r="E1348" s="48" t="s">
        <v>958</v>
      </c>
      <c r="F1348" s="48" t="s">
        <v>959</v>
      </c>
      <c r="G1348" s="48" t="s">
        <v>960</v>
      </c>
      <c r="H1348" s="47" t="s">
        <v>961</v>
      </c>
      <c r="I1348" s="47" t="s">
        <v>962</v>
      </c>
      <c r="J1348" s="47" t="s">
        <v>26</v>
      </c>
    </row>
    <row r="1349" ht="54" customHeight="1" spans="1:10">
      <c r="A1349" s="48" t="s">
        <v>407</v>
      </c>
      <c r="B1349" s="48" t="s">
        <v>2757</v>
      </c>
      <c r="C1349" s="47" t="s">
        <v>1268</v>
      </c>
      <c r="D1349" s="48" t="s">
        <v>957</v>
      </c>
      <c r="E1349" s="48" t="s">
        <v>958</v>
      </c>
      <c r="F1349" s="48" t="s">
        <v>1269</v>
      </c>
      <c r="G1349" s="48" t="s">
        <v>1270</v>
      </c>
      <c r="H1349" s="47" t="s">
        <v>1271</v>
      </c>
      <c r="I1349" s="47" t="s">
        <v>1272</v>
      </c>
      <c r="J1349" s="47" t="s">
        <v>26</v>
      </c>
    </row>
    <row r="1350" ht="54" customHeight="1" spans="1:10">
      <c r="A1350" s="48" t="s">
        <v>409</v>
      </c>
      <c r="B1350" s="48" t="s">
        <v>2758</v>
      </c>
      <c r="C1350" s="47" t="s">
        <v>1975</v>
      </c>
      <c r="D1350" s="48" t="s">
        <v>1009</v>
      </c>
      <c r="E1350" s="48" t="s">
        <v>1010</v>
      </c>
      <c r="F1350" s="48" t="s">
        <v>1976</v>
      </c>
      <c r="G1350" s="48" t="s">
        <v>1977</v>
      </c>
      <c r="H1350" s="47" t="s">
        <v>1978</v>
      </c>
      <c r="I1350" s="47" t="s">
        <v>1979</v>
      </c>
      <c r="J1350" s="47" t="s">
        <v>26</v>
      </c>
    </row>
    <row r="1351" ht="54" customHeight="1" spans="1:10">
      <c r="A1351" s="48" t="s">
        <v>409</v>
      </c>
      <c r="B1351" s="48" t="s">
        <v>2759</v>
      </c>
      <c r="C1351" s="47" t="s">
        <v>1480</v>
      </c>
      <c r="D1351" s="48" t="s">
        <v>1001</v>
      </c>
      <c r="E1351" s="48" t="s">
        <v>1002</v>
      </c>
      <c r="F1351" s="48" t="s">
        <v>1481</v>
      </c>
      <c r="G1351" s="48" t="s">
        <v>1482</v>
      </c>
      <c r="H1351" s="47" t="s">
        <v>1483</v>
      </c>
      <c r="I1351" s="47" t="s">
        <v>1484</v>
      </c>
      <c r="J1351" s="47" t="s">
        <v>26</v>
      </c>
    </row>
    <row r="1352" ht="54" customHeight="1" spans="1:10">
      <c r="A1352" s="48" t="s">
        <v>409</v>
      </c>
      <c r="B1352" s="48" t="s">
        <v>2760</v>
      </c>
      <c r="C1352" s="47" t="s">
        <v>1081</v>
      </c>
      <c r="D1352" s="48" t="s">
        <v>1082</v>
      </c>
      <c r="E1352" s="48" t="s">
        <v>1083</v>
      </c>
      <c r="F1352" s="48" t="s">
        <v>1084</v>
      </c>
      <c r="G1352" s="48" t="s">
        <v>1085</v>
      </c>
      <c r="H1352" s="47" t="s">
        <v>1086</v>
      </c>
      <c r="I1352" s="47" t="s">
        <v>1087</v>
      </c>
      <c r="J1352" s="47" t="s">
        <v>26</v>
      </c>
    </row>
    <row r="1353" ht="54" customHeight="1" spans="1:10">
      <c r="A1353" s="48" t="s">
        <v>409</v>
      </c>
      <c r="B1353" s="48" t="s">
        <v>2761</v>
      </c>
      <c r="C1353" s="47" t="s">
        <v>1089</v>
      </c>
      <c r="D1353" s="48" t="s">
        <v>957</v>
      </c>
      <c r="E1353" s="48" t="s">
        <v>958</v>
      </c>
      <c r="F1353" s="48" t="s">
        <v>1090</v>
      </c>
      <c r="G1353" s="48" t="s">
        <v>1091</v>
      </c>
      <c r="H1353" s="47" t="s">
        <v>1092</v>
      </c>
      <c r="I1353" s="47" t="s">
        <v>1093</v>
      </c>
      <c r="J1353" s="47" t="s">
        <v>26</v>
      </c>
    </row>
    <row r="1354" ht="54" customHeight="1" spans="1:10">
      <c r="A1354" s="48" t="s">
        <v>409</v>
      </c>
      <c r="B1354" s="48" t="s">
        <v>2762</v>
      </c>
      <c r="C1354" s="47" t="s">
        <v>1362</v>
      </c>
      <c r="D1354" s="48" t="s">
        <v>1059</v>
      </c>
      <c r="E1354" s="48" t="s">
        <v>1060</v>
      </c>
      <c r="F1354" s="48" t="s">
        <v>1363</v>
      </c>
      <c r="G1354" s="48" t="s">
        <v>1364</v>
      </c>
      <c r="H1354" s="47" t="s">
        <v>1365</v>
      </c>
      <c r="I1354" s="47" t="s">
        <v>1366</v>
      </c>
      <c r="J1354" s="47" t="s">
        <v>26</v>
      </c>
    </row>
    <row r="1355" ht="54" customHeight="1" spans="1:10">
      <c r="A1355" s="48" t="s">
        <v>409</v>
      </c>
      <c r="B1355" s="48" t="s">
        <v>2763</v>
      </c>
      <c r="C1355" s="47" t="s">
        <v>1105</v>
      </c>
      <c r="D1355" s="48" t="s">
        <v>1009</v>
      </c>
      <c r="E1355" s="48" t="s">
        <v>1010</v>
      </c>
      <c r="F1355" s="48" t="s">
        <v>1106</v>
      </c>
      <c r="G1355" s="48" t="s">
        <v>1107</v>
      </c>
      <c r="H1355" s="47" t="s">
        <v>1108</v>
      </c>
      <c r="I1355" s="47" t="s">
        <v>1109</v>
      </c>
      <c r="J1355" s="47" t="s">
        <v>26</v>
      </c>
    </row>
    <row r="1356" ht="54" customHeight="1" spans="1:10">
      <c r="A1356" s="48" t="s">
        <v>409</v>
      </c>
      <c r="B1356" s="48" t="s">
        <v>2764</v>
      </c>
      <c r="C1356" s="47" t="s">
        <v>1052</v>
      </c>
      <c r="D1356" s="48" t="s">
        <v>1009</v>
      </c>
      <c r="E1356" s="48" t="s">
        <v>1010</v>
      </c>
      <c r="F1356" s="48" t="s">
        <v>1053</v>
      </c>
      <c r="G1356" s="48" t="s">
        <v>1054</v>
      </c>
      <c r="H1356" s="47" t="s">
        <v>1055</v>
      </c>
      <c r="I1356" s="47" t="s">
        <v>1056</v>
      </c>
      <c r="J1356" s="47" t="s">
        <v>26</v>
      </c>
    </row>
    <row r="1357" ht="54" customHeight="1" spans="1:10">
      <c r="A1357" s="48" t="s">
        <v>409</v>
      </c>
      <c r="B1357" s="48" t="s">
        <v>2765</v>
      </c>
      <c r="C1357" s="47" t="s">
        <v>1718</v>
      </c>
      <c r="D1357" s="48" t="s">
        <v>1719</v>
      </c>
      <c r="E1357" s="48" t="s">
        <v>1720</v>
      </c>
      <c r="F1357" s="48" t="s">
        <v>1721</v>
      </c>
      <c r="G1357" s="48" t="s">
        <v>1722</v>
      </c>
      <c r="H1357" s="47" t="s">
        <v>1723</v>
      </c>
      <c r="I1357" s="47" t="s">
        <v>1724</v>
      </c>
      <c r="J1357" s="47" t="s">
        <v>26</v>
      </c>
    </row>
    <row r="1358" ht="54" customHeight="1" spans="1:10">
      <c r="A1358" s="48" t="s">
        <v>409</v>
      </c>
      <c r="B1358" s="48" t="s">
        <v>2766</v>
      </c>
      <c r="C1358" s="47" t="s">
        <v>1097</v>
      </c>
      <c r="D1358" s="48" t="s">
        <v>1098</v>
      </c>
      <c r="E1358" s="48" t="s">
        <v>1099</v>
      </c>
      <c r="F1358" s="48" t="s">
        <v>1100</v>
      </c>
      <c r="G1358" s="48" t="s">
        <v>1101</v>
      </c>
      <c r="H1358" s="47" t="s">
        <v>1102</v>
      </c>
      <c r="I1358" s="47" t="s">
        <v>1103</v>
      </c>
      <c r="J1358" s="47" t="s">
        <v>26</v>
      </c>
    </row>
    <row r="1359" ht="54" customHeight="1" spans="1:10">
      <c r="A1359" s="48" t="s">
        <v>409</v>
      </c>
      <c r="B1359" s="48" t="s">
        <v>2767</v>
      </c>
      <c r="C1359" s="47" t="s">
        <v>1066</v>
      </c>
      <c r="D1359" s="48" t="s">
        <v>935</v>
      </c>
      <c r="E1359" s="48" t="s">
        <v>936</v>
      </c>
      <c r="F1359" s="48" t="s">
        <v>1067</v>
      </c>
      <c r="G1359" s="48" t="s">
        <v>1068</v>
      </c>
      <c r="H1359" s="47" t="s">
        <v>1069</v>
      </c>
      <c r="I1359" s="47" t="s">
        <v>940</v>
      </c>
      <c r="J1359" s="47" t="s">
        <v>26</v>
      </c>
    </row>
    <row r="1360" ht="54" customHeight="1" spans="1:10">
      <c r="A1360" s="48" t="s">
        <v>409</v>
      </c>
      <c r="B1360" s="48" t="s">
        <v>2768</v>
      </c>
      <c r="C1360" s="47" t="s">
        <v>1111</v>
      </c>
      <c r="D1360" s="48" t="s">
        <v>965</v>
      </c>
      <c r="E1360" s="48" t="s">
        <v>966</v>
      </c>
      <c r="F1360" s="48" t="s">
        <v>1112</v>
      </c>
      <c r="G1360" s="48" t="s">
        <v>1113</v>
      </c>
      <c r="H1360" s="47" t="s">
        <v>1114</v>
      </c>
      <c r="I1360" s="47" t="s">
        <v>1115</v>
      </c>
      <c r="J1360" s="47" t="s">
        <v>26</v>
      </c>
    </row>
    <row r="1361" ht="54" customHeight="1" spans="1:10">
      <c r="A1361" s="48" t="s">
        <v>409</v>
      </c>
      <c r="B1361" s="48" t="s">
        <v>2769</v>
      </c>
      <c r="C1361" s="47" t="s">
        <v>1137</v>
      </c>
      <c r="D1361" s="48" t="s">
        <v>1138</v>
      </c>
      <c r="E1361" s="48" t="s">
        <v>1139</v>
      </c>
      <c r="F1361" s="48" t="s">
        <v>1140</v>
      </c>
      <c r="G1361" s="48" t="s">
        <v>1141</v>
      </c>
      <c r="H1361" s="47" t="s">
        <v>1142</v>
      </c>
      <c r="I1361" s="47" t="s">
        <v>940</v>
      </c>
      <c r="J1361" s="47" t="s">
        <v>26</v>
      </c>
    </row>
    <row r="1362" ht="54" customHeight="1" spans="1:10">
      <c r="A1362" s="48" t="s">
        <v>411</v>
      </c>
      <c r="B1362" s="48" t="s">
        <v>2770</v>
      </c>
      <c r="C1362" s="47" t="s">
        <v>1975</v>
      </c>
      <c r="D1362" s="48" t="s">
        <v>1009</v>
      </c>
      <c r="E1362" s="48" t="s">
        <v>1010</v>
      </c>
      <c r="F1362" s="48" t="s">
        <v>1976</v>
      </c>
      <c r="G1362" s="48" t="s">
        <v>1977</v>
      </c>
      <c r="H1362" s="47" t="s">
        <v>1978</v>
      </c>
      <c r="I1362" s="47" t="s">
        <v>1979</v>
      </c>
      <c r="J1362" s="47" t="s">
        <v>26</v>
      </c>
    </row>
    <row r="1363" ht="54" customHeight="1" spans="1:10">
      <c r="A1363" s="48" t="s">
        <v>411</v>
      </c>
      <c r="B1363" s="48" t="s">
        <v>2771</v>
      </c>
      <c r="C1363" s="47" t="s">
        <v>934</v>
      </c>
      <c r="D1363" s="48" t="s">
        <v>935</v>
      </c>
      <c r="E1363" s="48" t="s">
        <v>936</v>
      </c>
      <c r="F1363" s="48" t="s">
        <v>937</v>
      </c>
      <c r="G1363" s="48" t="s">
        <v>938</v>
      </c>
      <c r="H1363" s="47" t="s">
        <v>939</v>
      </c>
      <c r="I1363" s="47" t="s">
        <v>940</v>
      </c>
      <c r="J1363" s="47" t="s">
        <v>26</v>
      </c>
    </row>
    <row r="1364" ht="54" customHeight="1" spans="1:10">
      <c r="A1364" s="48" t="s">
        <v>411</v>
      </c>
      <c r="B1364" s="48" t="s">
        <v>2772</v>
      </c>
      <c r="C1364" s="47" t="s">
        <v>1028</v>
      </c>
      <c r="D1364" s="48" t="s">
        <v>1029</v>
      </c>
      <c r="E1364" s="48" t="s">
        <v>1030</v>
      </c>
      <c r="F1364" s="48" t="s">
        <v>1031</v>
      </c>
      <c r="G1364" s="48" t="s">
        <v>1032</v>
      </c>
      <c r="H1364" s="47" t="s">
        <v>1033</v>
      </c>
      <c r="I1364" s="47" t="s">
        <v>1034</v>
      </c>
      <c r="J1364" s="47" t="s">
        <v>26</v>
      </c>
    </row>
    <row r="1365" ht="54" customHeight="1" spans="1:10">
      <c r="A1365" s="48" t="s">
        <v>411</v>
      </c>
      <c r="B1365" s="48" t="s">
        <v>2773</v>
      </c>
      <c r="C1365" s="47" t="s">
        <v>950</v>
      </c>
      <c r="D1365" s="48" t="s">
        <v>935</v>
      </c>
      <c r="E1365" s="48" t="s">
        <v>936</v>
      </c>
      <c r="F1365" s="48" t="s">
        <v>951</v>
      </c>
      <c r="G1365" s="48" t="s">
        <v>952</v>
      </c>
      <c r="H1365" s="47" t="s">
        <v>953</v>
      </c>
      <c r="I1365" s="47" t="s">
        <v>954</v>
      </c>
      <c r="J1365" s="47" t="s">
        <v>26</v>
      </c>
    </row>
    <row r="1366" ht="54" customHeight="1" spans="1:10">
      <c r="A1366" s="48" t="s">
        <v>411</v>
      </c>
      <c r="B1366" s="48" t="s">
        <v>2774</v>
      </c>
      <c r="C1366" s="47" t="s">
        <v>956</v>
      </c>
      <c r="D1366" s="48" t="s">
        <v>957</v>
      </c>
      <c r="E1366" s="48" t="s">
        <v>958</v>
      </c>
      <c r="F1366" s="48" t="s">
        <v>959</v>
      </c>
      <c r="G1366" s="48" t="s">
        <v>960</v>
      </c>
      <c r="H1366" s="47" t="s">
        <v>961</v>
      </c>
      <c r="I1366" s="47" t="s">
        <v>962</v>
      </c>
      <c r="J1366" s="47" t="s">
        <v>26</v>
      </c>
    </row>
    <row r="1367" ht="54" customHeight="1" spans="1:10">
      <c r="A1367" s="48" t="s">
        <v>411</v>
      </c>
      <c r="B1367" s="48" t="s">
        <v>2775</v>
      </c>
      <c r="C1367" s="47" t="s">
        <v>1105</v>
      </c>
      <c r="D1367" s="48" t="s">
        <v>1009</v>
      </c>
      <c r="E1367" s="48" t="s">
        <v>1010</v>
      </c>
      <c r="F1367" s="48" t="s">
        <v>1106</v>
      </c>
      <c r="G1367" s="48" t="s">
        <v>1107</v>
      </c>
      <c r="H1367" s="47" t="s">
        <v>1108</v>
      </c>
      <c r="I1367" s="47" t="s">
        <v>1109</v>
      </c>
      <c r="J1367" s="47" t="s">
        <v>26</v>
      </c>
    </row>
    <row r="1368" ht="54" customHeight="1" spans="1:10">
      <c r="A1368" s="48" t="s">
        <v>411</v>
      </c>
      <c r="B1368" s="48" t="s">
        <v>2776</v>
      </c>
      <c r="C1368" s="47" t="s">
        <v>1036</v>
      </c>
      <c r="D1368" s="48" t="s">
        <v>1037</v>
      </c>
      <c r="E1368" s="48" t="s">
        <v>1038</v>
      </c>
      <c r="F1368" s="48" t="s">
        <v>1039</v>
      </c>
      <c r="G1368" s="48" t="s">
        <v>1040</v>
      </c>
      <c r="H1368" s="47" t="s">
        <v>1041</v>
      </c>
      <c r="I1368" s="47" t="s">
        <v>1042</v>
      </c>
      <c r="J1368" s="47" t="s">
        <v>26</v>
      </c>
    </row>
    <row r="1369" ht="54" customHeight="1" spans="1:10">
      <c r="A1369" s="48" t="s">
        <v>411</v>
      </c>
      <c r="B1369" s="48" t="s">
        <v>2777</v>
      </c>
      <c r="C1369" s="47" t="s">
        <v>1297</v>
      </c>
      <c r="D1369" s="48" t="s">
        <v>1009</v>
      </c>
      <c r="E1369" s="48" t="s">
        <v>1010</v>
      </c>
      <c r="F1369" s="48" t="s">
        <v>1298</v>
      </c>
      <c r="G1369" s="48" t="s">
        <v>1299</v>
      </c>
      <c r="H1369" s="47" t="s">
        <v>1300</v>
      </c>
      <c r="I1369" s="47" t="s">
        <v>1301</v>
      </c>
      <c r="J1369" s="47" t="s">
        <v>26</v>
      </c>
    </row>
    <row r="1370" ht="54" customHeight="1" spans="1:10">
      <c r="A1370" s="48" t="s">
        <v>411</v>
      </c>
      <c r="B1370" s="48" t="s">
        <v>2778</v>
      </c>
      <c r="C1370" s="47" t="s">
        <v>1097</v>
      </c>
      <c r="D1370" s="48" t="s">
        <v>1098</v>
      </c>
      <c r="E1370" s="48" t="s">
        <v>1099</v>
      </c>
      <c r="F1370" s="48" t="s">
        <v>1100</v>
      </c>
      <c r="G1370" s="48" t="s">
        <v>1101</v>
      </c>
      <c r="H1370" s="47" t="s">
        <v>1102</v>
      </c>
      <c r="I1370" s="47" t="s">
        <v>1103</v>
      </c>
      <c r="J1370" s="47" t="s">
        <v>26</v>
      </c>
    </row>
    <row r="1371" ht="54" customHeight="1" spans="1:10">
      <c r="A1371" s="48" t="s">
        <v>411</v>
      </c>
      <c r="B1371" s="48" t="s">
        <v>2779</v>
      </c>
      <c r="C1371" s="47" t="s">
        <v>1277</v>
      </c>
      <c r="D1371" s="48" t="s">
        <v>1278</v>
      </c>
      <c r="E1371" s="48" t="s">
        <v>1279</v>
      </c>
      <c r="F1371" s="48" t="s">
        <v>1280</v>
      </c>
      <c r="G1371" s="48" t="s">
        <v>1281</v>
      </c>
      <c r="H1371" s="47" t="s">
        <v>1282</v>
      </c>
      <c r="I1371" s="47" t="s">
        <v>1283</v>
      </c>
      <c r="J1371" s="47" t="s">
        <v>26</v>
      </c>
    </row>
    <row r="1372" ht="54" customHeight="1" spans="1:10">
      <c r="A1372" s="48" t="s">
        <v>411</v>
      </c>
      <c r="B1372" s="48" t="s">
        <v>2780</v>
      </c>
      <c r="C1372" s="47" t="s">
        <v>1066</v>
      </c>
      <c r="D1372" s="48" t="s">
        <v>935</v>
      </c>
      <c r="E1372" s="48" t="s">
        <v>936</v>
      </c>
      <c r="F1372" s="48" t="s">
        <v>1067</v>
      </c>
      <c r="G1372" s="48" t="s">
        <v>1068</v>
      </c>
      <c r="H1372" s="47" t="s">
        <v>1069</v>
      </c>
      <c r="I1372" s="47" t="s">
        <v>940</v>
      </c>
      <c r="J1372" s="47" t="s">
        <v>26</v>
      </c>
    </row>
    <row r="1373" ht="54" customHeight="1" spans="1:10">
      <c r="A1373" s="48" t="s">
        <v>411</v>
      </c>
      <c r="B1373" s="48" t="s">
        <v>2781</v>
      </c>
      <c r="C1373" s="47" t="s">
        <v>1388</v>
      </c>
      <c r="D1373" s="48" t="s">
        <v>1037</v>
      </c>
      <c r="E1373" s="48" t="s">
        <v>1038</v>
      </c>
      <c r="F1373" s="48" t="s">
        <v>1389</v>
      </c>
      <c r="G1373" s="48" t="s">
        <v>1390</v>
      </c>
      <c r="H1373" s="47" t="s">
        <v>1391</v>
      </c>
      <c r="I1373" s="47" t="s">
        <v>1392</v>
      </c>
      <c r="J1373" s="47" t="s">
        <v>26</v>
      </c>
    </row>
    <row r="1374" ht="54" customHeight="1" spans="1:10">
      <c r="A1374" s="48" t="s">
        <v>413</v>
      </c>
      <c r="B1374" s="48" t="s">
        <v>2782</v>
      </c>
      <c r="C1374" s="47" t="s">
        <v>1072</v>
      </c>
      <c r="D1374" s="48" t="s">
        <v>1073</v>
      </c>
      <c r="E1374" s="48" t="s">
        <v>1074</v>
      </c>
      <c r="F1374" s="48" t="s">
        <v>1075</v>
      </c>
      <c r="G1374" s="48" t="s">
        <v>1076</v>
      </c>
      <c r="H1374" s="47" t="s">
        <v>1077</v>
      </c>
      <c r="I1374" s="47" t="s">
        <v>1078</v>
      </c>
      <c r="J1374" s="47" t="s">
        <v>26</v>
      </c>
    </row>
    <row r="1375" ht="54" customHeight="1" spans="1:10">
      <c r="A1375" s="48" t="s">
        <v>413</v>
      </c>
      <c r="B1375" s="48" t="s">
        <v>2783</v>
      </c>
      <c r="C1375" s="47" t="s">
        <v>1480</v>
      </c>
      <c r="D1375" s="48" t="s">
        <v>1001</v>
      </c>
      <c r="E1375" s="48" t="s">
        <v>1002</v>
      </c>
      <c r="F1375" s="48" t="s">
        <v>1481</v>
      </c>
      <c r="G1375" s="48" t="s">
        <v>1482</v>
      </c>
      <c r="H1375" s="47" t="s">
        <v>1483</v>
      </c>
      <c r="I1375" s="47" t="s">
        <v>1484</v>
      </c>
      <c r="J1375" s="47" t="s">
        <v>26</v>
      </c>
    </row>
    <row r="1376" ht="54" customHeight="1" spans="1:10">
      <c r="A1376" s="48" t="s">
        <v>413</v>
      </c>
      <c r="B1376" s="48" t="s">
        <v>2784</v>
      </c>
      <c r="C1376" s="47" t="s">
        <v>1028</v>
      </c>
      <c r="D1376" s="48" t="s">
        <v>1029</v>
      </c>
      <c r="E1376" s="48" t="s">
        <v>1030</v>
      </c>
      <c r="F1376" s="48" t="s">
        <v>1031</v>
      </c>
      <c r="G1376" s="48" t="s">
        <v>1032</v>
      </c>
      <c r="H1376" s="47" t="s">
        <v>1033</v>
      </c>
      <c r="I1376" s="47" t="s">
        <v>1034</v>
      </c>
      <c r="J1376" s="47" t="s">
        <v>26</v>
      </c>
    </row>
    <row r="1377" ht="54" customHeight="1" spans="1:10">
      <c r="A1377" s="48" t="s">
        <v>413</v>
      </c>
      <c r="B1377" s="48" t="s">
        <v>2785</v>
      </c>
      <c r="C1377" s="47" t="s">
        <v>1089</v>
      </c>
      <c r="D1377" s="48" t="s">
        <v>957</v>
      </c>
      <c r="E1377" s="48" t="s">
        <v>958</v>
      </c>
      <c r="F1377" s="48" t="s">
        <v>1090</v>
      </c>
      <c r="G1377" s="48" t="s">
        <v>1091</v>
      </c>
      <c r="H1377" s="47" t="s">
        <v>1092</v>
      </c>
      <c r="I1377" s="47" t="s">
        <v>1093</v>
      </c>
      <c r="J1377" s="47" t="s">
        <v>26</v>
      </c>
    </row>
    <row r="1378" ht="54" customHeight="1" spans="1:10">
      <c r="A1378" s="48" t="s">
        <v>413</v>
      </c>
      <c r="B1378" s="48" t="s">
        <v>2786</v>
      </c>
      <c r="C1378" s="47" t="s">
        <v>956</v>
      </c>
      <c r="D1378" s="48" t="s">
        <v>957</v>
      </c>
      <c r="E1378" s="48" t="s">
        <v>958</v>
      </c>
      <c r="F1378" s="48" t="s">
        <v>959</v>
      </c>
      <c r="G1378" s="48" t="s">
        <v>960</v>
      </c>
      <c r="H1378" s="47" t="s">
        <v>961</v>
      </c>
      <c r="I1378" s="47" t="s">
        <v>962</v>
      </c>
      <c r="J1378" s="47" t="s">
        <v>26</v>
      </c>
    </row>
    <row r="1379" ht="54" customHeight="1" spans="1:10">
      <c r="A1379" s="48" t="s">
        <v>413</v>
      </c>
      <c r="B1379" s="48" t="s">
        <v>2787</v>
      </c>
      <c r="C1379" s="47" t="s">
        <v>1105</v>
      </c>
      <c r="D1379" s="48" t="s">
        <v>1009</v>
      </c>
      <c r="E1379" s="48" t="s">
        <v>1010</v>
      </c>
      <c r="F1379" s="48" t="s">
        <v>1106</v>
      </c>
      <c r="G1379" s="48" t="s">
        <v>1107</v>
      </c>
      <c r="H1379" s="47" t="s">
        <v>1108</v>
      </c>
      <c r="I1379" s="47" t="s">
        <v>1109</v>
      </c>
      <c r="J1379" s="47" t="s">
        <v>26</v>
      </c>
    </row>
    <row r="1380" ht="54" customHeight="1" spans="1:10">
      <c r="A1380" s="48" t="s">
        <v>413</v>
      </c>
      <c r="B1380" s="48" t="s">
        <v>2788</v>
      </c>
      <c r="C1380" s="47" t="s">
        <v>1297</v>
      </c>
      <c r="D1380" s="48" t="s">
        <v>1009</v>
      </c>
      <c r="E1380" s="48" t="s">
        <v>1010</v>
      </c>
      <c r="F1380" s="48" t="s">
        <v>1298</v>
      </c>
      <c r="G1380" s="48" t="s">
        <v>1299</v>
      </c>
      <c r="H1380" s="47" t="s">
        <v>1300</v>
      </c>
      <c r="I1380" s="47" t="s">
        <v>1301</v>
      </c>
      <c r="J1380" s="47" t="s">
        <v>26</v>
      </c>
    </row>
    <row r="1381" ht="54" customHeight="1" spans="1:10">
      <c r="A1381" s="48" t="s">
        <v>413</v>
      </c>
      <c r="B1381" s="48" t="s">
        <v>2789</v>
      </c>
      <c r="C1381" s="47" t="s">
        <v>1097</v>
      </c>
      <c r="D1381" s="48" t="s">
        <v>1098</v>
      </c>
      <c r="E1381" s="48" t="s">
        <v>1099</v>
      </c>
      <c r="F1381" s="48" t="s">
        <v>1100</v>
      </c>
      <c r="G1381" s="48" t="s">
        <v>1101</v>
      </c>
      <c r="H1381" s="47" t="s">
        <v>1102</v>
      </c>
      <c r="I1381" s="47" t="s">
        <v>1103</v>
      </c>
      <c r="J1381" s="47" t="s">
        <v>26</v>
      </c>
    </row>
    <row r="1382" ht="54" customHeight="1" spans="1:10">
      <c r="A1382" s="48" t="s">
        <v>413</v>
      </c>
      <c r="B1382" s="48" t="s">
        <v>2790</v>
      </c>
      <c r="C1382" s="47" t="s">
        <v>1277</v>
      </c>
      <c r="D1382" s="48" t="s">
        <v>1278</v>
      </c>
      <c r="E1382" s="48" t="s">
        <v>1279</v>
      </c>
      <c r="F1382" s="48" t="s">
        <v>1280</v>
      </c>
      <c r="G1382" s="48" t="s">
        <v>1281</v>
      </c>
      <c r="H1382" s="47" t="s">
        <v>1282</v>
      </c>
      <c r="I1382" s="47" t="s">
        <v>1283</v>
      </c>
      <c r="J1382" s="47" t="s">
        <v>26</v>
      </c>
    </row>
    <row r="1383" ht="54" customHeight="1" spans="1:10">
      <c r="A1383" s="48" t="s">
        <v>413</v>
      </c>
      <c r="B1383" s="48" t="s">
        <v>2791</v>
      </c>
      <c r="C1383" s="47" t="s">
        <v>1610</v>
      </c>
      <c r="D1383" s="48" t="s">
        <v>1098</v>
      </c>
      <c r="E1383" s="48" t="s">
        <v>1099</v>
      </c>
      <c r="F1383" s="48" t="s">
        <v>1611</v>
      </c>
      <c r="G1383" s="48" t="s">
        <v>1612</v>
      </c>
      <c r="H1383" s="47" t="s">
        <v>1613</v>
      </c>
      <c r="I1383" s="47" t="s">
        <v>1614</v>
      </c>
      <c r="J1383" s="47" t="s">
        <v>26</v>
      </c>
    </row>
    <row r="1384" ht="54" customHeight="1" spans="1:10">
      <c r="A1384" s="48" t="s">
        <v>413</v>
      </c>
      <c r="B1384" s="48" t="s">
        <v>2792</v>
      </c>
      <c r="C1384" s="47" t="s">
        <v>1388</v>
      </c>
      <c r="D1384" s="48" t="s">
        <v>1037</v>
      </c>
      <c r="E1384" s="48" t="s">
        <v>1038</v>
      </c>
      <c r="F1384" s="48" t="s">
        <v>1389</v>
      </c>
      <c r="G1384" s="48" t="s">
        <v>1390</v>
      </c>
      <c r="H1384" s="47" t="s">
        <v>1391</v>
      </c>
      <c r="I1384" s="47" t="s">
        <v>1392</v>
      </c>
      <c r="J1384" s="47" t="s">
        <v>26</v>
      </c>
    </row>
    <row r="1385" ht="54" customHeight="1" spans="1:10">
      <c r="A1385" s="48" t="s">
        <v>413</v>
      </c>
      <c r="B1385" s="48" t="s">
        <v>2793</v>
      </c>
      <c r="C1385" s="47" t="s">
        <v>1252</v>
      </c>
      <c r="D1385" s="48" t="s">
        <v>1001</v>
      </c>
      <c r="E1385" s="48" t="s">
        <v>1002</v>
      </c>
      <c r="F1385" s="48" t="s">
        <v>1253</v>
      </c>
      <c r="G1385" s="48" t="s">
        <v>1254</v>
      </c>
      <c r="H1385" s="47" t="s">
        <v>1255</v>
      </c>
      <c r="I1385" s="47" t="s">
        <v>1256</v>
      </c>
      <c r="J1385" s="47" t="s">
        <v>26</v>
      </c>
    </row>
    <row r="1386" ht="54" customHeight="1" spans="1:10">
      <c r="A1386" s="48" t="s">
        <v>415</v>
      </c>
      <c r="B1386" s="48" t="s">
        <v>2794</v>
      </c>
      <c r="C1386" s="47" t="s">
        <v>1285</v>
      </c>
      <c r="D1386" s="48" t="s">
        <v>965</v>
      </c>
      <c r="E1386" s="48" t="s">
        <v>966</v>
      </c>
      <c r="F1386" s="48" t="s">
        <v>1286</v>
      </c>
      <c r="G1386" s="48" t="s">
        <v>1287</v>
      </c>
      <c r="H1386" s="47" t="s">
        <v>1288</v>
      </c>
      <c r="I1386" s="47" t="s">
        <v>1289</v>
      </c>
      <c r="J1386" s="47" t="s">
        <v>26</v>
      </c>
    </row>
    <row r="1387" ht="54" customHeight="1" spans="1:10">
      <c r="A1387" s="48" t="s">
        <v>415</v>
      </c>
      <c r="B1387" s="48" t="s">
        <v>2795</v>
      </c>
      <c r="C1387" s="47" t="s">
        <v>971</v>
      </c>
      <c r="D1387" s="48" t="s">
        <v>965</v>
      </c>
      <c r="E1387" s="48" t="s">
        <v>966</v>
      </c>
      <c r="F1387" s="48" t="s">
        <v>972</v>
      </c>
      <c r="G1387" s="48" t="s">
        <v>973</v>
      </c>
      <c r="H1387" s="47" t="s">
        <v>974</v>
      </c>
      <c r="I1387" s="47" t="s">
        <v>975</v>
      </c>
      <c r="J1387" s="47" t="s">
        <v>26</v>
      </c>
    </row>
    <row r="1388" ht="54" customHeight="1" spans="1:10">
      <c r="A1388" s="48" t="s">
        <v>417</v>
      </c>
      <c r="B1388" s="48" t="s">
        <v>2796</v>
      </c>
      <c r="C1388" s="47" t="s">
        <v>2797</v>
      </c>
      <c r="D1388" s="48" t="s">
        <v>1073</v>
      </c>
      <c r="E1388" s="48" t="s">
        <v>1074</v>
      </c>
      <c r="F1388" s="48" t="s">
        <v>2798</v>
      </c>
      <c r="G1388" s="48" t="s">
        <v>2799</v>
      </c>
      <c r="H1388" s="47" t="s">
        <v>2800</v>
      </c>
      <c r="I1388" s="47" t="s">
        <v>2801</v>
      </c>
      <c r="J1388" s="47" t="s">
        <v>39</v>
      </c>
    </row>
    <row r="1389" ht="54" customHeight="1" spans="1:10">
      <c r="A1389" s="48" t="s">
        <v>417</v>
      </c>
      <c r="B1389" s="48" t="s">
        <v>2802</v>
      </c>
      <c r="C1389" s="47" t="s">
        <v>1601</v>
      </c>
      <c r="D1389" s="48" t="s">
        <v>1184</v>
      </c>
      <c r="E1389" s="48" t="s">
        <v>1185</v>
      </c>
      <c r="F1389" s="48" t="s">
        <v>1602</v>
      </c>
      <c r="G1389" s="48" t="s">
        <v>1603</v>
      </c>
      <c r="H1389" s="47" t="s">
        <v>1604</v>
      </c>
      <c r="I1389" s="47" t="s">
        <v>1605</v>
      </c>
      <c r="J1389" s="47" t="s">
        <v>39</v>
      </c>
    </row>
    <row r="1390" ht="54" customHeight="1" spans="1:10">
      <c r="A1390" s="48" t="s">
        <v>417</v>
      </c>
      <c r="B1390" s="48" t="s">
        <v>2803</v>
      </c>
      <c r="C1390" s="47" t="s">
        <v>1216</v>
      </c>
      <c r="D1390" s="48" t="s">
        <v>993</v>
      </c>
      <c r="E1390" s="48" t="s">
        <v>994</v>
      </c>
      <c r="F1390" s="48" t="s">
        <v>1217</v>
      </c>
      <c r="G1390" s="48" t="s">
        <v>1218</v>
      </c>
      <c r="H1390" s="47" t="s">
        <v>1219</v>
      </c>
      <c r="I1390" s="47" t="s">
        <v>1220</v>
      </c>
      <c r="J1390" s="47" t="s">
        <v>39</v>
      </c>
    </row>
    <row r="1391" ht="54" customHeight="1" spans="1:10">
      <c r="A1391" s="48" t="s">
        <v>417</v>
      </c>
      <c r="B1391" s="48" t="s">
        <v>2804</v>
      </c>
      <c r="C1391" s="47" t="s">
        <v>1164</v>
      </c>
      <c r="D1391" s="48" t="s">
        <v>978</v>
      </c>
      <c r="E1391" s="48" t="s">
        <v>979</v>
      </c>
      <c r="F1391" s="48" t="s">
        <v>1165</v>
      </c>
      <c r="G1391" s="48" t="s">
        <v>1166</v>
      </c>
      <c r="H1391" s="47" t="s">
        <v>1167</v>
      </c>
      <c r="I1391" s="47" t="s">
        <v>1168</v>
      </c>
      <c r="J1391" s="47" t="s">
        <v>39</v>
      </c>
    </row>
    <row r="1392" ht="54" customHeight="1" spans="1:10">
      <c r="A1392" s="48" t="s">
        <v>419</v>
      </c>
      <c r="B1392" s="48" t="s">
        <v>2805</v>
      </c>
      <c r="C1392" s="47" t="s">
        <v>985</v>
      </c>
      <c r="D1392" s="48" t="s">
        <v>986</v>
      </c>
      <c r="E1392" s="48" t="s">
        <v>987</v>
      </c>
      <c r="F1392" s="48" t="s">
        <v>988</v>
      </c>
      <c r="G1392" s="48" t="s">
        <v>987</v>
      </c>
      <c r="H1392" s="47" t="s">
        <v>989</v>
      </c>
      <c r="I1392" s="47" t="s">
        <v>990</v>
      </c>
      <c r="J1392" s="47" t="s">
        <v>26</v>
      </c>
    </row>
    <row r="1393" ht="54" customHeight="1" spans="1:10">
      <c r="A1393" s="48" t="s">
        <v>419</v>
      </c>
      <c r="B1393" s="48" t="s">
        <v>2806</v>
      </c>
      <c r="C1393" s="47" t="s">
        <v>1153</v>
      </c>
      <c r="D1393" s="48" t="s">
        <v>943</v>
      </c>
      <c r="E1393" s="48" t="s">
        <v>944</v>
      </c>
      <c r="F1393" s="48" t="s">
        <v>1154</v>
      </c>
      <c r="G1393" s="48" t="s">
        <v>1155</v>
      </c>
      <c r="H1393" s="47" t="s">
        <v>1156</v>
      </c>
      <c r="I1393" s="47" t="s">
        <v>1157</v>
      </c>
      <c r="J1393" s="47" t="s">
        <v>26</v>
      </c>
    </row>
    <row r="1394" ht="54" customHeight="1" spans="1:10">
      <c r="A1394" s="48" t="s">
        <v>419</v>
      </c>
      <c r="B1394" s="48" t="s">
        <v>2807</v>
      </c>
      <c r="C1394" s="47" t="s">
        <v>1008</v>
      </c>
      <c r="D1394" s="48" t="s">
        <v>1009</v>
      </c>
      <c r="E1394" s="48" t="s">
        <v>1010</v>
      </c>
      <c r="F1394" s="48" t="s">
        <v>1011</v>
      </c>
      <c r="G1394" s="48" t="s">
        <v>1012</v>
      </c>
      <c r="H1394" s="47" t="s">
        <v>1013</v>
      </c>
      <c r="I1394" s="47" t="s">
        <v>1014</v>
      </c>
      <c r="J1394" s="47" t="s">
        <v>26</v>
      </c>
    </row>
    <row r="1395" ht="54" customHeight="1" spans="1:10">
      <c r="A1395" s="48" t="s">
        <v>419</v>
      </c>
      <c r="B1395" s="48" t="s">
        <v>2808</v>
      </c>
      <c r="C1395" s="47" t="s">
        <v>1480</v>
      </c>
      <c r="D1395" s="48" t="s">
        <v>1001</v>
      </c>
      <c r="E1395" s="48" t="s">
        <v>1002</v>
      </c>
      <c r="F1395" s="48" t="s">
        <v>1481</v>
      </c>
      <c r="G1395" s="48" t="s">
        <v>1482</v>
      </c>
      <c r="H1395" s="47" t="s">
        <v>1483</v>
      </c>
      <c r="I1395" s="47" t="s">
        <v>1484</v>
      </c>
      <c r="J1395" s="47" t="s">
        <v>26</v>
      </c>
    </row>
    <row r="1396" ht="54" customHeight="1" spans="1:10">
      <c r="A1396" s="48" t="s">
        <v>419</v>
      </c>
      <c r="B1396" s="48" t="s">
        <v>2809</v>
      </c>
      <c r="C1396" s="47" t="s">
        <v>1022</v>
      </c>
      <c r="D1396" s="48" t="s">
        <v>957</v>
      </c>
      <c r="E1396" s="48" t="s">
        <v>958</v>
      </c>
      <c r="F1396" s="48" t="s">
        <v>1023</v>
      </c>
      <c r="G1396" s="48" t="s">
        <v>1024</v>
      </c>
      <c r="H1396" s="47" t="s">
        <v>1025</v>
      </c>
      <c r="I1396" s="47" t="s">
        <v>1026</v>
      </c>
      <c r="J1396" s="47" t="s">
        <v>26</v>
      </c>
    </row>
    <row r="1397" ht="54" customHeight="1" spans="1:10">
      <c r="A1397" s="48" t="s">
        <v>419</v>
      </c>
      <c r="B1397" s="48" t="s">
        <v>2810</v>
      </c>
      <c r="C1397" s="47" t="s">
        <v>1028</v>
      </c>
      <c r="D1397" s="48" t="s">
        <v>1029</v>
      </c>
      <c r="E1397" s="48" t="s">
        <v>1030</v>
      </c>
      <c r="F1397" s="48" t="s">
        <v>1031</v>
      </c>
      <c r="G1397" s="48" t="s">
        <v>1032</v>
      </c>
      <c r="H1397" s="47" t="s">
        <v>1033</v>
      </c>
      <c r="I1397" s="47" t="s">
        <v>1034</v>
      </c>
      <c r="J1397" s="47" t="s">
        <v>26</v>
      </c>
    </row>
    <row r="1398" ht="54" customHeight="1" spans="1:10">
      <c r="A1398" s="48" t="s">
        <v>419</v>
      </c>
      <c r="B1398" s="48" t="s">
        <v>2811</v>
      </c>
      <c r="C1398" s="47" t="s">
        <v>1081</v>
      </c>
      <c r="D1398" s="48" t="s">
        <v>1082</v>
      </c>
      <c r="E1398" s="48" t="s">
        <v>1083</v>
      </c>
      <c r="F1398" s="48" t="s">
        <v>1084</v>
      </c>
      <c r="G1398" s="48" t="s">
        <v>1085</v>
      </c>
      <c r="H1398" s="47" t="s">
        <v>1086</v>
      </c>
      <c r="I1398" s="47" t="s">
        <v>1087</v>
      </c>
      <c r="J1398" s="47" t="s">
        <v>26</v>
      </c>
    </row>
    <row r="1399" ht="54" customHeight="1" spans="1:10">
      <c r="A1399" s="48" t="s">
        <v>419</v>
      </c>
      <c r="B1399" s="48" t="s">
        <v>2812</v>
      </c>
      <c r="C1399" s="47" t="s">
        <v>1337</v>
      </c>
      <c r="D1399" s="48" t="s">
        <v>1009</v>
      </c>
      <c r="E1399" s="48" t="s">
        <v>1010</v>
      </c>
      <c r="F1399" s="48" t="s">
        <v>1338</v>
      </c>
      <c r="G1399" s="48" t="s">
        <v>1339</v>
      </c>
      <c r="H1399" s="47" t="s">
        <v>1340</v>
      </c>
      <c r="I1399" s="47" t="s">
        <v>1341</v>
      </c>
      <c r="J1399" s="47" t="s">
        <v>26</v>
      </c>
    </row>
    <row r="1400" ht="54" customHeight="1" spans="1:10">
      <c r="A1400" s="48" t="s">
        <v>419</v>
      </c>
      <c r="B1400" s="48" t="s">
        <v>2813</v>
      </c>
      <c r="C1400" s="47" t="s">
        <v>956</v>
      </c>
      <c r="D1400" s="48" t="s">
        <v>957</v>
      </c>
      <c r="E1400" s="48" t="s">
        <v>958</v>
      </c>
      <c r="F1400" s="48" t="s">
        <v>959</v>
      </c>
      <c r="G1400" s="48" t="s">
        <v>960</v>
      </c>
      <c r="H1400" s="47" t="s">
        <v>961</v>
      </c>
      <c r="I1400" s="47" t="s">
        <v>962</v>
      </c>
      <c r="J1400" s="47" t="s">
        <v>26</v>
      </c>
    </row>
    <row r="1401" ht="54" customHeight="1" spans="1:10">
      <c r="A1401" s="48" t="s">
        <v>419</v>
      </c>
      <c r="B1401" s="48" t="s">
        <v>2814</v>
      </c>
      <c r="C1401" s="47" t="s">
        <v>1105</v>
      </c>
      <c r="D1401" s="48" t="s">
        <v>1009</v>
      </c>
      <c r="E1401" s="48" t="s">
        <v>1010</v>
      </c>
      <c r="F1401" s="48" t="s">
        <v>1106</v>
      </c>
      <c r="G1401" s="48" t="s">
        <v>1107</v>
      </c>
      <c r="H1401" s="47" t="s">
        <v>1108</v>
      </c>
      <c r="I1401" s="47" t="s">
        <v>1109</v>
      </c>
      <c r="J1401" s="47" t="s">
        <v>26</v>
      </c>
    </row>
    <row r="1402" ht="54" customHeight="1" spans="1:10">
      <c r="A1402" s="48" t="s">
        <v>419</v>
      </c>
      <c r="B1402" s="48" t="s">
        <v>2815</v>
      </c>
      <c r="C1402" s="47" t="s">
        <v>1097</v>
      </c>
      <c r="D1402" s="48" t="s">
        <v>1098</v>
      </c>
      <c r="E1402" s="48" t="s">
        <v>1099</v>
      </c>
      <c r="F1402" s="48" t="s">
        <v>1100</v>
      </c>
      <c r="G1402" s="48" t="s">
        <v>1101</v>
      </c>
      <c r="H1402" s="47" t="s">
        <v>1102</v>
      </c>
      <c r="I1402" s="47" t="s">
        <v>1103</v>
      </c>
      <c r="J1402" s="47" t="s">
        <v>26</v>
      </c>
    </row>
    <row r="1403" ht="54" customHeight="1" spans="1:10">
      <c r="A1403" s="48" t="s">
        <v>419</v>
      </c>
      <c r="B1403" s="48" t="s">
        <v>2816</v>
      </c>
      <c r="C1403" s="47" t="s">
        <v>1277</v>
      </c>
      <c r="D1403" s="48" t="s">
        <v>1278</v>
      </c>
      <c r="E1403" s="48" t="s">
        <v>1279</v>
      </c>
      <c r="F1403" s="48" t="s">
        <v>1280</v>
      </c>
      <c r="G1403" s="48" t="s">
        <v>1281</v>
      </c>
      <c r="H1403" s="47" t="s">
        <v>1282</v>
      </c>
      <c r="I1403" s="47" t="s">
        <v>1283</v>
      </c>
      <c r="J1403" s="47" t="s">
        <v>26</v>
      </c>
    </row>
    <row r="1404" ht="54" customHeight="1" spans="1:10">
      <c r="A1404" s="48" t="s">
        <v>421</v>
      </c>
      <c r="B1404" s="48" t="s">
        <v>2817</v>
      </c>
      <c r="C1404" s="47" t="s">
        <v>2797</v>
      </c>
      <c r="D1404" s="48" t="s">
        <v>1073</v>
      </c>
      <c r="E1404" s="48" t="s">
        <v>1074</v>
      </c>
      <c r="F1404" s="48" t="s">
        <v>2798</v>
      </c>
      <c r="G1404" s="48" t="s">
        <v>2799</v>
      </c>
      <c r="H1404" s="47" t="s">
        <v>2800</v>
      </c>
      <c r="I1404" s="47" t="s">
        <v>2801</v>
      </c>
      <c r="J1404" s="47" t="s">
        <v>29</v>
      </c>
    </row>
    <row r="1405" ht="54" customHeight="1" spans="1:10">
      <c r="A1405" s="48" t="s">
        <v>421</v>
      </c>
      <c r="B1405" s="48" t="s">
        <v>2818</v>
      </c>
      <c r="C1405" s="47" t="s">
        <v>1505</v>
      </c>
      <c r="D1405" s="48" t="s">
        <v>1506</v>
      </c>
      <c r="E1405" s="48" t="s">
        <v>1507</v>
      </c>
      <c r="F1405" s="48" t="s">
        <v>1508</v>
      </c>
      <c r="G1405" s="48" t="s">
        <v>1507</v>
      </c>
      <c r="H1405" s="47" t="s">
        <v>1509</v>
      </c>
      <c r="I1405" s="47" t="s">
        <v>1510</v>
      </c>
      <c r="J1405" s="47" t="s">
        <v>29</v>
      </c>
    </row>
    <row r="1406" ht="54" customHeight="1" spans="1:10">
      <c r="A1406" s="48" t="s">
        <v>421</v>
      </c>
      <c r="B1406" s="48" t="s">
        <v>2819</v>
      </c>
      <c r="C1406" s="47" t="s">
        <v>1421</v>
      </c>
      <c r="D1406" s="48" t="s">
        <v>1422</v>
      </c>
      <c r="E1406" s="48" t="s">
        <v>1423</v>
      </c>
      <c r="F1406" s="48" t="s">
        <v>1424</v>
      </c>
      <c r="G1406" s="48" t="s">
        <v>1423</v>
      </c>
      <c r="H1406" s="47" t="s">
        <v>1425</v>
      </c>
      <c r="I1406" s="47" t="s">
        <v>1426</v>
      </c>
      <c r="J1406" s="47" t="s">
        <v>29</v>
      </c>
    </row>
    <row r="1407" ht="54" customHeight="1" spans="1:10">
      <c r="A1407" s="48" t="s">
        <v>421</v>
      </c>
      <c r="B1407" s="48" t="s">
        <v>2820</v>
      </c>
      <c r="C1407" s="47" t="s">
        <v>1480</v>
      </c>
      <c r="D1407" s="48" t="s">
        <v>1001</v>
      </c>
      <c r="E1407" s="48" t="s">
        <v>1002</v>
      </c>
      <c r="F1407" s="48" t="s">
        <v>1481</v>
      </c>
      <c r="G1407" s="48" t="s">
        <v>1482</v>
      </c>
      <c r="H1407" s="47" t="s">
        <v>1483</v>
      </c>
      <c r="I1407" s="47" t="s">
        <v>1484</v>
      </c>
      <c r="J1407" s="47" t="s">
        <v>29</v>
      </c>
    </row>
    <row r="1408" ht="54" customHeight="1" spans="1:10">
      <c r="A1408" s="48" t="s">
        <v>421</v>
      </c>
      <c r="B1408" s="48" t="s">
        <v>2821</v>
      </c>
      <c r="C1408" s="47" t="s">
        <v>1022</v>
      </c>
      <c r="D1408" s="48" t="s">
        <v>957</v>
      </c>
      <c r="E1408" s="48" t="s">
        <v>958</v>
      </c>
      <c r="F1408" s="48" t="s">
        <v>1023</v>
      </c>
      <c r="G1408" s="48" t="s">
        <v>1024</v>
      </c>
      <c r="H1408" s="47" t="s">
        <v>1025</v>
      </c>
      <c r="I1408" s="47" t="s">
        <v>1026</v>
      </c>
      <c r="J1408" s="47" t="s">
        <v>29</v>
      </c>
    </row>
    <row r="1409" ht="54" customHeight="1" spans="1:10">
      <c r="A1409" s="48" t="s">
        <v>421</v>
      </c>
      <c r="B1409" s="48" t="s">
        <v>2822</v>
      </c>
      <c r="C1409" s="47" t="s">
        <v>1362</v>
      </c>
      <c r="D1409" s="48" t="s">
        <v>1059</v>
      </c>
      <c r="E1409" s="48" t="s">
        <v>1060</v>
      </c>
      <c r="F1409" s="48" t="s">
        <v>1363</v>
      </c>
      <c r="G1409" s="48" t="s">
        <v>1364</v>
      </c>
      <c r="H1409" s="47" t="s">
        <v>1365</v>
      </c>
      <c r="I1409" s="47" t="s">
        <v>1366</v>
      </c>
      <c r="J1409" s="47" t="s">
        <v>29</v>
      </c>
    </row>
    <row r="1410" ht="54" customHeight="1" spans="1:10">
      <c r="A1410" s="48" t="s">
        <v>421</v>
      </c>
      <c r="B1410" s="48" t="s">
        <v>2823</v>
      </c>
      <c r="C1410" s="47" t="s">
        <v>1268</v>
      </c>
      <c r="D1410" s="48" t="s">
        <v>957</v>
      </c>
      <c r="E1410" s="48" t="s">
        <v>958</v>
      </c>
      <c r="F1410" s="48" t="s">
        <v>1269</v>
      </c>
      <c r="G1410" s="48" t="s">
        <v>1270</v>
      </c>
      <c r="H1410" s="47" t="s">
        <v>1271</v>
      </c>
      <c r="I1410" s="47" t="s">
        <v>1272</v>
      </c>
      <c r="J1410" s="47" t="s">
        <v>29</v>
      </c>
    </row>
    <row r="1411" ht="54" customHeight="1" spans="1:10">
      <c r="A1411" s="48" t="s">
        <v>421</v>
      </c>
      <c r="B1411" s="48" t="s">
        <v>2824</v>
      </c>
      <c r="C1411" s="47" t="s">
        <v>1097</v>
      </c>
      <c r="D1411" s="48" t="s">
        <v>1098</v>
      </c>
      <c r="E1411" s="48" t="s">
        <v>1099</v>
      </c>
      <c r="F1411" s="48" t="s">
        <v>1100</v>
      </c>
      <c r="G1411" s="48" t="s">
        <v>1101</v>
      </c>
      <c r="H1411" s="47" t="s">
        <v>1102</v>
      </c>
      <c r="I1411" s="47" t="s">
        <v>1103</v>
      </c>
      <c r="J1411" s="47" t="s">
        <v>29</v>
      </c>
    </row>
    <row r="1412" ht="54" customHeight="1" spans="1:10">
      <c r="A1412" s="48" t="s">
        <v>423</v>
      </c>
      <c r="B1412" s="48" t="s">
        <v>2825</v>
      </c>
      <c r="C1412" s="47" t="s">
        <v>1681</v>
      </c>
      <c r="D1412" s="48" t="s">
        <v>943</v>
      </c>
      <c r="E1412" s="48" t="s">
        <v>944</v>
      </c>
      <c r="F1412" s="48" t="s">
        <v>1682</v>
      </c>
      <c r="G1412" s="48" t="s">
        <v>1683</v>
      </c>
      <c r="H1412" s="47" t="s">
        <v>1684</v>
      </c>
      <c r="I1412" s="47" t="s">
        <v>1685</v>
      </c>
      <c r="J1412" s="47" t="s">
        <v>26</v>
      </c>
    </row>
    <row r="1413" ht="54" customHeight="1" spans="1:10">
      <c r="A1413" s="48" t="s">
        <v>423</v>
      </c>
      <c r="B1413" s="48" t="s">
        <v>2826</v>
      </c>
      <c r="C1413" s="47" t="s">
        <v>956</v>
      </c>
      <c r="D1413" s="48" t="s">
        <v>957</v>
      </c>
      <c r="E1413" s="48" t="s">
        <v>958</v>
      </c>
      <c r="F1413" s="48" t="s">
        <v>959</v>
      </c>
      <c r="G1413" s="48" t="s">
        <v>960</v>
      </c>
      <c r="H1413" s="47" t="s">
        <v>961</v>
      </c>
      <c r="I1413" s="47" t="s">
        <v>962</v>
      </c>
      <c r="J1413" s="47" t="s">
        <v>26</v>
      </c>
    </row>
    <row r="1414" ht="54" customHeight="1" spans="1:10">
      <c r="A1414" s="48" t="s">
        <v>423</v>
      </c>
      <c r="B1414" s="48" t="s">
        <v>2827</v>
      </c>
      <c r="C1414" s="47" t="s">
        <v>1097</v>
      </c>
      <c r="D1414" s="48" t="s">
        <v>1098</v>
      </c>
      <c r="E1414" s="48" t="s">
        <v>1099</v>
      </c>
      <c r="F1414" s="48" t="s">
        <v>1100</v>
      </c>
      <c r="G1414" s="48" t="s">
        <v>1101</v>
      </c>
      <c r="H1414" s="47" t="s">
        <v>1102</v>
      </c>
      <c r="I1414" s="47" t="s">
        <v>1103</v>
      </c>
      <c r="J1414" s="47" t="s">
        <v>26</v>
      </c>
    </row>
    <row r="1415" ht="54" customHeight="1" spans="1:10">
      <c r="A1415" s="48" t="s">
        <v>423</v>
      </c>
      <c r="B1415" s="48" t="s">
        <v>2828</v>
      </c>
      <c r="C1415" s="47" t="s">
        <v>1388</v>
      </c>
      <c r="D1415" s="48" t="s">
        <v>1037</v>
      </c>
      <c r="E1415" s="48" t="s">
        <v>1038</v>
      </c>
      <c r="F1415" s="48" t="s">
        <v>1389</v>
      </c>
      <c r="G1415" s="48" t="s">
        <v>1390</v>
      </c>
      <c r="H1415" s="47" t="s">
        <v>1391</v>
      </c>
      <c r="I1415" s="47" t="s">
        <v>1392</v>
      </c>
      <c r="J1415" s="47" t="s">
        <v>26</v>
      </c>
    </row>
    <row r="1416" ht="54" customHeight="1" spans="1:10">
      <c r="A1416" s="48" t="s">
        <v>423</v>
      </c>
      <c r="B1416" s="48" t="s">
        <v>2829</v>
      </c>
      <c r="C1416" s="47" t="s">
        <v>1131</v>
      </c>
      <c r="D1416" s="48" t="s">
        <v>993</v>
      </c>
      <c r="E1416" s="48" t="s">
        <v>994</v>
      </c>
      <c r="F1416" s="48" t="s">
        <v>1132</v>
      </c>
      <c r="G1416" s="48" t="s">
        <v>1133</v>
      </c>
      <c r="H1416" s="47" t="s">
        <v>1134</v>
      </c>
      <c r="I1416" s="47" t="s">
        <v>1135</v>
      </c>
      <c r="J1416" s="47" t="s">
        <v>26</v>
      </c>
    </row>
    <row r="1417" ht="54" customHeight="1" spans="1:10">
      <c r="A1417" s="48" t="s">
        <v>423</v>
      </c>
      <c r="B1417" s="48" t="s">
        <v>2830</v>
      </c>
      <c r="C1417" s="47" t="s">
        <v>1137</v>
      </c>
      <c r="D1417" s="48" t="s">
        <v>1138</v>
      </c>
      <c r="E1417" s="48" t="s">
        <v>1139</v>
      </c>
      <c r="F1417" s="48" t="s">
        <v>1140</v>
      </c>
      <c r="G1417" s="48" t="s">
        <v>1141</v>
      </c>
      <c r="H1417" s="47" t="s">
        <v>1142</v>
      </c>
      <c r="I1417" s="47" t="s">
        <v>940</v>
      </c>
      <c r="J1417" s="47" t="s">
        <v>26</v>
      </c>
    </row>
    <row r="1418" ht="54" customHeight="1" spans="1:10">
      <c r="A1418" s="48" t="s">
        <v>423</v>
      </c>
      <c r="B1418" s="48" t="s">
        <v>2831</v>
      </c>
      <c r="C1418" s="47" t="s">
        <v>971</v>
      </c>
      <c r="D1418" s="48" t="s">
        <v>965</v>
      </c>
      <c r="E1418" s="48" t="s">
        <v>966</v>
      </c>
      <c r="F1418" s="48" t="s">
        <v>972</v>
      </c>
      <c r="G1418" s="48" t="s">
        <v>973</v>
      </c>
      <c r="H1418" s="47" t="s">
        <v>974</v>
      </c>
      <c r="I1418" s="47" t="s">
        <v>975</v>
      </c>
      <c r="J1418" s="47" t="s">
        <v>26</v>
      </c>
    </row>
    <row r="1419" ht="54" customHeight="1" spans="1:10">
      <c r="A1419" s="48" t="s">
        <v>423</v>
      </c>
      <c r="B1419" s="48" t="s">
        <v>2832</v>
      </c>
      <c r="C1419" s="47" t="s">
        <v>1313</v>
      </c>
      <c r="D1419" s="48" t="s">
        <v>1037</v>
      </c>
      <c r="E1419" s="48" t="s">
        <v>1038</v>
      </c>
      <c r="F1419" s="48" t="s">
        <v>1314</v>
      </c>
      <c r="G1419" s="48" t="s">
        <v>1315</v>
      </c>
      <c r="H1419" s="47" t="s">
        <v>1316</v>
      </c>
      <c r="I1419" s="47" t="s">
        <v>1317</v>
      </c>
      <c r="J1419" s="47" t="s">
        <v>26</v>
      </c>
    </row>
    <row r="1420" ht="54" customHeight="1" spans="1:10">
      <c r="A1420" s="48" t="s">
        <v>423</v>
      </c>
      <c r="B1420" s="48" t="s">
        <v>2833</v>
      </c>
      <c r="C1420" s="47" t="s">
        <v>1170</v>
      </c>
      <c r="D1420" s="48" t="s">
        <v>1171</v>
      </c>
      <c r="E1420" s="48" t="s">
        <v>1172</v>
      </c>
      <c r="F1420" s="48" t="s">
        <v>1173</v>
      </c>
      <c r="G1420" s="48" t="s">
        <v>1174</v>
      </c>
      <c r="H1420" s="47" t="s">
        <v>1175</v>
      </c>
      <c r="I1420" s="47" t="s">
        <v>1176</v>
      </c>
      <c r="J1420" s="47" t="s">
        <v>26</v>
      </c>
    </row>
    <row r="1421" ht="54" customHeight="1" spans="1:10">
      <c r="A1421" s="48" t="s">
        <v>425</v>
      </c>
      <c r="B1421" s="48" t="s">
        <v>2834</v>
      </c>
      <c r="C1421" s="47" t="s">
        <v>1072</v>
      </c>
      <c r="D1421" s="48" t="s">
        <v>1073</v>
      </c>
      <c r="E1421" s="48" t="s">
        <v>1074</v>
      </c>
      <c r="F1421" s="48" t="s">
        <v>1075</v>
      </c>
      <c r="G1421" s="48" t="s">
        <v>1076</v>
      </c>
      <c r="H1421" s="47" t="s">
        <v>1077</v>
      </c>
      <c r="I1421" s="47" t="s">
        <v>1078</v>
      </c>
      <c r="J1421" s="47" t="s">
        <v>26</v>
      </c>
    </row>
    <row r="1422" ht="54" customHeight="1" spans="1:10">
      <c r="A1422" s="48" t="s">
        <v>425</v>
      </c>
      <c r="B1422" s="48" t="s">
        <v>2835</v>
      </c>
      <c r="C1422" s="47" t="s">
        <v>942</v>
      </c>
      <c r="D1422" s="48" t="s">
        <v>943</v>
      </c>
      <c r="E1422" s="48" t="s">
        <v>944</v>
      </c>
      <c r="F1422" s="48" t="s">
        <v>945</v>
      </c>
      <c r="G1422" s="48" t="s">
        <v>946</v>
      </c>
      <c r="H1422" s="47" t="s">
        <v>947</v>
      </c>
      <c r="I1422" s="47" t="s">
        <v>948</v>
      </c>
      <c r="J1422" s="47" t="s">
        <v>26</v>
      </c>
    </row>
    <row r="1423" ht="54" customHeight="1" spans="1:10">
      <c r="A1423" s="48" t="s">
        <v>425</v>
      </c>
      <c r="B1423" s="48" t="s">
        <v>2836</v>
      </c>
      <c r="C1423" s="47" t="s">
        <v>1480</v>
      </c>
      <c r="D1423" s="48" t="s">
        <v>1001</v>
      </c>
      <c r="E1423" s="48" t="s">
        <v>1002</v>
      </c>
      <c r="F1423" s="48" t="s">
        <v>1481</v>
      </c>
      <c r="G1423" s="48" t="s">
        <v>1482</v>
      </c>
      <c r="H1423" s="47" t="s">
        <v>1483</v>
      </c>
      <c r="I1423" s="47" t="s">
        <v>1484</v>
      </c>
      <c r="J1423" s="47" t="s">
        <v>26</v>
      </c>
    </row>
    <row r="1424" ht="54" customHeight="1" spans="1:10">
      <c r="A1424" s="48" t="s">
        <v>425</v>
      </c>
      <c r="B1424" s="48" t="s">
        <v>2837</v>
      </c>
      <c r="C1424" s="47" t="s">
        <v>1459</v>
      </c>
      <c r="D1424" s="48" t="s">
        <v>957</v>
      </c>
      <c r="E1424" s="48" t="s">
        <v>958</v>
      </c>
      <c r="F1424" s="48" t="s">
        <v>1460</v>
      </c>
      <c r="G1424" s="48" t="s">
        <v>1461</v>
      </c>
      <c r="H1424" s="47" t="s">
        <v>1462</v>
      </c>
      <c r="I1424" s="47" t="s">
        <v>1463</v>
      </c>
      <c r="J1424" s="47" t="s">
        <v>26</v>
      </c>
    </row>
    <row r="1425" ht="54" customHeight="1" spans="1:10">
      <c r="A1425" s="48" t="s">
        <v>425</v>
      </c>
      <c r="B1425" s="48" t="s">
        <v>2838</v>
      </c>
      <c r="C1425" s="47" t="s">
        <v>1081</v>
      </c>
      <c r="D1425" s="48" t="s">
        <v>1082</v>
      </c>
      <c r="E1425" s="48" t="s">
        <v>1083</v>
      </c>
      <c r="F1425" s="48" t="s">
        <v>1084</v>
      </c>
      <c r="G1425" s="48" t="s">
        <v>1085</v>
      </c>
      <c r="H1425" s="47" t="s">
        <v>1086</v>
      </c>
      <c r="I1425" s="47" t="s">
        <v>1087</v>
      </c>
      <c r="J1425" s="47" t="s">
        <v>26</v>
      </c>
    </row>
    <row r="1426" ht="54" customHeight="1" spans="1:10">
      <c r="A1426" s="48" t="s">
        <v>425</v>
      </c>
      <c r="B1426" s="48" t="s">
        <v>2839</v>
      </c>
      <c r="C1426" s="47" t="s">
        <v>956</v>
      </c>
      <c r="D1426" s="48" t="s">
        <v>957</v>
      </c>
      <c r="E1426" s="48" t="s">
        <v>958</v>
      </c>
      <c r="F1426" s="48" t="s">
        <v>959</v>
      </c>
      <c r="G1426" s="48" t="s">
        <v>960</v>
      </c>
      <c r="H1426" s="47" t="s">
        <v>961</v>
      </c>
      <c r="I1426" s="47" t="s">
        <v>962</v>
      </c>
      <c r="J1426" s="47" t="s">
        <v>26</v>
      </c>
    </row>
    <row r="1427" ht="54" customHeight="1" spans="1:10">
      <c r="A1427" s="48" t="s">
        <v>425</v>
      </c>
      <c r="B1427" s="48" t="s">
        <v>2840</v>
      </c>
      <c r="C1427" s="47" t="s">
        <v>1362</v>
      </c>
      <c r="D1427" s="48" t="s">
        <v>1059</v>
      </c>
      <c r="E1427" s="48" t="s">
        <v>1060</v>
      </c>
      <c r="F1427" s="48" t="s">
        <v>1363</v>
      </c>
      <c r="G1427" s="48" t="s">
        <v>1364</v>
      </c>
      <c r="H1427" s="47" t="s">
        <v>1365</v>
      </c>
      <c r="I1427" s="47" t="s">
        <v>1366</v>
      </c>
      <c r="J1427" s="47" t="s">
        <v>26</v>
      </c>
    </row>
    <row r="1428" ht="54" customHeight="1" spans="1:10">
      <c r="A1428" s="48" t="s">
        <v>425</v>
      </c>
      <c r="B1428" s="48" t="s">
        <v>2841</v>
      </c>
      <c r="C1428" s="47" t="s">
        <v>1105</v>
      </c>
      <c r="D1428" s="48" t="s">
        <v>1009</v>
      </c>
      <c r="E1428" s="48" t="s">
        <v>1010</v>
      </c>
      <c r="F1428" s="48" t="s">
        <v>1106</v>
      </c>
      <c r="G1428" s="48" t="s">
        <v>1107</v>
      </c>
      <c r="H1428" s="47" t="s">
        <v>1108</v>
      </c>
      <c r="I1428" s="47" t="s">
        <v>1109</v>
      </c>
      <c r="J1428" s="47" t="s">
        <v>26</v>
      </c>
    </row>
    <row r="1429" ht="54" customHeight="1" spans="1:10">
      <c r="A1429" s="48" t="s">
        <v>425</v>
      </c>
      <c r="B1429" s="48" t="s">
        <v>2842</v>
      </c>
      <c r="C1429" s="47" t="s">
        <v>1268</v>
      </c>
      <c r="D1429" s="48" t="s">
        <v>957</v>
      </c>
      <c r="E1429" s="48" t="s">
        <v>958</v>
      </c>
      <c r="F1429" s="48" t="s">
        <v>1269</v>
      </c>
      <c r="G1429" s="48" t="s">
        <v>1270</v>
      </c>
      <c r="H1429" s="47" t="s">
        <v>1271</v>
      </c>
      <c r="I1429" s="47" t="s">
        <v>1272</v>
      </c>
      <c r="J1429" s="47" t="s">
        <v>26</v>
      </c>
    </row>
    <row r="1430" ht="54" customHeight="1" spans="1:10">
      <c r="A1430" s="48" t="s">
        <v>425</v>
      </c>
      <c r="B1430" s="48" t="s">
        <v>2843</v>
      </c>
      <c r="C1430" s="47" t="s">
        <v>1767</v>
      </c>
      <c r="D1430" s="48" t="s">
        <v>957</v>
      </c>
      <c r="E1430" s="48" t="s">
        <v>958</v>
      </c>
      <c r="F1430" s="48" t="s">
        <v>1768</v>
      </c>
      <c r="G1430" s="48" t="s">
        <v>1769</v>
      </c>
      <c r="H1430" s="47" t="s">
        <v>1770</v>
      </c>
      <c r="I1430" s="47" t="s">
        <v>1771</v>
      </c>
      <c r="J1430" s="47" t="s">
        <v>26</v>
      </c>
    </row>
    <row r="1431" ht="54" customHeight="1" spans="1:10">
      <c r="A1431" s="48" t="s">
        <v>425</v>
      </c>
      <c r="B1431" s="48" t="s">
        <v>2844</v>
      </c>
      <c r="C1431" s="47" t="s">
        <v>1052</v>
      </c>
      <c r="D1431" s="48" t="s">
        <v>1009</v>
      </c>
      <c r="E1431" s="48" t="s">
        <v>1010</v>
      </c>
      <c r="F1431" s="48" t="s">
        <v>1053</v>
      </c>
      <c r="G1431" s="48" t="s">
        <v>1054</v>
      </c>
      <c r="H1431" s="47" t="s">
        <v>1055</v>
      </c>
      <c r="I1431" s="47" t="s">
        <v>1056</v>
      </c>
      <c r="J1431" s="47" t="s">
        <v>26</v>
      </c>
    </row>
    <row r="1432" ht="54" customHeight="1" spans="1:10">
      <c r="A1432" s="48" t="s">
        <v>425</v>
      </c>
      <c r="B1432" s="48" t="s">
        <v>2845</v>
      </c>
      <c r="C1432" s="47" t="s">
        <v>1097</v>
      </c>
      <c r="D1432" s="48" t="s">
        <v>1098</v>
      </c>
      <c r="E1432" s="48" t="s">
        <v>1099</v>
      </c>
      <c r="F1432" s="48" t="s">
        <v>1100</v>
      </c>
      <c r="G1432" s="48" t="s">
        <v>1101</v>
      </c>
      <c r="H1432" s="47" t="s">
        <v>1102</v>
      </c>
      <c r="I1432" s="47" t="s">
        <v>1103</v>
      </c>
      <c r="J1432" s="47" t="s">
        <v>26</v>
      </c>
    </row>
    <row r="1433" ht="54" customHeight="1" spans="1:10">
      <c r="A1433" s="48" t="s">
        <v>427</v>
      </c>
      <c r="B1433" s="48" t="s">
        <v>2846</v>
      </c>
      <c r="C1433" s="47" t="s">
        <v>934</v>
      </c>
      <c r="D1433" s="48" t="s">
        <v>935</v>
      </c>
      <c r="E1433" s="48" t="s">
        <v>936</v>
      </c>
      <c r="F1433" s="48" t="s">
        <v>937</v>
      </c>
      <c r="G1433" s="48" t="s">
        <v>938</v>
      </c>
      <c r="H1433" s="47" t="s">
        <v>939</v>
      </c>
      <c r="I1433" s="47" t="s">
        <v>940</v>
      </c>
      <c r="J1433" s="47" t="s">
        <v>29</v>
      </c>
    </row>
    <row r="1434" ht="54" customHeight="1" spans="1:10">
      <c r="A1434" s="48" t="s">
        <v>427</v>
      </c>
      <c r="B1434" s="48" t="s">
        <v>2847</v>
      </c>
      <c r="C1434" s="47" t="s">
        <v>1072</v>
      </c>
      <c r="D1434" s="48" t="s">
        <v>1073</v>
      </c>
      <c r="E1434" s="48" t="s">
        <v>1074</v>
      </c>
      <c r="F1434" s="48" t="s">
        <v>1075</v>
      </c>
      <c r="G1434" s="48" t="s">
        <v>1076</v>
      </c>
      <c r="H1434" s="47" t="s">
        <v>1077</v>
      </c>
      <c r="I1434" s="47" t="s">
        <v>1078</v>
      </c>
      <c r="J1434" s="47" t="s">
        <v>29</v>
      </c>
    </row>
    <row r="1435" ht="54" customHeight="1" spans="1:10">
      <c r="A1435" s="48" t="s">
        <v>427</v>
      </c>
      <c r="B1435" s="48" t="s">
        <v>2848</v>
      </c>
      <c r="C1435" s="47" t="s">
        <v>950</v>
      </c>
      <c r="D1435" s="48" t="s">
        <v>935</v>
      </c>
      <c r="E1435" s="48" t="s">
        <v>936</v>
      </c>
      <c r="F1435" s="48" t="s">
        <v>951</v>
      </c>
      <c r="G1435" s="48" t="s">
        <v>952</v>
      </c>
      <c r="H1435" s="47" t="s">
        <v>953</v>
      </c>
      <c r="I1435" s="47" t="s">
        <v>954</v>
      </c>
      <c r="J1435" s="47" t="s">
        <v>29</v>
      </c>
    </row>
    <row r="1436" ht="54" customHeight="1" spans="1:10">
      <c r="A1436" s="48" t="s">
        <v>427</v>
      </c>
      <c r="B1436" s="48" t="s">
        <v>2849</v>
      </c>
      <c r="C1436" s="47" t="s">
        <v>1388</v>
      </c>
      <c r="D1436" s="48" t="s">
        <v>1037</v>
      </c>
      <c r="E1436" s="48" t="s">
        <v>1038</v>
      </c>
      <c r="F1436" s="48" t="s">
        <v>1389</v>
      </c>
      <c r="G1436" s="48" t="s">
        <v>1390</v>
      </c>
      <c r="H1436" s="47" t="s">
        <v>1391</v>
      </c>
      <c r="I1436" s="47" t="s">
        <v>1392</v>
      </c>
      <c r="J1436" s="47" t="s">
        <v>29</v>
      </c>
    </row>
    <row r="1437" ht="54" customHeight="1" spans="1:10">
      <c r="A1437" s="48" t="s">
        <v>427</v>
      </c>
      <c r="B1437" s="48" t="s">
        <v>2850</v>
      </c>
      <c r="C1437" s="47" t="s">
        <v>1313</v>
      </c>
      <c r="D1437" s="48" t="s">
        <v>1037</v>
      </c>
      <c r="E1437" s="48" t="s">
        <v>1038</v>
      </c>
      <c r="F1437" s="48" t="s">
        <v>1314</v>
      </c>
      <c r="G1437" s="48" t="s">
        <v>1315</v>
      </c>
      <c r="H1437" s="47" t="s">
        <v>1316</v>
      </c>
      <c r="I1437" s="47" t="s">
        <v>1317</v>
      </c>
      <c r="J1437" s="47" t="s">
        <v>29</v>
      </c>
    </row>
    <row r="1438" ht="54" customHeight="1" spans="1:10">
      <c r="A1438" s="48" t="s">
        <v>427</v>
      </c>
      <c r="B1438" s="48" t="s">
        <v>2851</v>
      </c>
      <c r="C1438" s="47" t="s">
        <v>1216</v>
      </c>
      <c r="D1438" s="48" t="s">
        <v>993</v>
      </c>
      <c r="E1438" s="48" t="s">
        <v>994</v>
      </c>
      <c r="F1438" s="48" t="s">
        <v>1217</v>
      </c>
      <c r="G1438" s="48" t="s">
        <v>1218</v>
      </c>
      <c r="H1438" s="47" t="s">
        <v>1219</v>
      </c>
      <c r="I1438" s="47" t="s">
        <v>1220</v>
      </c>
      <c r="J1438" s="47" t="s">
        <v>29</v>
      </c>
    </row>
    <row r="1439" ht="54" customHeight="1" spans="1:10">
      <c r="A1439" s="48" t="s">
        <v>427</v>
      </c>
      <c r="B1439" s="48" t="s">
        <v>2852</v>
      </c>
      <c r="C1439" s="47" t="s">
        <v>1145</v>
      </c>
      <c r="D1439" s="48" t="s">
        <v>1146</v>
      </c>
      <c r="E1439" s="48" t="s">
        <v>1147</v>
      </c>
      <c r="F1439" s="48" t="s">
        <v>1148</v>
      </c>
      <c r="G1439" s="48" t="s">
        <v>1149</v>
      </c>
      <c r="H1439" s="47" t="s">
        <v>1150</v>
      </c>
      <c r="I1439" s="47" t="s">
        <v>1151</v>
      </c>
      <c r="J1439" s="47" t="s">
        <v>29</v>
      </c>
    </row>
    <row r="1440" ht="54" customHeight="1" spans="1:10">
      <c r="A1440" s="48" t="s">
        <v>427</v>
      </c>
      <c r="B1440" s="48" t="s">
        <v>2853</v>
      </c>
      <c r="C1440" s="47" t="s">
        <v>1170</v>
      </c>
      <c r="D1440" s="48" t="s">
        <v>1171</v>
      </c>
      <c r="E1440" s="48" t="s">
        <v>1172</v>
      </c>
      <c r="F1440" s="48" t="s">
        <v>1173</v>
      </c>
      <c r="G1440" s="48" t="s">
        <v>1174</v>
      </c>
      <c r="H1440" s="47" t="s">
        <v>1175</v>
      </c>
      <c r="I1440" s="47" t="s">
        <v>1176</v>
      </c>
      <c r="J1440" s="47" t="s">
        <v>29</v>
      </c>
    </row>
    <row r="1441" ht="54" customHeight="1" spans="1:10">
      <c r="A1441" s="48" t="s">
        <v>429</v>
      </c>
      <c r="B1441" s="48" t="s">
        <v>2854</v>
      </c>
      <c r="C1441" s="47" t="s">
        <v>934</v>
      </c>
      <c r="D1441" s="48" t="s">
        <v>935</v>
      </c>
      <c r="E1441" s="48" t="s">
        <v>936</v>
      </c>
      <c r="F1441" s="48" t="s">
        <v>937</v>
      </c>
      <c r="G1441" s="48" t="s">
        <v>938</v>
      </c>
      <c r="H1441" s="47" t="s">
        <v>939</v>
      </c>
      <c r="I1441" s="47" t="s">
        <v>940</v>
      </c>
      <c r="J1441" s="47" t="s">
        <v>26</v>
      </c>
    </row>
    <row r="1442" ht="54" customHeight="1" spans="1:10">
      <c r="A1442" s="48" t="s">
        <v>429</v>
      </c>
      <c r="B1442" s="48" t="s">
        <v>2855</v>
      </c>
      <c r="C1442" s="47" t="s">
        <v>1058</v>
      </c>
      <c r="D1442" s="48" t="s">
        <v>1059</v>
      </c>
      <c r="E1442" s="48" t="s">
        <v>1060</v>
      </c>
      <c r="F1442" s="48" t="s">
        <v>1061</v>
      </c>
      <c r="G1442" s="48" t="s">
        <v>1062</v>
      </c>
      <c r="H1442" s="47" t="s">
        <v>1063</v>
      </c>
      <c r="I1442" s="47" t="s">
        <v>1064</v>
      </c>
      <c r="J1442" s="47" t="s">
        <v>26</v>
      </c>
    </row>
    <row r="1443" ht="54" customHeight="1" spans="1:10">
      <c r="A1443" s="48" t="s">
        <v>429</v>
      </c>
      <c r="B1443" s="48" t="s">
        <v>2856</v>
      </c>
      <c r="C1443" s="47" t="s">
        <v>1388</v>
      </c>
      <c r="D1443" s="48" t="s">
        <v>1037</v>
      </c>
      <c r="E1443" s="48" t="s">
        <v>1038</v>
      </c>
      <c r="F1443" s="48" t="s">
        <v>1389</v>
      </c>
      <c r="G1443" s="48" t="s">
        <v>1390</v>
      </c>
      <c r="H1443" s="47" t="s">
        <v>1391</v>
      </c>
      <c r="I1443" s="47" t="s">
        <v>1392</v>
      </c>
      <c r="J1443" s="47" t="s">
        <v>26</v>
      </c>
    </row>
    <row r="1444" ht="54" customHeight="1" spans="1:10">
      <c r="A1444" s="48" t="s">
        <v>429</v>
      </c>
      <c r="B1444" s="48" t="s">
        <v>2857</v>
      </c>
      <c r="C1444" s="47" t="s">
        <v>1111</v>
      </c>
      <c r="D1444" s="48" t="s">
        <v>965</v>
      </c>
      <c r="E1444" s="48" t="s">
        <v>966</v>
      </c>
      <c r="F1444" s="48" t="s">
        <v>1112</v>
      </c>
      <c r="G1444" s="48" t="s">
        <v>1113</v>
      </c>
      <c r="H1444" s="47" t="s">
        <v>1114</v>
      </c>
      <c r="I1444" s="47" t="s">
        <v>1115</v>
      </c>
      <c r="J1444" s="47" t="s">
        <v>26</v>
      </c>
    </row>
    <row r="1445" ht="54" customHeight="1" spans="1:10">
      <c r="A1445" s="48" t="s">
        <v>429</v>
      </c>
      <c r="B1445" s="48" t="s">
        <v>2858</v>
      </c>
      <c r="C1445" s="47" t="s">
        <v>1170</v>
      </c>
      <c r="D1445" s="48" t="s">
        <v>1171</v>
      </c>
      <c r="E1445" s="48" t="s">
        <v>1172</v>
      </c>
      <c r="F1445" s="48" t="s">
        <v>1173</v>
      </c>
      <c r="G1445" s="48" t="s">
        <v>1174</v>
      </c>
      <c r="H1445" s="47" t="s">
        <v>1175</v>
      </c>
      <c r="I1445" s="47" t="s">
        <v>1176</v>
      </c>
      <c r="J1445" s="47" t="s">
        <v>26</v>
      </c>
    </row>
    <row r="1446" ht="54" customHeight="1" spans="1:10">
      <c r="A1446" s="48" t="s">
        <v>431</v>
      </c>
      <c r="B1446" s="48" t="s">
        <v>2859</v>
      </c>
      <c r="C1446" s="47" t="s">
        <v>934</v>
      </c>
      <c r="D1446" s="48" t="s">
        <v>935</v>
      </c>
      <c r="E1446" s="48" t="s">
        <v>936</v>
      </c>
      <c r="F1446" s="48" t="s">
        <v>937</v>
      </c>
      <c r="G1446" s="48" t="s">
        <v>938</v>
      </c>
      <c r="H1446" s="47" t="s">
        <v>939</v>
      </c>
      <c r="I1446" s="47" t="s">
        <v>940</v>
      </c>
      <c r="J1446" s="47" t="s">
        <v>26</v>
      </c>
    </row>
    <row r="1447" ht="54" customHeight="1" spans="1:10">
      <c r="A1447" s="48" t="s">
        <v>431</v>
      </c>
      <c r="B1447" s="48" t="s">
        <v>2860</v>
      </c>
      <c r="C1447" s="47" t="s">
        <v>950</v>
      </c>
      <c r="D1447" s="48" t="s">
        <v>935</v>
      </c>
      <c r="E1447" s="48" t="s">
        <v>936</v>
      </c>
      <c r="F1447" s="48" t="s">
        <v>951</v>
      </c>
      <c r="G1447" s="48" t="s">
        <v>952</v>
      </c>
      <c r="H1447" s="47" t="s">
        <v>953</v>
      </c>
      <c r="I1447" s="47" t="s">
        <v>954</v>
      </c>
      <c r="J1447" s="47" t="s">
        <v>26</v>
      </c>
    </row>
    <row r="1448" ht="54" customHeight="1" spans="1:10">
      <c r="A1448" s="48" t="s">
        <v>431</v>
      </c>
      <c r="B1448" s="48" t="s">
        <v>2861</v>
      </c>
      <c r="C1448" s="47" t="s">
        <v>1313</v>
      </c>
      <c r="D1448" s="48" t="s">
        <v>1037</v>
      </c>
      <c r="E1448" s="48" t="s">
        <v>1038</v>
      </c>
      <c r="F1448" s="48" t="s">
        <v>1314</v>
      </c>
      <c r="G1448" s="48" t="s">
        <v>1315</v>
      </c>
      <c r="H1448" s="47" t="s">
        <v>1316</v>
      </c>
      <c r="I1448" s="47" t="s">
        <v>1317</v>
      </c>
      <c r="J1448" s="47" t="s">
        <v>26</v>
      </c>
    </row>
    <row r="1449" ht="54" customHeight="1" spans="1:10">
      <c r="A1449" s="48" t="s">
        <v>431</v>
      </c>
      <c r="B1449" s="48" t="s">
        <v>2862</v>
      </c>
      <c r="C1449" s="47" t="s">
        <v>1216</v>
      </c>
      <c r="D1449" s="48" t="s">
        <v>993</v>
      </c>
      <c r="E1449" s="48" t="s">
        <v>994</v>
      </c>
      <c r="F1449" s="48" t="s">
        <v>1217</v>
      </c>
      <c r="G1449" s="48" t="s">
        <v>1218</v>
      </c>
      <c r="H1449" s="47" t="s">
        <v>1219</v>
      </c>
      <c r="I1449" s="47" t="s">
        <v>1220</v>
      </c>
      <c r="J1449" s="47" t="s">
        <v>26</v>
      </c>
    </row>
    <row r="1450" ht="54" customHeight="1" spans="1:10">
      <c r="A1450" s="48" t="s">
        <v>431</v>
      </c>
      <c r="B1450" s="48" t="s">
        <v>2863</v>
      </c>
      <c r="C1450" s="47" t="s">
        <v>1145</v>
      </c>
      <c r="D1450" s="48" t="s">
        <v>1146</v>
      </c>
      <c r="E1450" s="48" t="s">
        <v>1147</v>
      </c>
      <c r="F1450" s="48" t="s">
        <v>1148</v>
      </c>
      <c r="G1450" s="48" t="s">
        <v>1149</v>
      </c>
      <c r="H1450" s="47" t="s">
        <v>1150</v>
      </c>
      <c r="I1450" s="47" t="s">
        <v>1151</v>
      </c>
      <c r="J1450" s="47" t="s">
        <v>26</v>
      </c>
    </row>
    <row r="1451" ht="54" customHeight="1" spans="1:10">
      <c r="A1451" s="48" t="s">
        <v>431</v>
      </c>
      <c r="B1451" s="48" t="s">
        <v>2864</v>
      </c>
      <c r="C1451" s="47" t="s">
        <v>1164</v>
      </c>
      <c r="D1451" s="48" t="s">
        <v>978</v>
      </c>
      <c r="E1451" s="48" t="s">
        <v>979</v>
      </c>
      <c r="F1451" s="48" t="s">
        <v>1165</v>
      </c>
      <c r="G1451" s="48" t="s">
        <v>1166</v>
      </c>
      <c r="H1451" s="47" t="s">
        <v>1167</v>
      </c>
      <c r="I1451" s="47" t="s">
        <v>1168</v>
      </c>
      <c r="J1451" s="47" t="s">
        <v>26</v>
      </c>
    </row>
    <row r="1452" ht="54" customHeight="1" spans="1:10">
      <c r="A1452" s="48" t="s">
        <v>431</v>
      </c>
      <c r="B1452" s="48" t="s">
        <v>2865</v>
      </c>
      <c r="C1452" s="47" t="s">
        <v>1170</v>
      </c>
      <c r="D1452" s="48" t="s">
        <v>1171</v>
      </c>
      <c r="E1452" s="48" t="s">
        <v>1172</v>
      </c>
      <c r="F1452" s="48" t="s">
        <v>1173</v>
      </c>
      <c r="G1452" s="48" t="s">
        <v>1174</v>
      </c>
      <c r="H1452" s="47" t="s">
        <v>1175</v>
      </c>
      <c r="I1452" s="47" t="s">
        <v>1176</v>
      </c>
      <c r="J1452" s="47" t="s">
        <v>26</v>
      </c>
    </row>
    <row r="1453" ht="54" customHeight="1" spans="1:10">
      <c r="A1453" s="48" t="s">
        <v>431</v>
      </c>
      <c r="B1453" s="48" t="s">
        <v>2866</v>
      </c>
      <c r="C1453" s="47" t="s">
        <v>1196</v>
      </c>
      <c r="D1453" s="48" t="s">
        <v>1118</v>
      </c>
      <c r="E1453" s="48" t="s">
        <v>1119</v>
      </c>
      <c r="F1453" s="48" t="s">
        <v>1197</v>
      </c>
      <c r="G1453" s="48" t="s">
        <v>1198</v>
      </c>
      <c r="H1453" s="47" t="s">
        <v>1199</v>
      </c>
      <c r="I1453" s="47" t="s">
        <v>1200</v>
      </c>
      <c r="J1453" s="47" t="s">
        <v>26</v>
      </c>
    </row>
    <row r="1454" ht="54" customHeight="1" spans="1:10">
      <c r="A1454" s="48" t="s">
        <v>433</v>
      </c>
      <c r="B1454" s="48" t="s">
        <v>2867</v>
      </c>
      <c r="C1454" s="47" t="s">
        <v>1421</v>
      </c>
      <c r="D1454" s="48" t="s">
        <v>1422</v>
      </c>
      <c r="E1454" s="48" t="s">
        <v>1423</v>
      </c>
      <c r="F1454" s="48" t="s">
        <v>1424</v>
      </c>
      <c r="G1454" s="48" t="s">
        <v>1423</v>
      </c>
      <c r="H1454" s="47" t="s">
        <v>1425</v>
      </c>
      <c r="I1454" s="47" t="s">
        <v>1426</v>
      </c>
      <c r="J1454" s="47" t="s">
        <v>26</v>
      </c>
    </row>
    <row r="1455" ht="54" customHeight="1" spans="1:10">
      <c r="A1455" s="48" t="s">
        <v>433</v>
      </c>
      <c r="B1455" s="48" t="s">
        <v>2868</v>
      </c>
      <c r="C1455" s="47" t="s">
        <v>1480</v>
      </c>
      <c r="D1455" s="48" t="s">
        <v>1001</v>
      </c>
      <c r="E1455" s="48" t="s">
        <v>1002</v>
      </c>
      <c r="F1455" s="48" t="s">
        <v>1481</v>
      </c>
      <c r="G1455" s="48" t="s">
        <v>1482</v>
      </c>
      <c r="H1455" s="47" t="s">
        <v>1483</v>
      </c>
      <c r="I1455" s="47" t="s">
        <v>1484</v>
      </c>
      <c r="J1455" s="47" t="s">
        <v>26</v>
      </c>
    </row>
    <row r="1456" ht="54" customHeight="1" spans="1:10">
      <c r="A1456" s="48" t="s">
        <v>433</v>
      </c>
      <c r="B1456" s="48" t="s">
        <v>2869</v>
      </c>
      <c r="C1456" s="47" t="s">
        <v>1105</v>
      </c>
      <c r="D1456" s="48" t="s">
        <v>1009</v>
      </c>
      <c r="E1456" s="48" t="s">
        <v>1010</v>
      </c>
      <c r="F1456" s="48" t="s">
        <v>1106</v>
      </c>
      <c r="G1456" s="48" t="s">
        <v>1107</v>
      </c>
      <c r="H1456" s="47" t="s">
        <v>1108</v>
      </c>
      <c r="I1456" s="47" t="s">
        <v>1109</v>
      </c>
      <c r="J1456" s="47" t="s">
        <v>26</v>
      </c>
    </row>
    <row r="1457" ht="54" customHeight="1" spans="1:10">
      <c r="A1457" s="48" t="s">
        <v>433</v>
      </c>
      <c r="B1457" s="48" t="s">
        <v>2870</v>
      </c>
      <c r="C1457" s="47" t="s">
        <v>1097</v>
      </c>
      <c r="D1457" s="48" t="s">
        <v>1098</v>
      </c>
      <c r="E1457" s="48" t="s">
        <v>1099</v>
      </c>
      <c r="F1457" s="48" t="s">
        <v>1100</v>
      </c>
      <c r="G1457" s="48" t="s">
        <v>1101</v>
      </c>
      <c r="H1457" s="47" t="s">
        <v>1102</v>
      </c>
      <c r="I1457" s="47" t="s">
        <v>1103</v>
      </c>
      <c r="J1457" s="47" t="s">
        <v>26</v>
      </c>
    </row>
    <row r="1458" ht="54" customHeight="1" spans="1:10">
      <c r="A1458" s="48" t="s">
        <v>433</v>
      </c>
      <c r="B1458" s="48" t="s">
        <v>2871</v>
      </c>
      <c r="C1458" s="47" t="s">
        <v>1066</v>
      </c>
      <c r="D1458" s="48" t="s">
        <v>935</v>
      </c>
      <c r="E1458" s="48" t="s">
        <v>936</v>
      </c>
      <c r="F1458" s="48" t="s">
        <v>1067</v>
      </c>
      <c r="G1458" s="48" t="s">
        <v>1068</v>
      </c>
      <c r="H1458" s="47" t="s">
        <v>1069</v>
      </c>
      <c r="I1458" s="47" t="s">
        <v>940</v>
      </c>
      <c r="J1458" s="47" t="s">
        <v>26</v>
      </c>
    </row>
    <row r="1459" ht="54" customHeight="1" spans="1:10">
      <c r="A1459" s="48" t="s">
        <v>433</v>
      </c>
      <c r="B1459" s="48" t="s">
        <v>2872</v>
      </c>
      <c r="C1459" s="47" t="s">
        <v>1967</v>
      </c>
      <c r="D1459" s="48" t="s">
        <v>965</v>
      </c>
      <c r="E1459" s="48" t="s">
        <v>966</v>
      </c>
      <c r="F1459" s="48" t="s">
        <v>1968</v>
      </c>
      <c r="G1459" s="48" t="s">
        <v>1969</v>
      </c>
      <c r="H1459" s="47" t="s">
        <v>1970</v>
      </c>
      <c r="I1459" s="47" t="s">
        <v>940</v>
      </c>
      <c r="J1459" s="47" t="s">
        <v>26</v>
      </c>
    </row>
    <row r="1460" ht="54" customHeight="1" spans="1:10">
      <c r="A1460" s="48" t="s">
        <v>433</v>
      </c>
      <c r="B1460" s="48" t="s">
        <v>2873</v>
      </c>
      <c r="C1460" s="47" t="s">
        <v>1111</v>
      </c>
      <c r="D1460" s="48" t="s">
        <v>965</v>
      </c>
      <c r="E1460" s="48" t="s">
        <v>966</v>
      </c>
      <c r="F1460" s="48" t="s">
        <v>1112</v>
      </c>
      <c r="G1460" s="48" t="s">
        <v>1113</v>
      </c>
      <c r="H1460" s="47" t="s">
        <v>1114</v>
      </c>
      <c r="I1460" s="47" t="s">
        <v>1115</v>
      </c>
      <c r="J1460" s="47" t="s">
        <v>26</v>
      </c>
    </row>
    <row r="1461" ht="54" customHeight="1" spans="1:10">
      <c r="A1461" s="48" t="s">
        <v>433</v>
      </c>
      <c r="B1461" s="48" t="s">
        <v>2874</v>
      </c>
      <c r="C1461" s="47" t="s">
        <v>1545</v>
      </c>
      <c r="D1461" s="48" t="s">
        <v>1138</v>
      </c>
      <c r="E1461" s="48" t="s">
        <v>1139</v>
      </c>
      <c r="F1461" s="48" t="s">
        <v>1546</v>
      </c>
      <c r="G1461" s="48" t="s">
        <v>1547</v>
      </c>
      <c r="H1461" s="47" t="s">
        <v>1548</v>
      </c>
      <c r="I1461" s="47" t="s">
        <v>940</v>
      </c>
      <c r="J1461" s="47" t="s">
        <v>26</v>
      </c>
    </row>
    <row r="1462" ht="54" customHeight="1" spans="1:10">
      <c r="A1462" s="48" t="s">
        <v>433</v>
      </c>
      <c r="B1462" s="48" t="s">
        <v>2875</v>
      </c>
      <c r="C1462" s="47" t="s">
        <v>1285</v>
      </c>
      <c r="D1462" s="48" t="s">
        <v>965</v>
      </c>
      <c r="E1462" s="48" t="s">
        <v>966</v>
      </c>
      <c r="F1462" s="48" t="s">
        <v>1286</v>
      </c>
      <c r="G1462" s="48" t="s">
        <v>1287</v>
      </c>
      <c r="H1462" s="47" t="s">
        <v>1288</v>
      </c>
      <c r="I1462" s="47" t="s">
        <v>1289</v>
      </c>
      <c r="J1462" s="47" t="s">
        <v>26</v>
      </c>
    </row>
    <row r="1463" ht="54" customHeight="1" spans="1:10">
      <c r="A1463" s="48" t="s">
        <v>433</v>
      </c>
      <c r="B1463" s="48" t="s">
        <v>2876</v>
      </c>
      <c r="C1463" s="47" t="s">
        <v>1137</v>
      </c>
      <c r="D1463" s="48" t="s">
        <v>1138</v>
      </c>
      <c r="E1463" s="48" t="s">
        <v>1139</v>
      </c>
      <c r="F1463" s="48" t="s">
        <v>1140</v>
      </c>
      <c r="G1463" s="48" t="s">
        <v>1141</v>
      </c>
      <c r="H1463" s="47" t="s">
        <v>1142</v>
      </c>
      <c r="I1463" s="47" t="s">
        <v>940</v>
      </c>
      <c r="J1463" s="47" t="s">
        <v>26</v>
      </c>
    </row>
    <row r="1464" ht="54" customHeight="1" spans="1:10">
      <c r="A1464" s="48" t="s">
        <v>435</v>
      </c>
      <c r="B1464" s="48" t="s">
        <v>2877</v>
      </c>
      <c r="C1464" s="47" t="s">
        <v>985</v>
      </c>
      <c r="D1464" s="48" t="s">
        <v>986</v>
      </c>
      <c r="E1464" s="48" t="s">
        <v>987</v>
      </c>
      <c r="F1464" s="48" t="s">
        <v>988</v>
      </c>
      <c r="G1464" s="48" t="s">
        <v>987</v>
      </c>
      <c r="H1464" s="47" t="s">
        <v>989</v>
      </c>
      <c r="I1464" s="47" t="s">
        <v>990</v>
      </c>
      <c r="J1464" s="47" t="s">
        <v>26</v>
      </c>
    </row>
    <row r="1465" ht="54" customHeight="1" spans="1:10">
      <c r="A1465" s="48" t="s">
        <v>435</v>
      </c>
      <c r="B1465" s="48" t="s">
        <v>2878</v>
      </c>
      <c r="C1465" s="47" t="s">
        <v>934</v>
      </c>
      <c r="D1465" s="48" t="s">
        <v>935</v>
      </c>
      <c r="E1465" s="48" t="s">
        <v>936</v>
      </c>
      <c r="F1465" s="48" t="s">
        <v>937</v>
      </c>
      <c r="G1465" s="48" t="s">
        <v>938</v>
      </c>
      <c r="H1465" s="47" t="s">
        <v>939</v>
      </c>
      <c r="I1465" s="47" t="s">
        <v>940</v>
      </c>
      <c r="J1465" s="47" t="s">
        <v>26</v>
      </c>
    </row>
    <row r="1466" ht="54" customHeight="1" spans="1:10">
      <c r="A1466" s="48" t="s">
        <v>435</v>
      </c>
      <c r="B1466" s="48" t="s">
        <v>2879</v>
      </c>
      <c r="C1466" s="47" t="s">
        <v>1421</v>
      </c>
      <c r="D1466" s="48" t="s">
        <v>1422</v>
      </c>
      <c r="E1466" s="48" t="s">
        <v>1423</v>
      </c>
      <c r="F1466" s="48" t="s">
        <v>1424</v>
      </c>
      <c r="G1466" s="48" t="s">
        <v>1423</v>
      </c>
      <c r="H1466" s="47" t="s">
        <v>1425</v>
      </c>
      <c r="I1466" s="47" t="s">
        <v>1426</v>
      </c>
      <c r="J1466" s="47" t="s">
        <v>26</v>
      </c>
    </row>
    <row r="1467" ht="54" customHeight="1" spans="1:10">
      <c r="A1467" s="48" t="s">
        <v>435</v>
      </c>
      <c r="B1467" s="48" t="s">
        <v>2880</v>
      </c>
      <c r="C1467" s="47" t="s">
        <v>1016</v>
      </c>
      <c r="D1467" s="48" t="s">
        <v>935</v>
      </c>
      <c r="E1467" s="48" t="s">
        <v>936</v>
      </c>
      <c r="F1467" s="48" t="s">
        <v>1017</v>
      </c>
      <c r="G1467" s="48" t="s">
        <v>1018</v>
      </c>
      <c r="H1467" s="47" t="s">
        <v>1019</v>
      </c>
      <c r="I1467" s="47" t="s">
        <v>1020</v>
      </c>
      <c r="J1467" s="47" t="s">
        <v>26</v>
      </c>
    </row>
    <row r="1468" ht="54" customHeight="1" spans="1:10">
      <c r="A1468" s="48" t="s">
        <v>435</v>
      </c>
      <c r="B1468" s="48" t="s">
        <v>2881</v>
      </c>
      <c r="C1468" s="47" t="s">
        <v>1480</v>
      </c>
      <c r="D1468" s="48" t="s">
        <v>1001</v>
      </c>
      <c r="E1468" s="48" t="s">
        <v>1002</v>
      </c>
      <c r="F1468" s="48" t="s">
        <v>1481</v>
      </c>
      <c r="G1468" s="48" t="s">
        <v>1482</v>
      </c>
      <c r="H1468" s="47" t="s">
        <v>1483</v>
      </c>
      <c r="I1468" s="47" t="s">
        <v>1484</v>
      </c>
      <c r="J1468" s="47" t="s">
        <v>26</v>
      </c>
    </row>
    <row r="1469" ht="54" customHeight="1" spans="1:10">
      <c r="A1469" s="48" t="s">
        <v>435</v>
      </c>
      <c r="B1469" s="48" t="s">
        <v>2882</v>
      </c>
      <c r="C1469" s="47" t="s">
        <v>1459</v>
      </c>
      <c r="D1469" s="48" t="s">
        <v>957</v>
      </c>
      <c r="E1469" s="48" t="s">
        <v>958</v>
      </c>
      <c r="F1469" s="48" t="s">
        <v>1460</v>
      </c>
      <c r="G1469" s="48" t="s">
        <v>1461</v>
      </c>
      <c r="H1469" s="47" t="s">
        <v>1462</v>
      </c>
      <c r="I1469" s="47" t="s">
        <v>1463</v>
      </c>
      <c r="J1469" s="47" t="s">
        <v>26</v>
      </c>
    </row>
    <row r="1470" ht="54" customHeight="1" spans="1:10">
      <c r="A1470" s="48" t="s">
        <v>435</v>
      </c>
      <c r="B1470" s="48" t="s">
        <v>2883</v>
      </c>
      <c r="C1470" s="47" t="s">
        <v>1089</v>
      </c>
      <c r="D1470" s="48" t="s">
        <v>957</v>
      </c>
      <c r="E1470" s="48" t="s">
        <v>958</v>
      </c>
      <c r="F1470" s="48" t="s">
        <v>1090</v>
      </c>
      <c r="G1470" s="48" t="s">
        <v>1091</v>
      </c>
      <c r="H1470" s="47" t="s">
        <v>1092</v>
      </c>
      <c r="I1470" s="47" t="s">
        <v>1093</v>
      </c>
      <c r="J1470" s="47" t="s">
        <v>26</v>
      </c>
    </row>
    <row r="1471" ht="54" customHeight="1" spans="1:10">
      <c r="A1471" s="48" t="s">
        <v>435</v>
      </c>
      <c r="B1471" s="48" t="s">
        <v>2884</v>
      </c>
      <c r="C1471" s="47" t="s">
        <v>950</v>
      </c>
      <c r="D1471" s="48" t="s">
        <v>935</v>
      </c>
      <c r="E1471" s="48" t="s">
        <v>936</v>
      </c>
      <c r="F1471" s="48" t="s">
        <v>951</v>
      </c>
      <c r="G1471" s="48" t="s">
        <v>952</v>
      </c>
      <c r="H1471" s="47" t="s">
        <v>953</v>
      </c>
      <c r="I1471" s="47" t="s">
        <v>954</v>
      </c>
      <c r="J1471" s="47" t="s">
        <v>26</v>
      </c>
    </row>
    <row r="1472" ht="54" customHeight="1" spans="1:10">
      <c r="A1472" s="48" t="s">
        <v>437</v>
      </c>
      <c r="B1472" s="48" t="s">
        <v>2885</v>
      </c>
      <c r="C1472" s="47" t="s">
        <v>1421</v>
      </c>
      <c r="D1472" s="48" t="s">
        <v>1422</v>
      </c>
      <c r="E1472" s="48" t="s">
        <v>1423</v>
      </c>
      <c r="F1472" s="48" t="s">
        <v>1424</v>
      </c>
      <c r="G1472" s="48" t="s">
        <v>1423</v>
      </c>
      <c r="H1472" s="47" t="s">
        <v>1425</v>
      </c>
      <c r="I1472" s="47" t="s">
        <v>1426</v>
      </c>
      <c r="J1472" s="47" t="s">
        <v>26</v>
      </c>
    </row>
    <row r="1473" ht="54" customHeight="1" spans="1:10">
      <c r="A1473" s="48" t="s">
        <v>437</v>
      </c>
      <c r="B1473" s="48" t="s">
        <v>2886</v>
      </c>
      <c r="C1473" s="47" t="s">
        <v>1016</v>
      </c>
      <c r="D1473" s="48" t="s">
        <v>935</v>
      </c>
      <c r="E1473" s="48" t="s">
        <v>936</v>
      </c>
      <c r="F1473" s="48" t="s">
        <v>1017</v>
      </c>
      <c r="G1473" s="48" t="s">
        <v>1018</v>
      </c>
      <c r="H1473" s="47" t="s">
        <v>1019</v>
      </c>
      <c r="I1473" s="47" t="s">
        <v>1020</v>
      </c>
      <c r="J1473" s="47" t="s">
        <v>26</v>
      </c>
    </row>
    <row r="1474" ht="54" customHeight="1" spans="1:10">
      <c r="A1474" s="48" t="s">
        <v>437</v>
      </c>
      <c r="B1474" s="48" t="s">
        <v>2887</v>
      </c>
      <c r="C1474" s="47" t="s">
        <v>1480</v>
      </c>
      <c r="D1474" s="48" t="s">
        <v>1001</v>
      </c>
      <c r="E1474" s="48" t="s">
        <v>1002</v>
      </c>
      <c r="F1474" s="48" t="s">
        <v>1481</v>
      </c>
      <c r="G1474" s="48" t="s">
        <v>1482</v>
      </c>
      <c r="H1474" s="47" t="s">
        <v>1483</v>
      </c>
      <c r="I1474" s="47" t="s">
        <v>1484</v>
      </c>
      <c r="J1474" s="47" t="s">
        <v>26</v>
      </c>
    </row>
    <row r="1475" ht="54" customHeight="1" spans="1:10">
      <c r="A1475" s="48" t="s">
        <v>437</v>
      </c>
      <c r="B1475" s="48" t="s">
        <v>2888</v>
      </c>
      <c r="C1475" s="47" t="s">
        <v>1097</v>
      </c>
      <c r="D1475" s="48" t="s">
        <v>1098</v>
      </c>
      <c r="E1475" s="48" t="s">
        <v>1099</v>
      </c>
      <c r="F1475" s="48" t="s">
        <v>1100</v>
      </c>
      <c r="G1475" s="48" t="s">
        <v>1101</v>
      </c>
      <c r="H1475" s="47" t="s">
        <v>1102</v>
      </c>
      <c r="I1475" s="47" t="s">
        <v>1103</v>
      </c>
      <c r="J1475" s="47" t="s">
        <v>26</v>
      </c>
    </row>
    <row r="1476" ht="54" customHeight="1" spans="1:10">
      <c r="A1476" s="48" t="s">
        <v>439</v>
      </c>
      <c r="B1476" s="48" t="s">
        <v>2889</v>
      </c>
      <c r="C1476" s="47" t="s">
        <v>1421</v>
      </c>
      <c r="D1476" s="48" t="s">
        <v>1422</v>
      </c>
      <c r="E1476" s="48" t="s">
        <v>1423</v>
      </c>
      <c r="F1476" s="48" t="s">
        <v>1424</v>
      </c>
      <c r="G1476" s="48" t="s">
        <v>1423</v>
      </c>
      <c r="H1476" s="47" t="s">
        <v>1425</v>
      </c>
      <c r="I1476" s="47" t="s">
        <v>1426</v>
      </c>
      <c r="J1476" s="47" t="s">
        <v>26</v>
      </c>
    </row>
    <row r="1477" ht="54" customHeight="1" spans="1:10">
      <c r="A1477" s="48" t="s">
        <v>439</v>
      </c>
      <c r="B1477" s="48" t="s">
        <v>2890</v>
      </c>
      <c r="C1477" s="47" t="s">
        <v>1105</v>
      </c>
      <c r="D1477" s="48" t="s">
        <v>1009</v>
      </c>
      <c r="E1477" s="48" t="s">
        <v>1010</v>
      </c>
      <c r="F1477" s="48" t="s">
        <v>1106</v>
      </c>
      <c r="G1477" s="48" t="s">
        <v>1107</v>
      </c>
      <c r="H1477" s="47" t="s">
        <v>1108</v>
      </c>
      <c r="I1477" s="47" t="s">
        <v>1109</v>
      </c>
      <c r="J1477" s="47" t="s">
        <v>26</v>
      </c>
    </row>
    <row r="1478" ht="54" customHeight="1" spans="1:10">
      <c r="A1478" s="48" t="s">
        <v>439</v>
      </c>
      <c r="B1478" s="48" t="s">
        <v>2891</v>
      </c>
      <c r="C1478" s="47" t="s">
        <v>1268</v>
      </c>
      <c r="D1478" s="48" t="s">
        <v>957</v>
      </c>
      <c r="E1478" s="48" t="s">
        <v>958</v>
      </c>
      <c r="F1478" s="48" t="s">
        <v>1269</v>
      </c>
      <c r="G1478" s="48" t="s">
        <v>1270</v>
      </c>
      <c r="H1478" s="47" t="s">
        <v>1271</v>
      </c>
      <c r="I1478" s="47" t="s">
        <v>1272</v>
      </c>
      <c r="J1478" s="47" t="s">
        <v>26</v>
      </c>
    </row>
    <row r="1479" ht="54" customHeight="1" spans="1:10">
      <c r="A1479" s="48" t="s">
        <v>439</v>
      </c>
      <c r="B1479" s="48" t="s">
        <v>2892</v>
      </c>
      <c r="C1479" s="47" t="s">
        <v>1097</v>
      </c>
      <c r="D1479" s="48" t="s">
        <v>1098</v>
      </c>
      <c r="E1479" s="48" t="s">
        <v>1099</v>
      </c>
      <c r="F1479" s="48" t="s">
        <v>1100</v>
      </c>
      <c r="G1479" s="48" t="s">
        <v>1101</v>
      </c>
      <c r="H1479" s="47" t="s">
        <v>1102</v>
      </c>
      <c r="I1479" s="47" t="s">
        <v>1103</v>
      </c>
      <c r="J1479" s="47" t="s">
        <v>26</v>
      </c>
    </row>
    <row r="1480" ht="54" customHeight="1" spans="1:10">
      <c r="A1480" s="48" t="s">
        <v>439</v>
      </c>
      <c r="B1480" s="48" t="s">
        <v>2893</v>
      </c>
      <c r="C1480" s="47" t="s">
        <v>1066</v>
      </c>
      <c r="D1480" s="48" t="s">
        <v>935</v>
      </c>
      <c r="E1480" s="48" t="s">
        <v>936</v>
      </c>
      <c r="F1480" s="48" t="s">
        <v>1067</v>
      </c>
      <c r="G1480" s="48" t="s">
        <v>1068</v>
      </c>
      <c r="H1480" s="47" t="s">
        <v>1069</v>
      </c>
      <c r="I1480" s="47" t="s">
        <v>940</v>
      </c>
      <c r="J1480" s="47" t="s">
        <v>26</v>
      </c>
    </row>
    <row r="1481" ht="54" customHeight="1" spans="1:10">
      <c r="A1481" s="48" t="s">
        <v>439</v>
      </c>
      <c r="B1481" s="48" t="s">
        <v>2894</v>
      </c>
      <c r="C1481" s="47" t="s">
        <v>1111</v>
      </c>
      <c r="D1481" s="48" t="s">
        <v>965</v>
      </c>
      <c r="E1481" s="48" t="s">
        <v>966</v>
      </c>
      <c r="F1481" s="48" t="s">
        <v>1112</v>
      </c>
      <c r="G1481" s="48" t="s">
        <v>1113</v>
      </c>
      <c r="H1481" s="47" t="s">
        <v>1114</v>
      </c>
      <c r="I1481" s="47" t="s">
        <v>1115</v>
      </c>
      <c r="J1481" s="47" t="s">
        <v>26</v>
      </c>
    </row>
    <row r="1482" ht="54" customHeight="1" spans="1:10">
      <c r="A1482" s="48" t="s">
        <v>439</v>
      </c>
      <c r="B1482" s="48" t="s">
        <v>2895</v>
      </c>
      <c r="C1482" s="47" t="s">
        <v>1137</v>
      </c>
      <c r="D1482" s="48" t="s">
        <v>1138</v>
      </c>
      <c r="E1482" s="48" t="s">
        <v>1139</v>
      </c>
      <c r="F1482" s="48" t="s">
        <v>1140</v>
      </c>
      <c r="G1482" s="48" t="s">
        <v>1141</v>
      </c>
      <c r="H1482" s="47" t="s">
        <v>1142</v>
      </c>
      <c r="I1482" s="47" t="s">
        <v>940</v>
      </c>
      <c r="J1482" s="47" t="s">
        <v>26</v>
      </c>
    </row>
    <row r="1483" ht="54" customHeight="1" spans="1:10">
      <c r="A1483" s="48" t="s">
        <v>439</v>
      </c>
      <c r="B1483" s="48" t="s">
        <v>2896</v>
      </c>
      <c r="C1483" s="47" t="s">
        <v>971</v>
      </c>
      <c r="D1483" s="48" t="s">
        <v>965</v>
      </c>
      <c r="E1483" s="48" t="s">
        <v>966</v>
      </c>
      <c r="F1483" s="48" t="s">
        <v>972</v>
      </c>
      <c r="G1483" s="48" t="s">
        <v>973</v>
      </c>
      <c r="H1483" s="47" t="s">
        <v>974</v>
      </c>
      <c r="I1483" s="47" t="s">
        <v>975</v>
      </c>
      <c r="J1483" s="47" t="s">
        <v>26</v>
      </c>
    </row>
    <row r="1484" ht="54" customHeight="1" spans="1:10">
      <c r="A1484" s="48" t="s">
        <v>441</v>
      </c>
      <c r="B1484" s="48" t="s">
        <v>2897</v>
      </c>
      <c r="C1484" s="47" t="s">
        <v>1362</v>
      </c>
      <c r="D1484" s="48" t="s">
        <v>1059</v>
      </c>
      <c r="E1484" s="48" t="s">
        <v>1060</v>
      </c>
      <c r="F1484" s="48" t="s">
        <v>1363</v>
      </c>
      <c r="G1484" s="48" t="s">
        <v>1364</v>
      </c>
      <c r="H1484" s="47" t="s">
        <v>1365</v>
      </c>
      <c r="I1484" s="47" t="s">
        <v>1366</v>
      </c>
      <c r="J1484" s="47" t="s">
        <v>26</v>
      </c>
    </row>
    <row r="1485" ht="54" customHeight="1" spans="1:10">
      <c r="A1485" s="48" t="s">
        <v>441</v>
      </c>
      <c r="B1485" s="48" t="s">
        <v>2898</v>
      </c>
      <c r="C1485" s="47" t="s">
        <v>1097</v>
      </c>
      <c r="D1485" s="48" t="s">
        <v>1098</v>
      </c>
      <c r="E1485" s="48" t="s">
        <v>1099</v>
      </c>
      <c r="F1485" s="48" t="s">
        <v>1100</v>
      </c>
      <c r="G1485" s="48" t="s">
        <v>1101</v>
      </c>
      <c r="H1485" s="47" t="s">
        <v>1102</v>
      </c>
      <c r="I1485" s="47" t="s">
        <v>1103</v>
      </c>
      <c r="J1485" s="47" t="s">
        <v>26</v>
      </c>
    </row>
    <row r="1486" ht="54" customHeight="1" spans="1:10">
      <c r="A1486" s="48" t="s">
        <v>443</v>
      </c>
      <c r="B1486" s="48" t="s">
        <v>2899</v>
      </c>
      <c r="C1486" s="47" t="s">
        <v>934</v>
      </c>
      <c r="D1486" s="48" t="s">
        <v>935</v>
      </c>
      <c r="E1486" s="48" t="s">
        <v>936</v>
      </c>
      <c r="F1486" s="48" t="s">
        <v>937</v>
      </c>
      <c r="G1486" s="48" t="s">
        <v>938</v>
      </c>
      <c r="H1486" s="47" t="s">
        <v>939</v>
      </c>
      <c r="I1486" s="47" t="s">
        <v>940</v>
      </c>
      <c r="J1486" s="47" t="s">
        <v>39</v>
      </c>
    </row>
    <row r="1487" ht="54" customHeight="1" spans="1:10">
      <c r="A1487" s="48" t="s">
        <v>443</v>
      </c>
      <c r="B1487" s="48" t="s">
        <v>2900</v>
      </c>
      <c r="C1487" s="47" t="s">
        <v>1072</v>
      </c>
      <c r="D1487" s="48" t="s">
        <v>1073</v>
      </c>
      <c r="E1487" s="48" t="s">
        <v>1074</v>
      </c>
      <c r="F1487" s="48" t="s">
        <v>1075</v>
      </c>
      <c r="G1487" s="48" t="s">
        <v>1076</v>
      </c>
      <c r="H1487" s="47" t="s">
        <v>1077</v>
      </c>
      <c r="I1487" s="47" t="s">
        <v>1078</v>
      </c>
      <c r="J1487" s="47" t="s">
        <v>39</v>
      </c>
    </row>
    <row r="1488" ht="54" customHeight="1" spans="1:10">
      <c r="A1488" s="48" t="s">
        <v>443</v>
      </c>
      <c r="B1488" s="48" t="s">
        <v>2901</v>
      </c>
      <c r="C1488" s="47" t="s">
        <v>950</v>
      </c>
      <c r="D1488" s="48" t="s">
        <v>935</v>
      </c>
      <c r="E1488" s="48" t="s">
        <v>936</v>
      </c>
      <c r="F1488" s="48" t="s">
        <v>951</v>
      </c>
      <c r="G1488" s="48" t="s">
        <v>952</v>
      </c>
      <c r="H1488" s="47" t="s">
        <v>953</v>
      </c>
      <c r="I1488" s="47" t="s">
        <v>954</v>
      </c>
      <c r="J1488" s="47" t="s">
        <v>39</v>
      </c>
    </row>
    <row r="1489" ht="54" customHeight="1" spans="1:10">
      <c r="A1489" s="48" t="s">
        <v>443</v>
      </c>
      <c r="B1489" s="48" t="s">
        <v>2902</v>
      </c>
      <c r="C1489" s="47" t="s">
        <v>1036</v>
      </c>
      <c r="D1489" s="48" t="s">
        <v>1037</v>
      </c>
      <c r="E1489" s="48" t="s">
        <v>1038</v>
      </c>
      <c r="F1489" s="48" t="s">
        <v>1039</v>
      </c>
      <c r="G1489" s="48" t="s">
        <v>1040</v>
      </c>
      <c r="H1489" s="47" t="s">
        <v>1041</v>
      </c>
      <c r="I1489" s="47" t="s">
        <v>1042</v>
      </c>
      <c r="J1489" s="47" t="s">
        <v>39</v>
      </c>
    </row>
    <row r="1490" ht="54" customHeight="1" spans="1:10">
      <c r="A1490" s="48" t="s">
        <v>443</v>
      </c>
      <c r="B1490" s="48" t="s">
        <v>2903</v>
      </c>
      <c r="C1490" s="47" t="s">
        <v>1183</v>
      </c>
      <c r="D1490" s="48" t="s">
        <v>1184</v>
      </c>
      <c r="E1490" s="48" t="s">
        <v>1185</v>
      </c>
      <c r="F1490" s="48" t="s">
        <v>1186</v>
      </c>
      <c r="G1490" s="48" t="s">
        <v>1187</v>
      </c>
      <c r="H1490" s="47" t="s">
        <v>1188</v>
      </c>
      <c r="I1490" s="47" t="s">
        <v>1189</v>
      </c>
      <c r="J1490" s="47" t="s">
        <v>39</v>
      </c>
    </row>
    <row r="1491" ht="54" customHeight="1" spans="1:10">
      <c r="A1491" s="48" t="s">
        <v>443</v>
      </c>
      <c r="B1491" s="48" t="s">
        <v>2904</v>
      </c>
      <c r="C1491" s="47" t="s">
        <v>1277</v>
      </c>
      <c r="D1491" s="48" t="s">
        <v>1278</v>
      </c>
      <c r="E1491" s="48" t="s">
        <v>1279</v>
      </c>
      <c r="F1491" s="48" t="s">
        <v>1280</v>
      </c>
      <c r="G1491" s="48" t="s">
        <v>1281</v>
      </c>
      <c r="H1491" s="47" t="s">
        <v>1282</v>
      </c>
      <c r="I1491" s="47" t="s">
        <v>1283</v>
      </c>
      <c r="J1491" s="47" t="s">
        <v>39</v>
      </c>
    </row>
    <row r="1492" ht="54" customHeight="1" spans="1:10">
      <c r="A1492" s="48" t="s">
        <v>443</v>
      </c>
      <c r="B1492" s="48" t="s">
        <v>2905</v>
      </c>
      <c r="C1492" s="47" t="s">
        <v>1066</v>
      </c>
      <c r="D1492" s="48" t="s">
        <v>935</v>
      </c>
      <c r="E1492" s="48" t="s">
        <v>936</v>
      </c>
      <c r="F1492" s="48" t="s">
        <v>1067</v>
      </c>
      <c r="G1492" s="48" t="s">
        <v>1068</v>
      </c>
      <c r="H1492" s="47" t="s">
        <v>1069</v>
      </c>
      <c r="I1492" s="47" t="s">
        <v>940</v>
      </c>
      <c r="J1492" s="47" t="s">
        <v>39</v>
      </c>
    </row>
    <row r="1493" ht="54" customHeight="1" spans="1:10">
      <c r="A1493" s="48" t="s">
        <v>443</v>
      </c>
      <c r="B1493" s="48" t="s">
        <v>2906</v>
      </c>
      <c r="C1493" s="47" t="s">
        <v>1388</v>
      </c>
      <c r="D1493" s="48" t="s">
        <v>1037</v>
      </c>
      <c r="E1493" s="48" t="s">
        <v>1038</v>
      </c>
      <c r="F1493" s="48" t="s">
        <v>1389</v>
      </c>
      <c r="G1493" s="48" t="s">
        <v>1390</v>
      </c>
      <c r="H1493" s="47" t="s">
        <v>1391</v>
      </c>
      <c r="I1493" s="47" t="s">
        <v>1392</v>
      </c>
      <c r="J1493" s="47" t="s">
        <v>39</v>
      </c>
    </row>
    <row r="1494" ht="54" customHeight="1" spans="1:10">
      <c r="A1494" s="48" t="s">
        <v>443</v>
      </c>
      <c r="B1494" s="48" t="s">
        <v>2907</v>
      </c>
      <c r="C1494" s="47" t="s">
        <v>977</v>
      </c>
      <c r="D1494" s="48" t="s">
        <v>978</v>
      </c>
      <c r="E1494" s="48" t="s">
        <v>979</v>
      </c>
      <c r="F1494" s="48" t="s">
        <v>980</v>
      </c>
      <c r="G1494" s="48" t="s">
        <v>981</v>
      </c>
      <c r="H1494" s="47" t="s">
        <v>982</v>
      </c>
      <c r="I1494" s="47" t="s">
        <v>983</v>
      </c>
      <c r="J1494" s="47" t="s">
        <v>39</v>
      </c>
    </row>
    <row r="1495" ht="54" customHeight="1" spans="1:10">
      <c r="A1495" s="48" t="s">
        <v>443</v>
      </c>
      <c r="B1495" s="48" t="s">
        <v>2908</v>
      </c>
      <c r="C1495" s="47" t="s">
        <v>1313</v>
      </c>
      <c r="D1495" s="48" t="s">
        <v>1037</v>
      </c>
      <c r="E1495" s="48" t="s">
        <v>1038</v>
      </c>
      <c r="F1495" s="48" t="s">
        <v>1314</v>
      </c>
      <c r="G1495" s="48" t="s">
        <v>1315</v>
      </c>
      <c r="H1495" s="47" t="s">
        <v>1316</v>
      </c>
      <c r="I1495" s="47" t="s">
        <v>1317</v>
      </c>
      <c r="J1495" s="47" t="s">
        <v>39</v>
      </c>
    </row>
    <row r="1496" ht="54" customHeight="1" spans="1:10">
      <c r="A1496" s="48" t="s">
        <v>445</v>
      </c>
      <c r="B1496" s="48" t="s">
        <v>2909</v>
      </c>
      <c r="C1496" s="47" t="s">
        <v>934</v>
      </c>
      <c r="D1496" s="48" t="s">
        <v>935</v>
      </c>
      <c r="E1496" s="48" t="s">
        <v>936</v>
      </c>
      <c r="F1496" s="48" t="s">
        <v>937</v>
      </c>
      <c r="G1496" s="48" t="s">
        <v>938</v>
      </c>
      <c r="H1496" s="47" t="s">
        <v>939</v>
      </c>
      <c r="I1496" s="47" t="s">
        <v>940</v>
      </c>
      <c r="J1496" s="47" t="s">
        <v>26</v>
      </c>
    </row>
    <row r="1497" ht="54" customHeight="1" spans="1:10">
      <c r="A1497" s="48" t="s">
        <v>445</v>
      </c>
      <c r="B1497" s="48" t="s">
        <v>2910</v>
      </c>
      <c r="C1497" s="47" t="s">
        <v>1008</v>
      </c>
      <c r="D1497" s="48" t="s">
        <v>1009</v>
      </c>
      <c r="E1497" s="48" t="s">
        <v>1010</v>
      </c>
      <c r="F1497" s="48" t="s">
        <v>1011</v>
      </c>
      <c r="G1497" s="48" t="s">
        <v>1012</v>
      </c>
      <c r="H1497" s="47" t="s">
        <v>1013</v>
      </c>
      <c r="I1497" s="47" t="s">
        <v>1014</v>
      </c>
      <c r="J1497" s="47" t="s">
        <v>26</v>
      </c>
    </row>
    <row r="1498" ht="54" customHeight="1" spans="1:10">
      <c r="A1498" s="48" t="s">
        <v>445</v>
      </c>
      <c r="B1498" s="48" t="s">
        <v>2911</v>
      </c>
      <c r="C1498" s="47" t="s">
        <v>1337</v>
      </c>
      <c r="D1498" s="48" t="s">
        <v>1009</v>
      </c>
      <c r="E1498" s="48" t="s">
        <v>1010</v>
      </c>
      <c r="F1498" s="48" t="s">
        <v>1338</v>
      </c>
      <c r="G1498" s="48" t="s">
        <v>1339</v>
      </c>
      <c r="H1498" s="47" t="s">
        <v>1340</v>
      </c>
      <c r="I1498" s="47" t="s">
        <v>1341</v>
      </c>
      <c r="J1498" s="47" t="s">
        <v>26</v>
      </c>
    </row>
    <row r="1499" ht="54" customHeight="1" spans="1:10">
      <c r="A1499" s="48" t="s">
        <v>445</v>
      </c>
      <c r="B1499" s="48" t="s">
        <v>2912</v>
      </c>
      <c r="C1499" s="47" t="s">
        <v>950</v>
      </c>
      <c r="D1499" s="48" t="s">
        <v>935</v>
      </c>
      <c r="E1499" s="48" t="s">
        <v>936</v>
      </c>
      <c r="F1499" s="48" t="s">
        <v>951</v>
      </c>
      <c r="G1499" s="48" t="s">
        <v>952</v>
      </c>
      <c r="H1499" s="47" t="s">
        <v>953</v>
      </c>
      <c r="I1499" s="47" t="s">
        <v>954</v>
      </c>
      <c r="J1499" s="47" t="s">
        <v>26</v>
      </c>
    </row>
    <row r="1500" ht="54" customHeight="1" spans="1:10">
      <c r="A1500" s="48" t="s">
        <v>445</v>
      </c>
      <c r="B1500" s="48" t="s">
        <v>2913</v>
      </c>
      <c r="C1500" s="47" t="s">
        <v>956</v>
      </c>
      <c r="D1500" s="48" t="s">
        <v>957</v>
      </c>
      <c r="E1500" s="48" t="s">
        <v>958</v>
      </c>
      <c r="F1500" s="48" t="s">
        <v>959</v>
      </c>
      <c r="G1500" s="48" t="s">
        <v>960</v>
      </c>
      <c r="H1500" s="47" t="s">
        <v>961</v>
      </c>
      <c r="I1500" s="47" t="s">
        <v>962</v>
      </c>
      <c r="J1500" s="47" t="s">
        <v>26</v>
      </c>
    </row>
    <row r="1501" ht="54" customHeight="1" spans="1:10">
      <c r="A1501" s="48" t="s">
        <v>445</v>
      </c>
      <c r="B1501" s="48" t="s">
        <v>2914</v>
      </c>
      <c r="C1501" s="47" t="s">
        <v>1105</v>
      </c>
      <c r="D1501" s="48" t="s">
        <v>1009</v>
      </c>
      <c r="E1501" s="48" t="s">
        <v>1010</v>
      </c>
      <c r="F1501" s="48" t="s">
        <v>1106</v>
      </c>
      <c r="G1501" s="48" t="s">
        <v>1107</v>
      </c>
      <c r="H1501" s="47" t="s">
        <v>1108</v>
      </c>
      <c r="I1501" s="47" t="s">
        <v>1109</v>
      </c>
      <c r="J1501" s="47" t="s">
        <v>26</v>
      </c>
    </row>
    <row r="1502" ht="54" customHeight="1" spans="1:10">
      <c r="A1502" s="48" t="s">
        <v>445</v>
      </c>
      <c r="B1502" s="48" t="s">
        <v>2915</v>
      </c>
      <c r="C1502" s="47" t="s">
        <v>1097</v>
      </c>
      <c r="D1502" s="48" t="s">
        <v>1098</v>
      </c>
      <c r="E1502" s="48" t="s">
        <v>1099</v>
      </c>
      <c r="F1502" s="48" t="s">
        <v>1100</v>
      </c>
      <c r="G1502" s="48" t="s">
        <v>1101</v>
      </c>
      <c r="H1502" s="47" t="s">
        <v>1102</v>
      </c>
      <c r="I1502" s="47" t="s">
        <v>1103</v>
      </c>
      <c r="J1502" s="47" t="s">
        <v>26</v>
      </c>
    </row>
    <row r="1503" ht="54" customHeight="1" spans="1:10">
      <c r="A1503" s="48" t="s">
        <v>445</v>
      </c>
      <c r="B1503" s="48" t="s">
        <v>2916</v>
      </c>
      <c r="C1503" s="47" t="s">
        <v>1066</v>
      </c>
      <c r="D1503" s="48" t="s">
        <v>935</v>
      </c>
      <c r="E1503" s="48" t="s">
        <v>936</v>
      </c>
      <c r="F1503" s="48" t="s">
        <v>1067</v>
      </c>
      <c r="G1503" s="48" t="s">
        <v>1068</v>
      </c>
      <c r="H1503" s="47" t="s">
        <v>1069</v>
      </c>
      <c r="I1503" s="47" t="s">
        <v>940</v>
      </c>
      <c r="J1503" s="47" t="s">
        <v>26</v>
      </c>
    </row>
    <row r="1504" ht="54" customHeight="1" spans="1:10">
      <c r="A1504" s="48" t="s">
        <v>445</v>
      </c>
      <c r="B1504" s="48" t="s">
        <v>2917</v>
      </c>
      <c r="C1504" s="47" t="s">
        <v>1111</v>
      </c>
      <c r="D1504" s="48" t="s">
        <v>965</v>
      </c>
      <c r="E1504" s="48" t="s">
        <v>966</v>
      </c>
      <c r="F1504" s="48" t="s">
        <v>1112</v>
      </c>
      <c r="G1504" s="48" t="s">
        <v>1113</v>
      </c>
      <c r="H1504" s="47" t="s">
        <v>1114</v>
      </c>
      <c r="I1504" s="47" t="s">
        <v>1115</v>
      </c>
      <c r="J1504" s="47" t="s">
        <v>26</v>
      </c>
    </row>
    <row r="1505" ht="54" customHeight="1" spans="1:10">
      <c r="A1505" s="48" t="s">
        <v>445</v>
      </c>
      <c r="B1505" s="48" t="s">
        <v>2918</v>
      </c>
      <c r="C1505" s="47" t="s">
        <v>971</v>
      </c>
      <c r="D1505" s="48" t="s">
        <v>965</v>
      </c>
      <c r="E1505" s="48" t="s">
        <v>966</v>
      </c>
      <c r="F1505" s="48" t="s">
        <v>972</v>
      </c>
      <c r="G1505" s="48" t="s">
        <v>973</v>
      </c>
      <c r="H1505" s="47" t="s">
        <v>974</v>
      </c>
      <c r="I1505" s="47" t="s">
        <v>975</v>
      </c>
      <c r="J1505" s="47" t="s">
        <v>26</v>
      </c>
    </row>
    <row r="1506" ht="54" customHeight="1" spans="1:10">
      <c r="A1506" s="48" t="s">
        <v>445</v>
      </c>
      <c r="B1506" s="48" t="s">
        <v>2919</v>
      </c>
      <c r="C1506" s="47" t="s">
        <v>1291</v>
      </c>
      <c r="D1506" s="48" t="s">
        <v>965</v>
      </c>
      <c r="E1506" s="48" t="s">
        <v>966</v>
      </c>
      <c r="F1506" s="48" t="s">
        <v>1292</v>
      </c>
      <c r="G1506" s="48" t="s">
        <v>1293</v>
      </c>
      <c r="H1506" s="47" t="s">
        <v>1294</v>
      </c>
      <c r="I1506" s="47" t="s">
        <v>1295</v>
      </c>
      <c r="J1506" s="47" t="s">
        <v>26</v>
      </c>
    </row>
    <row r="1507" ht="54" customHeight="1" spans="1:10">
      <c r="A1507" s="48" t="s">
        <v>445</v>
      </c>
      <c r="B1507" s="48" t="s">
        <v>2920</v>
      </c>
      <c r="C1507" s="47" t="s">
        <v>1313</v>
      </c>
      <c r="D1507" s="48" t="s">
        <v>1037</v>
      </c>
      <c r="E1507" s="48" t="s">
        <v>1038</v>
      </c>
      <c r="F1507" s="48" t="s">
        <v>1314</v>
      </c>
      <c r="G1507" s="48" t="s">
        <v>1315</v>
      </c>
      <c r="H1507" s="47" t="s">
        <v>1316</v>
      </c>
      <c r="I1507" s="47" t="s">
        <v>1317</v>
      </c>
      <c r="J1507" s="47" t="s">
        <v>26</v>
      </c>
    </row>
    <row r="1508" ht="54" customHeight="1" spans="1:10">
      <c r="A1508" s="48" t="s">
        <v>447</v>
      </c>
      <c r="B1508" s="48" t="s">
        <v>2921</v>
      </c>
      <c r="C1508" s="47" t="s">
        <v>934</v>
      </c>
      <c r="D1508" s="48" t="s">
        <v>935</v>
      </c>
      <c r="E1508" s="48" t="s">
        <v>936</v>
      </c>
      <c r="F1508" s="48" t="s">
        <v>937</v>
      </c>
      <c r="G1508" s="48" t="s">
        <v>938</v>
      </c>
      <c r="H1508" s="47" t="s">
        <v>939</v>
      </c>
      <c r="I1508" s="47" t="s">
        <v>940</v>
      </c>
      <c r="J1508" s="47" t="s">
        <v>26</v>
      </c>
    </row>
    <row r="1509" ht="54" customHeight="1" spans="1:10">
      <c r="A1509" s="48" t="s">
        <v>447</v>
      </c>
      <c r="B1509" s="48" t="s">
        <v>2922</v>
      </c>
      <c r="C1509" s="47" t="s">
        <v>1072</v>
      </c>
      <c r="D1509" s="48" t="s">
        <v>1073</v>
      </c>
      <c r="E1509" s="48" t="s">
        <v>1074</v>
      </c>
      <c r="F1509" s="48" t="s">
        <v>1075</v>
      </c>
      <c r="G1509" s="48" t="s">
        <v>1076</v>
      </c>
      <c r="H1509" s="47" t="s">
        <v>1077</v>
      </c>
      <c r="I1509" s="47" t="s">
        <v>1078</v>
      </c>
      <c r="J1509" s="47" t="s">
        <v>26</v>
      </c>
    </row>
    <row r="1510" ht="54" customHeight="1" spans="1:10">
      <c r="A1510" s="48" t="s">
        <v>447</v>
      </c>
      <c r="B1510" s="48" t="s">
        <v>2923</v>
      </c>
      <c r="C1510" s="47" t="s">
        <v>1008</v>
      </c>
      <c r="D1510" s="48" t="s">
        <v>1009</v>
      </c>
      <c r="E1510" s="48" t="s">
        <v>1010</v>
      </c>
      <c r="F1510" s="48" t="s">
        <v>1011</v>
      </c>
      <c r="G1510" s="48" t="s">
        <v>1012</v>
      </c>
      <c r="H1510" s="47" t="s">
        <v>1013</v>
      </c>
      <c r="I1510" s="47" t="s">
        <v>1014</v>
      </c>
      <c r="J1510" s="47" t="s">
        <v>26</v>
      </c>
    </row>
    <row r="1511" ht="54" customHeight="1" spans="1:10">
      <c r="A1511" s="48" t="s">
        <v>447</v>
      </c>
      <c r="B1511" s="48" t="s">
        <v>2924</v>
      </c>
      <c r="C1511" s="47" t="s">
        <v>1572</v>
      </c>
      <c r="D1511" s="48" t="s">
        <v>1098</v>
      </c>
      <c r="E1511" s="48" t="s">
        <v>1099</v>
      </c>
      <c r="F1511" s="48" t="s">
        <v>1573</v>
      </c>
      <c r="G1511" s="48" t="s">
        <v>1574</v>
      </c>
      <c r="H1511" s="47" t="s">
        <v>1575</v>
      </c>
      <c r="I1511" s="47" t="s">
        <v>1576</v>
      </c>
      <c r="J1511" s="47" t="s">
        <v>26</v>
      </c>
    </row>
    <row r="1512" ht="54" customHeight="1" spans="1:10">
      <c r="A1512" s="48" t="s">
        <v>447</v>
      </c>
      <c r="B1512" s="48" t="s">
        <v>2925</v>
      </c>
      <c r="C1512" s="47" t="s">
        <v>1337</v>
      </c>
      <c r="D1512" s="48" t="s">
        <v>1009</v>
      </c>
      <c r="E1512" s="48" t="s">
        <v>1010</v>
      </c>
      <c r="F1512" s="48" t="s">
        <v>1338</v>
      </c>
      <c r="G1512" s="48" t="s">
        <v>1339</v>
      </c>
      <c r="H1512" s="47" t="s">
        <v>1340</v>
      </c>
      <c r="I1512" s="47" t="s">
        <v>1341</v>
      </c>
      <c r="J1512" s="47" t="s">
        <v>26</v>
      </c>
    </row>
    <row r="1513" ht="54" customHeight="1" spans="1:10">
      <c r="A1513" s="48" t="s">
        <v>447</v>
      </c>
      <c r="B1513" s="48" t="s">
        <v>2926</v>
      </c>
      <c r="C1513" s="47" t="s">
        <v>950</v>
      </c>
      <c r="D1513" s="48" t="s">
        <v>935</v>
      </c>
      <c r="E1513" s="48" t="s">
        <v>936</v>
      </c>
      <c r="F1513" s="48" t="s">
        <v>951</v>
      </c>
      <c r="G1513" s="48" t="s">
        <v>952</v>
      </c>
      <c r="H1513" s="47" t="s">
        <v>953</v>
      </c>
      <c r="I1513" s="47" t="s">
        <v>954</v>
      </c>
      <c r="J1513" s="47" t="s">
        <v>26</v>
      </c>
    </row>
    <row r="1514" ht="54" customHeight="1" spans="1:10">
      <c r="A1514" s="48" t="s">
        <v>447</v>
      </c>
      <c r="B1514" s="48" t="s">
        <v>2927</v>
      </c>
      <c r="C1514" s="47" t="s">
        <v>1036</v>
      </c>
      <c r="D1514" s="48" t="s">
        <v>1037</v>
      </c>
      <c r="E1514" s="48" t="s">
        <v>1038</v>
      </c>
      <c r="F1514" s="48" t="s">
        <v>1039</v>
      </c>
      <c r="G1514" s="48" t="s">
        <v>1040</v>
      </c>
      <c r="H1514" s="47" t="s">
        <v>1041</v>
      </c>
      <c r="I1514" s="47" t="s">
        <v>1042</v>
      </c>
      <c r="J1514" s="47" t="s">
        <v>26</v>
      </c>
    </row>
    <row r="1515" ht="54" customHeight="1" spans="1:10">
      <c r="A1515" s="48" t="s">
        <v>447</v>
      </c>
      <c r="B1515" s="48" t="s">
        <v>2928</v>
      </c>
      <c r="C1515" s="47" t="s">
        <v>1589</v>
      </c>
      <c r="D1515" s="48" t="s">
        <v>943</v>
      </c>
      <c r="E1515" s="48" t="s">
        <v>944</v>
      </c>
      <c r="F1515" s="48" t="s">
        <v>1590</v>
      </c>
      <c r="G1515" s="48" t="s">
        <v>1591</v>
      </c>
      <c r="H1515" s="47" t="s">
        <v>1592</v>
      </c>
      <c r="I1515" s="47" t="s">
        <v>1593</v>
      </c>
      <c r="J1515" s="47" t="s">
        <v>26</v>
      </c>
    </row>
    <row r="1516" ht="54" customHeight="1" spans="1:10">
      <c r="A1516" s="48" t="s">
        <v>447</v>
      </c>
      <c r="B1516" s="48" t="s">
        <v>2929</v>
      </c>
      <c r="C1516" s="47" t="s">
        <v>1097</v>
      </c>
      <c r="D1516" s="48" t="s">
        <v>1098</v>
      </c>
      <c r="E1516" s="48" t="s">
        <v>1099</v>
      </c>
      <c r="F1516" s="48" t="s">
        <v>1100</v>
      </c>
      <c r="G1516" s="48" t="s">
        <v>1101</v>
      </c>
      <c r="H1516" s="47" t="s">
        <v>1102</v>
      </c>
      <c r="I1516" s="47" t="s">
        <v>1103</v>
      </c>
      <c r="J1516" s="47" t="s">
        <v>26</v>
      </c>
    </row>
    <row r="1517" ht="54" customHeight="1" spans="1:10">
      <c r="A1517" s="48" t="s">
        <v>447</v>
      </c>
      <c r="B1517" s="48" t="s">
        <v>2930</v>
      </c>
      <c r="C1517" s="47" t="s">
        <v>1388</v>
      </c>
      <c r="D1517" s="48" t="s">
        <v>1037</v>
      </c>
      <c r="E1517" s="48" t="s">
        <v>1038</v>
      </c>
      <c r="F1517" s="48" t="s">
        <v>1389</v>
      </c>
      <c r="G1517" s="48" t="s">
        <v>1390</v>
      </c>
      <c r="H1517" s="47" t="s">
        <v>1391</v>
      </c>
      <c r="I1517" s="47" t="s">
        <v>1392</v>
      </c>
      <c r="J1517" s="47" t="s">
        <v>26</v>
      </c>
    </row>
    <row r="1518" ht="54" customHeight="1" spans="1:10">
      <c r="A1518" s="48" t="s">
        <v>449</v>
      </c>
      <c r="B1518" s="48" t="s">
        <v>2931</v>
      </c>
      <c r="C1518" s="47" t="s">
        <v>1022</v>
      </c>
      <c r="D1518" s="48" t="s">
        <v>957</v>
      </c>
      <c r="E1518" s="48" t="s">
        <v>958</v>
      </c>
      <c r="F1518" s="48" t="s">
        <v>1023</v>
      </c>
      <c r="G1518" s="48" t="s">
        <v>1024</v>
      </c>
      <c r="H1518" s="47" t="s">
        <v>1025</v>
      </c>
      <c r="I1518" s="47" t="s">
        <v>1026</v>
      </c>
      <c r="J1518" s="47" t="s">
        <v>26</v>
      </c>
    </row>
    <row r="1519" ht="54" customHeight="1" spans="1:10">
      <c r="A1519" s="48" t="s">
        <v>449</v>
      </c>
      <c r="B1519" s="48" t="s">
        <v>2932</v>
      </c>
      <c r="C1519" s="47" t="s">
        <v>1934</v>
      </c>
      <c r="D1519" s="48" t="s">
        <v>1184</v>
      </c>
      <c r="E1519" s="48" t="s">
        <v>1185</v>
      </c>
      <c r="F1519" s="48" t="s">
        <v>1935</v>
      </c>
      <c r="G1519" s="48" t="s">
        <v>1936</v>
      </c>
      <c r="H1519" s="47" t="s">
        <v>1937</v>
      </c>
      <c r="I1519" s="47" t="s">
        <v>1938</v>
      </c>
      <c r="J1519" s="47" t="s">
        <v>26</v>
      </c>
    </row>
    <row r="1520" ht="54" customHeight="1" spans="1:10">
      <c r="A1520" s="48" t="s">
        <v>449</v>
      </c>
      <c r="B1520" s="48" t="s">
        <v>2933</v>
      </c>
      <c r="C1520" s="47" t="s">
        <v>956</v>
      </c>
      <c r="D1520" s="48" t="s">
        <v>957</v>
      </c>
      <c r="E1520" s="48" t="s">
        <v>958</v>
      </c>
      <c r="F1520" s="48" t="s">
        <v>959</v>
      </c>
      <c r="G1520" s="48" t="s">
        <v>960</v>
      </c>
      <c r="H1520" s="47" t="s">
        <v>961</v>
      </c>
      <c r="I1520" s="47" t="s">
        <v>962</v>
      </c>
      <c r="J1520" s="47" t="s">
        <v>26</v>
      </c>
    </row>
    <row r="1521" ht="54" customHeight="1" spans="1:10">
      <c r="A1521" s="48" t="s">
        <v>449</v>
      </c>
      <c r="B1521" s="48" t="s">
        <v>2934</v>
      </c>
      <c r="C1521" s="47" t="s">
        <v>1105</v>
      </c>
      <c r="D1521" s="48" t="s">
        <v>1009</v>
      </c>
      <c r="E1521" s="48" t="s">
        <v>1010</v>
      </c>
      <c r="F1521" s="48" t="s">
        <v>1106</v>
      </c>
      <c r="G1521" s="48" t="s">
        <v>1107</v>
      </c>
      <c r="H1521" s="47" t="s">
        <v>1108</v>
      </c>
      <c r="I1521" s="47" t="s">
        <v>1109</v>
      </c>
      <c r="J1521" s="47" t="s">
        <v>26</v>
      </c>
    </row>
    <row r="1522" ht="54" customHeight="1" spans="1:10">
      <c r="A1522" s="48" t="s">
        <v>449</v>
      </c>
      <c r="B1522" s="48" t="s">
        <v>2935</v>
      </c>
      <c r="C1522" s="47" t="s">
        <v>1268</v>
      </c>
      <c r="D1522" s="48" t="s">
        <v>957</v>
      </c>
      <c r="E1522" s="48" t="s">
        <v>958</v>
      </c>
      <c r="F1522" s="48" t="s">
        <v>1269</v>
      </c>
      <c r="G1522" s="48" t="s">
        <v>1270</v>
      </c>
      <c r="H1522" s="47" t="s">
        <v>1271</v>
      </c>
      <c r="I1522" s="47" t="s">
        <v>1272</v>
      </c>
      <c r="J1522" s="47" t="s">
        <v>26</v>
      </c>
    </row>
    <row r="1523" ht="54" customHeight="1" spans="1:10">
      <c r="A1523" s="48" t="s">
        <v>449</v>
      </c>
      <c r="B1523" s="48" t="s">
        <v>2936</v>
      </c>
      <c r="C1523" s="47" t="s">
        <v>1044</v>
      </c>
      <c r="D1523" s="48" t="s">
        <v>1045</v>
      </c>
      <c r="E1523" s="48" t="s">
        <v>1046</v>
      </c>
      <c r="F1523" s="48" t="s">
        <v>1047</v>
      </c>
      <c r="G1523" s="48" t="s">
        <v>1048</v>
      </c>
      <c r="H1523" s="47" t="s">
        <v>1049</v>
      </c>
      <c r="I1523" s="47" t="s">
        <v>1050</v>
      </c>
      <c r="J1523" s="47" t="s">
        <v>26</v>
      </c>
    </row>
    <row r="1524" ht="54" customHeight="1" spans="1:10">
      <c r="A1524" s="48" t="s">
        <v>449</v>
      </c>
      <c r="B1524" s="48" t="s">
        <v>2937</v>
      </c>
      <c r="C1524" s="47" t="s">
        <v>1052</v>
      </c>
      <c r="D1524" s="48" t="s">
        <v>1009</v>
      </c>
      <c r="E1524" s="48" t="s">
        <v>1010</v>
      </c>
      <c r="F1524" s="48" t="s">
        <v>1053</v>
      </c>
      <c r="G1524" s="48" t="s">
        <v>1054</v>
      </c>
      <c r="H1524" s="47" t="s">
        <v>1055</v>
      </c>
      <c r="I1524" s="47" t="s">
        <v>1056</v>
      </c>
      <c r="J1524" s="47" t="s">
        <v>26</v>
      </c>
    </row>
    <row r="1525" ht="54" customHeight="1" spans="1:10">
      <c r="A1525" s="48" t="s">
        <v>449</v>
      </c>
      <c r="B1525" s="48" t="s">
        <v>2938</v>
      </c>
      <c r="C1525" s="47" t="s">
        <v>1097</v>
      </c>
      <c r="D1525" s="48" t="s">
        <v>1098</v>
      </c>
      <c r="E1525" s="48" t="s">
        <v>1099</v>
      </c>
      <c r="F1525" s="48" t="s">
        <v>1100</v>
      </c>
      <c r="G1525" s="48" t="s">
        <v>1101</v>
      </c>
      <c r="H1525" s="47" t="s">
        <v>1102</v>
      </c>
      <c r="I1525" s="47" t="s">
        <v>1103</v>
      </c>
      <c r="J1525" s="47" t="s">
        <v>26</v>
      </c>
    </row>
    <row r="1526" ht="54" customHeight="1" spans="1:10">
      <c r="A1526" s="48" t="s">
        <v>449</v>
      </c>
      <c r="B1526" s="48" t="s">
        <v>2939</v>
      </c>
      <c r="C1526" s="47" t="s">
        <v>1375</v>
      </c>
      <c r="D1526" s="48" t="s">
        <v>1098</v>
      </c>
      <c r="E1526" s="48" t="s">
        <v>1099</v>
      </c>
      <c r="F1526" s="48" t="s">
        <v>1376</v>
      </c>
      <c r="G1526" s="48" t="s">
        <v>1377</v>
      </c>
      <c r="H1526" s="47" t="s">
        <v>1378</v>
      </c>
      <c r="I1526" s="47" t="s">
        <v>1379</v>
      </c>
      <c r="J1526" s="47" t="s">
        <v>26</v>
      </c>
    </row>
    <row r="1527" ht="54" customHeight="1" spans="1:10">
      <c r="A1527" s="48" t="s">
        <v>449</v>
      </c>
      <c r="B1527" s="48" t="s">
        <v>2940</v>
      </c>
      <c r="C1527" s="47" t="s">
        <v>1638</v>
      </c>
      <c r="D1527" s="48" t="s">
        <v>1118</v>
      </c>
      <c r="E1527" s="48" t="s">
        <v>1119</v>
      </c>
      <c r="F1527" s="48" t="s">
        <v>1639</v>
      </c>
      <c r="G1527" s="48" t="s">
        <v>1640</v>
      </c>
      <c r="H1527" s="47" t="s">
        <v>1641</v>
      </c>
      <c r="I1527" s="47" t="s">
        <v>1642</v>
      </c>
      <c r="J1527" s="47" t="s">
        <v>26</v>
      </c>
    </row>
    <row r="1528" ht="54" customHeight="1" spans="1:10">
      <c r="A1528" s="48" t="s">
        <v>449</v>
      </c>
      <c r="B1528" s="48" t="s">
        <v>2941</v>
      </c>
      <c r="C1528" s="47" t="s">
        <v>1252</v>
      </c>
      <c r="D1528" s="48" t="s">
        <v>1001</v>
      </c>
      <c r="E1528" s="48" t="s">
        <v>1002</v>
      </c>
      <c r="F1528" s="48" t="s">
        <v>1253</v>
      </c>
      <c r="G1528" s="48" t="s">
        <v>1254</v>
      </c>
      <c r="H1528" s="47" t="s">
        <v>1255</v>
      </c>
      <c r="I1528" s="47" t="s">
        <v>1256</v>
      </c>
      <c r="J1528" s="47" t="s">
        <v>26</v>
      </c>
    </row>
    <row r="1529" ht="54" customHeight="1" spans="1:10">
      <c r="A1529" s="48" t="s">
        <v>449</v>
      </c>
      <c r="B1529" s="48" t="s">
        <v>2942</v>
      </c>
      <c r="C1529" s="47" t="s">
        <v>1285</v>
      </c>
      <c r="D1529" s="48" t="s">
        <v>965</v>
      </c>
      <c r="E1529" s="48" t="s">
        <v>966</v>
      </c>
      <c r="F1529" s="48" t="s">
        <v>1286</v>
      </c>
      <c r="G1529" s="48" t="s">
        <v>1287</v>
      </c>
      <c r="H1529" s="47" t="s">
        <v>1288</v>
      </c>
      <c r="I1529" s="47" t="s">
        <v>1289</v>
      </c>
      <c r="J1529" s="47" t="s">
        <v>26</v>
      </c>
    </row>
    <row r="1530" ht="54" customHeight="1" spans="1:10">
      <c r="A1530" s="48" t="s">
        <v>451</v>
      </c>
      <c r="B1530" s="48" t="s">
        <v>2943</v>
      </c>
      <c r="C1530" s="47" t="s">
        <v>934</v>
      </c>
      <c r="D1530" s="48" t="s">
        <v>935</v>
      </c>
      <c r="E1530" s="48" t="s">
        <v>936</v>
      </c>
      <c r="F1530" s="48" t="s">
        <v>937</v>
      </c>
      <c r="G1530" s="48" t="s">
        <v>938</v>
      </c>
      <c r="H1530" s="47" t="s">
        <v>939</v>
      </c>
      <c r="I1530" s="47" t="s">
        <v>940</v>
      </c>
      <c r="J1530" s="47" t="s">
        <v>26</v>
      </c>
    </row>
    <row r="1531" ht="54" customHeight="1" spans="1:10">
      <c r="A1531" s="48" t="s">
        <v>451</v>
      </c>
      <c r="B1531" s="48" t="s">
        <v>2944</v>
      </c>
      <c r="C1531" s="47" t="s">
        <v>950</v>
      </c>
      <c r="D1531" s="48" t="s">
        <v>935</v>
      </c>
      <c r="E1531" s="48" t="s">
        <v>936</v>
      </c>
      <c r="F1531" s="48" t="s">
        <v>951</v>
      </c>
      <c r="G1531" s="48" t="s">
        <v>952</v>
      </c>
      <c r="H1531" s="47" t="s">
        <v>953</v>
      </c>
      <c r="I1531" s="47" t="s">
        <v>954</v>
      </c>
      <c r="J1531" s="47" t="s">
        <v>26</v>
      </c>
    </row>
    <row r="1532" ht="54" customHeight="1" spans="1:10">
      <c r="A1532" s="48" t="s">
        <v>451</v>
      </c>
      <c r="B1532" s="48" t="s">
        <v>2945</v>
      </c>
      <c r="C1532" s="47" t="s">
        <v>1767</v>
      </c>
      <c r="D1532" s="48" t="s">
        <v>957</v>
      </c>
      <c r="E1532" s="48" t="s">
        <v>958</v>
      </c>
      <c r="F1532" s="48" t="s">
        <v>1768</v>
      </c>
      <c r="G1532" s="48" t="s">
        <v>1769</v>
      </c>
      <c r="H1532" s="47" t="s">
        <v>1770</v>
      </c>
      <c r="I1532" s="47" t="s">
        <v>1771</v>
      </c>
      <c r="J1532" s="47" t="s">
        <v>26</v>
      </c>
    </row>
    <row r="1533" ht="54" customHeight="1" spans="1:10">
      <c r="A1533" s="48" t="s">
        <v>451</v>
      </c>
      <c r="B1533" s="48" t="s">
        <v>2946</v>
      </c>
      <c r="C1533" s="47" t="s">
        <v>1036</v>
      </c>
      <c r="D1533" s="48" t="s">
        <v>1037</v>
      </c>
      <c r="E1533" s="48" t="s">
        <v>1038</v>
      </c>
      <c r="F1533" s="48" t="s">
        <v>1039</v>
      </c>
      <c r="G1533" s="48" t="s">
        <v>1040</v>
      </c>
      <c r="H1533" s="47" t="s">
        <v>1041</v>
      </c>
      <c r="I1533" s="47" t="s">
        <v>1042</v>
      </c>
      <c r="J1533" s="47" t="s">
        <v>26</v>
      </c>
    </row>
    <row r="1534" ht="54" customHeight="1" spans="1:10">
      <c r="A1534" s="48" t="s">
        <v>451</v>
      </c>
      <c r="B1534" s="48" t="s">
        <v>2947</v>
      </c>
      <c r="C1534" s="47" t="s">
        <v>1097</v>
      </c>
      <c r="D1534" s="48" t="s">
        <v>1098</v>
      </c>
      <c r="E1534" s="48" t="s">
        <v>1099</v>
      </c>
      <c r="F1534" s="48" t="s">
        <v>1100</v>
      </c>
      <c r="G1534" s="48" t="s">
        <v>1101</v>
      </c>
      <c r="H1534" s="47" t="s">
        <v>1102</v>
      </c>
      <c r="I1534" s="47" t="s">
        <v>1103</v>
      </c>
      <c r="J1534" s="47" t="s">
        <v>26</v>
      </c>
    </row>
    <row r="1535" ht="54" customHeight="1" spans="1:10">
      <c r="A1535" s="48" t="s">
        <v>451</v>
      </c>
      <c r="B1535" s="48" t="s">
        <v>2948</v>
      </c>
      <c r="C1535" s="47" t="s">
        <v>1967</v>
      </c>
      <c r="D1535" s="48" t="s">
        <v>965</v>
      </c>
      <c r="E1535" s="48" t="s">
        <v>966</v>
      </c>
      <c r="F1535" s="48" t="s">
        <v>1968</v>
      </c>
      <c r="G1535" s="48" t="s">
        <v>1969</v>
      </c>
      <c r="H1535" s="47" t="s">
        <v>1970</v>
      </c>
      <c r="I1535" s="47" t="s">
        <v>940</v>
      </c>
      <c r="J1535" s="47" t="s">
        <v>26</v>
      </c>
    </row>
    <row r="1536" ht="54" customHeight="1" spans="1:10">
      <c r="A1536" s="48" t="s">
        <v>451</v>
      </c>
      <c r="B1536" s="48" t="s">
        <v>2949</v>
      </c>
      <c r="C1536" s="47" t="s">
        <v>1388</v>
      </c>
      <c r="D1536" s="48" t="s">
        <v>1037</v>
      </c>
      <c r="E1536" s="48" t="s">
        <v>1038</v>
      </c>
      <c r="F1536" s="48" t="s">
        <v>1389</v>
      </c>
      <c r="G1536" s="48" t="s">
        <v>1390</v>
      </c>
      <c r="H1536" s="47" t="s">
        <v>1391</v>
      </c>
      <c r="I1536" s="47" t="s">
        <v>1392</v>
      </c>
      <c r="J1536" s="47" t="s">
        <v>26</v>
      </c>
    </row>
    <row r="1537" ht="54" customHeight="1" spans="1:10">
      <c r="A1537" s="48" t="s">
        <v>451</v>
      </c>
      <c r="B1537" s="48" t="s">
        <v>2950</v>
      </c>
      <c r="C1537" s="47" t="s">
        <v>1429</v>
      </c>
      <c r="D1537" s="48" t="s">
        <v>1430</v>
      </c>
      <c r="E1537" s="48" t="s">
        <v>1431</v>
      </c>
      <c r="F1537" s="48" t="s">
        <v>1432</v>
      </c>
      <c r="G1537" s="48" t="s">
        <v>1433</v>
      </c>
      <c r="H1537" s="47" t="s">
        <v>1434</v>
      </c>
      <c r="I1537" s="47" t="s">
        <v>1435</v>
      </c>
      <c r="J1537" s="47" t="s">
        <v>26</v>
      </c>
    </row>
    <row r="1538" ht="54" customHeight="1" spans="1:10">
      <c r="A1538" s="48" t="s">
        <v>451</v>
      </c>
      <c r="B1538" s="48" t="s">
        <v>2951</v>
      </c>
      <c r="C1538" s="47" t="s">
        <v>971</v>
      </c>
      <c r="D1538" s="48" t="s">
        <v>965</v>
      </c>
      <c r="E1538" s="48" t="s">
        <v>966</v>
      </c>
      <c r="F1538" s="48" t="s">
        <v>972</v>
      </c>
      <c r="G1538" s="48" t="s">
        <v>973</v>
      </c>
      <c r="H1538" s="47" t="s">
        <v>974</v>
      </c>
      <c r="I1538" s="47" t="s">
        <v>975</v>
      </c>
      <c r="J1538" s="47" t="s">
        <v>26</v>
      </c>
    </row>
    <row r="1539" ht="54" customHeight="1" spans="1:10">
      <c r="A1539" s="48" t="s">
        <v>451</v>
      </c>
      <c r="B1539" s="48" t="s">
        <v>2952</v>
      </c>
      <c r="C1539" s="47" t="s">
        <v>1291</v>
      </c>
      <c r="D1539" s="48" t="s">
        <v>965</v>
      </c>
      <c r="E1539" s="48" t="s">
        <v>966</v>
      </c>
      <c r="F1539" s="48" t="s">
        <v>1292</v>
      </c>
      <c r="G1539" s="48" t="s">
        <v>1293</v>
      </c>
      <c r="H1539" s="47" t="s">
        <v>1294</v>
      </c>
      <c r="I1539" s="47" t="s">
        <v>1295</v>
      </c>
      <c r="J1539" s="47" t="s">
        <v>26</v>
      </c>
    </row>
    <row r="1540" ht="54" customHeight="1" spans="1:10">
      <c r="A1540" s="48" t="s">
        <v>453</v>
      </c>
      <c r="B1540" s="48" t="s">
        <v>2953</v>
      </c>
      <c r="C1540" s="47" t="s">
        <v>1516</v>
      </c>
      <c r="D1540" s="48" t="s">
        <v>1073</v>
      </c>
      <c r="E1540" s="48" t="s">
        <v>1074</v>
      </c>
      <c r="F1540" s="48" t="s">
        <v>1517</v>
      </c>
      <c r="G1540" s="48" t="s">
        <v>1518</v>
      </c>
      <c r="H1540" s="47" t="s">
        <v>1519</v>
      </c>
      <c r="I1540" s="47" t="s">
        <v>1520</v>
      </c>
      <c r="J1540" s="47" t="s">
        <v>26</v>
      </c>
    </row>
    <row r="1541" ht="54" customHeight="1" spans="1:10">
      <c r="A1541" s="48" t="s">
        <v>453</v>
      </c>
      <c r="B1541" s="48" t="s">
        <v>2954</v>
      </c>
      <c r="C1541" s="47" t="s">
        <v>934</v>
      </c>
      <c r="D1541" s="48" t="s">
        <v>935</v>
      </c>
      <c r="E1541" s="48" t="s">
        <v>936</v>
      </c>
      <c r="F1541" s="48" t="s">
        <v>937</v>
      </c>
      <c r="G1541" s="48" t="s">
        <v>938</v>
      </c>
      <c r="H1541" s="47" t="s">
        <v>939</v>
      </c>
      <c r="I1541" s="47" t="s">
        <v>940</v>
      </c>
      <c r="J1541" s="47" t="s">
        <v>26</v>
      </c>
    </row>
    <row r="1542" ht="54" customHeight="1" spans="1:10">
      <c r="A1542" s="48" t="s">
        <v>453</v>
      </c>
      <c r="B1542" s="48" t="s">
        <v>2955</v>
      </c>
      <c r="C1542" s="47" t="s">
        <v>1072</v>
      </c>
      <c r="D1542" s="48" t="s">
        <v>1073</v>
      </c>
      <c r="E1542" s="48" t="s">
        <v>1074</v>
      </c>
      <c r="F1542" s="48" t="s">
        <v>1075</v>
      </c>
      <c r="G1542" s="48" t="s">
        <v>1076</v>
      </c>
      <c r="H1542" s="47" t="s">
        <v>1077</v>
      </c>
      <c r="I1542" s="47" t="s">
        <v>1078</v>
      </c>
      <c r="J1542" s="47" t="s">
        <v>26</v>
      </c>
    </row>
    <row r="1543" ht="54" customHeight="1" spans="1:10">
      <c r="A1543" s="48" t="s">
        <v>453</v>
      </c>
      <c r="B1543" s="48" t="s">
        <v>2956</v>
      </c>
      <c r="C1543" s="47" t="s">
        <v>992</v>
      </c>
      <c r="D1543" s="48" t="s">
        <v>993</v>
      </c>
      <c r="E1543" s="48" t="s">
        <v>994</v>
      </c>
      <c r="F1543" s="48" t="s">
        <v>995</v>
      </c>
      <c r="G1543" s="48" t="s">
        <v>996</v>
      </c>
      <c r="H1543" s="47" t="s">
        <v>997</v>
      </c>
      <c r="I1543" s="47" t="s">
        <v>998</v>
      </c>
      <c r="J1543" s="47" t="s">
        <v>26</v>
      </c>
    </row>
    <row r="1544" ht="54" customHeight="1" spans="1:10">
      <c r="A1544" s="48" t="s">
        <v>453</v>
      </c>
      <c r="B1544" s="48" t="s">
        <v>2957</v>
      </c>
      <c r="C1544" s="47" t="s">
        <v>1081</v>
      </c>
      <c r="D1544" s="48" t="s">
        <v>1082</v>
      </c>
      <c r="E1544" s="48" t="s">
        <v>1083</v>
      </c>
      <c r="F1544" s="48" t="s">
        <v>1084</v>
      </c>
      <c r="G1544" s="48" t="s">
        <v>1085</v>
      </c>
      <c r="H1544" s="47" t="s">
        <v>1086</v>
      </c>
      <c r="I1544" s="47" t="s">
        <v>1087</v>
      </c>
      <c r="J1544" s="47" t="s">
        <v>26</v>
      </c>
    </row>
    <row r="1545" ht="54" customHeight="1" spans="1:10">
      <c r="A1545" s="48" t="s">
        <v>453</v>
      </c>
      <c r="B1545" s="48" t="s">
        <v>2958</v>
      </c>
      <c r="C1545" s="47" t="s">
        <v>950</v>
      </c>
      <c r="D1545" s="48" t="s">
        <v>935</v>
      </c>
      <c r="E1545" s="48" t="s">
        <v>936</v>
      </c>
      <c r="F1545" s="48" t="s">
        <v>951</v>
      </c>
      <c r="G1545" s="48" t="s">
        <v>952</v>
      </c>
      <c r="H1545" s="47" t="s">
        <v>953</v>
      </c>
      <c r="I1545" s="47" t="s">
        <v>954</v>
      </c>
      <c r="J1545" s="47" t="s">
        <v>26</v>
      </c>
    </row>
    <row r="1546" ht="54" customHeight="1" spans="1:10">
      <c r="A1546" s="48" t="s">
        <v>453</v>
      </c>
      <c r="B1546" s="48" t="s">
        <v>2959</v>
      </c>
      <c r="C1546" s="47" t="s">
        <v>1967</v>
      </c>
      <c r="D1546" s="48" t="s">
        <v>965</v>
      </c>
      <c r="E1546" s="48" t="s">
        <v>966</v>
      </c>
      <c r="F1546" s="48" t="s">
        <v>1968</v>
      </c>
      <c r="G1546" s="48" t="s">
        <v>1969</v>
      </c>
      <c r="H1546" s="47" t="s">
        <v>1970</v>
      </c>
      <c r="I1546" s="47" t="s">
        <v>940</v>
      </c>
      <c r="J1546" s="47" t="s">
        <v>26</v>
      </c>
    </row>
    <row r="1547" ht="54" customHeight="1" spans="1:10">
      <c r="A1547" s="48" t="s">
        <v>453</v>
      </c>
      <c r="B1547" s="48" t="s">
        <v>2960</v>
      </c>
      <c r="C1547" s="47" t="s">
        <v>1205</v>
      </c>
      <c r="D1547" s="48" t="s">
        <v>978</v>
      </c>
      <c r="E1547" s="48" t="s">
        <v>979</v>
      </c>
      <c r="F1547" s="48" t="s">
        <v>1206</v>
      </c>
      <c r="G1547" s="48" t="s">
        <v>1207</v>
      </c>
      <c r="H1547" s="47" t="s">
        <v>1208</v>
      </c>
      <c r="I1547" s="47" t="s">
        <v>1209</v>
      </c>
      <c r="J1547" s="47" t="s">
        <v>26</v>
      </c>
    </row>
    <row r="1548" ht="54" customHeight="1" spans="1:10">
      <c r="A1548" s="48" t="s">
        <v>455</v>
      </c>
      <c r="B1548" s="48" t="s">
        <v>2961</v>
      </c>
      <c r="C1548" s="47" t="s">
        <v>934</v>
      </c>
      <c r="D1548" s="48" t="s">
        <v>935</v>
      </c>
      <c r="E1548" s="48" t="s">
        <v>936</v>
      </c>
      <c r="F1548" s="48" t="s">
        <v>937</v>
      </c>
      <c r="G1548" s="48" t="s">
        <v>938</v>
      </c>
      <c r="H1548" s="47" t="s">
        <v>939</v>
      </c>
      <c r="I1548" s="47" t="s">
        <v>940</v>
      </c>
      <c r="J1548" s="47" t="s">
        <v>26</v>
      </c>
    </row>
    <row r="1549" ht="54" customHeight="1" spans="1:10">
      <c r="A1549" s="48" t="s">
        <v>455</v>
      </c>
      <c r="B1549" s="48" t="s">
        <v>2962</v>
      </c>
      <c r="C1549" s="47" t="s">
        <v>1337</v>
      </c>
      <c r="D1549" s="48" t="s">
        <v>1009</v>
      </c>
      <c r="E1549" s="48" t="s">
        <v>1010</v>
      </c>
      <c r="F1549" s="48" t="s">
        <v>1338</v>
      </c>
      <c r="G1549" s="48" t="s">
        <v>1339</v>
      </c>
      <c r="H1549" s="47" t="s">
        <v>1340</v>
      </c>
      <c r="I1549" s="47" t="s">
        <v>1341</v>
      </c>
      <c r="J1549" s="47" t="s">
        <v>26</v>
      </c>
    </row>
    <row r="1550" ht="54" customHeight="1" spans="1:10">
      <c r="A1550" s="48" t="s">
        <v>455</v>
      </c>
      <c r="B1550" s="48" t="s">
        <v>2963</v>
      </c>
      <c r="C1550" s="47" t="s">
        <v>950</v>
      </c>
      <c r="D1550" s="48" t="s">
        <v>935</v>
      </c>
      <c r="E1550" s="48" t="s">
        <v>936</v>
      </c>
      <c r="F1550" s="48" t="s">
        <v>951</v>
      </c>
      <c r="G1550" s="48" t="s">
        <v>952</v>
      </c>
      <c r="H1550" s="47" t="s">
        <v>953</v>
      </c>
      <c r="I1550" s="47" t="s">
        <v>954</v>
      </c>
      <c r="J1550" s="47" t="s">
        <v>26</v>
      </c>
    </row>
    <row r="1551" ht="54" customHeight="1" spans="1:10">
      <c r="A1551" s="48" t="s">
        <v>455</v>
      </c>
      <c r="B1551" s="48" t="s">
        <v>2964</v>
      </c>
      <c r="C1551" s="47" t="s">
        <v>1252</v>
      </c>
      <c r="D1551" s="48" t="s">
        <v>1001</v>
      </c>
      <c r="E1551" s="48" t="s">
        <v>1002</v>
      </c>
      <c r="F1551" s="48" t="s">
        <v>1253</v>
      </c>
      <c r="G1551" s="48" t="s">
        <v>1254</v>
      </c>
      <c r="H1551" s="47" t="s">
        <v>1255</v>
      </c>
      <c r="I1551" s="47" t="s">
        <v>1256</v>
      </c>
      <c r="J1551" s="47" t="s">
        <v>26</v>
      </c>
    </row>
    <row r="1552" ht="54" customHeight="1" spans="1:10">
      <c r="A1552" s="48" t="s">
        <v>455</v>
      </c>
      <c r="B1552" s="48" t="s">
        <v>2965</v>
      </c>
      <c r="C1552" s="47" t="s">
        <v>1291</v>
      </c>
      <c r="D1552" s="48" t="s">
        <v>965</v>
      </c>
      <c r="E1552" s="48" t="s">
        <v>966</v>
      </c>
      <c r="F1552" s="48" t="s">
        <v>1292</v>
      </c>
      <c r="G1552" s="48" t="s">
        <v>1293</v>
      </c>
      <c r="H1552" s="47" t="s">
        <v>1294</v>
      </c>
      <c r="I1552" s="47" t="s">
        <v>1295</v>
      </c>
      <c r="J1552" s="47" t="s">
        <v>26</v>
      </c>
    </row>
    <row r="1553" ht="54" customHeight="1" spans="1:10">
      <c r="A1553" s="48" t="s">
        <v>455</v>
      </c>
      <c r="B1553" s="48" t="s">
        <v>2966</v>
      </c>
      <c r="C1553" s="47" t="s">
        <v>1356</v>
      </c>
      <c r="D1553" s="48" t="s">
        <v>1082</v>
      </c>
      <c r="E1553" s="48" t="s">
        <v>1083</v>
      </c>
      <c r="F1553" s="48" t="s">
        <v>1357</v>
      </c>
      <c r="G1553" s="48" t="s">
        <v>1358</v>
      </c>
      <c r="H1553" s="47" t="s">
        <v>1359</v>
      </c>
      <c r="I1553" s="47" t="s">
        <v>1360</v>
      </c>
      <c r="J1553" s="47" t="s">
        <v>26</v>
      </c>
    </row>
    <row r="1554" ht="54" customHeight="1" spans="1:10">
      <c r="A1554" s="48" t="s">
        <v>455</v>
      </c>
      <c r="B1554" s="48" t="s">
        <v>2967</v>
      </c>
      <c r="C1554" s="47" t="s">
        <v>1216</v>
      </c>
      <c r="D1554" s="48" t="s">
        <v>993</v>
      </c>
      <c r="E1554" s="48" t="s">
        <v>994</v>
      </c>
      <c r="F1554" s="48" t="s">
        <v>1217</v>
      </c>
      <c r="G1554" s="48" t="s">
        <v>1218</v>
      </c>
      <c r="H1554" s="47" t="s">
        <v>1219</v>
      </c>
      <c r="I1554" s="47" t="s">
        <v>1220</v>
      </c>
      <c r="J1554" s="47" t="s">
        <v>26</v>
      </c>
    </row>
    <row r="1555" ht="54" customHeight="1" spans="1:10">
      <c r="A1555" s="48" t="s">
        <v>455</v>
      </c>
      <c r="B1555" s="48" t="s">
        <v>2968</v>
      </c>
      <c r="C1555" s="47" t="s">
        <v>1164</v>
      </c>
      <c r="D1555" s="48" t="s">
        <v>978</v>
      </c>
      <c r="E1555" s="48" t="s">
        <v>979</v>
      </c>
      <c r="F1555" s="48" t="s">
        <v>1165</v>
      </c>
      <c r="G1555" s="48" t="s">
        <v>1166</v>
      </c>
      <c r="H1555" s="47" t="s">
        <v>1167</v>
      </c>
      <c r="I1555" s="47" t="s">
        <v>1168</v>
      </c>
      <c r="J1555" s="47" t="s">
        <v>26</v>
      </c>
    </row>
    <row r="1556" ht="54" customHeight="1" spans="1:10">
      <c r="A1556" s="48" t="s">
        <v>457</v>
      </c>
      <c r="B1556" s="48" t="s">
        <v>2969</v>
      </c>
      <c r="C1556" s="47" t="s">
        <v>1516</v>
      </c>
      <c r="D1556" s="48" t="s">
        <v>1073</v>
      </c>
      <c r="E1556" s="48" t="s">
        <v>1074</v>
      </c>
      <c r="F1556" s="48" t="s">
        <v>1517</v>
      </c>
      <c r="G1556" s="48" t="s">
        <v>1518</v>
      </c>
      <c r="H1556" s="47" t="s">
        <v>1519</v>
      </c>
      <c r="I1556" s="47" t="s">
        <v>1520</v>
      </c>
      <c r="J1556" s="47" t="s">
        <v>26</v>
      </c>
    </row>
    <row r="1557" ht="54" customHeight="1" spans="1:10">
      <c r="A1557" s="48" t="s">
        <v>457</v>
      </c>
      <c r="B1557" s="48" t="s">
        <v>2970</v>
      </c>
      <c r="C1557" s="47" t="s">
        <v>1066</v>
      </c>
      <c r="D1557" s="48" t="s">
        <v>935</v>
      </c>
      <c r="E1557" s="48" t="s">
        <v>936</v>
      </c>
      <c r="F1557" s="48" t="s">
        <v>1067</v>
      </c>
      <c r="G1557" s="48" t="s">
        <v>1068</v>
      </c>
      <c r="H1557" s="47" t="s">
        <v>1069</v>
      </c>
      <c r="I1557" s="47" t="s">
        <v>940</v>
      </c>
      <c r="J1557" s="47" t="s">
        <v>26</v>
      </c>
    </row>
    <row r="1558" ht="54" customHeight="1" spans="1:10">
      <c r="A1558" s="48" t="s">
        <v>457</v>
      </c>
      <c r="B1558" s="48" t="s">
        <v>2971</v>
      </c>
      <c r="C1558" s="47" t="s">
        <v>971</v>
      </c>
      <c r="D1558" s="48" t="s">
        <v>965</v>
      </c>
      <c r="E1558" s="48" t="s">
        <v>966</v>
      </c>
      <c r="F1558" s="48" t="s">
        <v>972</v>
      </c>
      <c r="G1558" s="48" t="s">
        <v>973</v>
      </c>
      <c r="H1558" s="47" t="s">
        <v>974</v>
      </c>
      <c r="I1558" s="47" t="s">
        <v>975</v>
      </c>
      <c r="J1558" s="47" t="s">
        <v>26</v>
      </c>
    </row>
    <row r="1559" ht="54" customHeight="1" spans="1:10">
      <c r="A1559" s="48" t="s">
        <v>457</v>
      </c>
      <c r="B1559" s="48" t="s">
        <v>2972</v>
      </c>
      <c r="C1559" s="47" t="s">
        <v>1291</v>
      </c>
      <c r="D1559" s="48" t="s">
        <v>965</v>
      </c>
      <c r="E1559" s="48" t="s">
        <v>966</v>
      </c>
      <c r="F1559" s="48" t="s">
        <v>1292</v>
      </c>
      <c r="G1559" s="48" t="s">
        <v>1293</v>
      </c>
      <c r="H1559" s="47" t="s">
        <v>1294</v>
      </c>
      <c r="I1559" s="47" t="s">
        <v>1295</v>
      </c>
      <c r="J1559" s="47" t="s">
        <v>26</v>
      </c>
    </row>
    <row r="1560" ht="54" customHeight="1" spans="1:10">
      <c r="A1560" s="48" t="s">
        <v>459</v>
      </c>
      <c r="B1560" s="48" t="s">
        <v>2973</v>
      </c>
      <c r="C1560" s="47" t="s">
        <v>1058</v>
      </c>
      <c r="D1560" s="48" t="s">
        <v>1059</v>
      </c>
      <c r="E1560" s="48" t="s">
        <v>1060</v>
      </c>
      <c r="F1560" s="48" t="s">
        <v>1061</v>
      </c>
      <c r="G1560" s="48" t="s">
        <v>1062</v>
      </c>
      <c r="H1560" s="47" t="s">
        <v>1063</v>
      </c>
      <c r="I1560" s="47" t="s">
        <v>1064</v>
      </c>
      <c r="J1560" s="47" t="s">
        <v>26</v>
      </c>
    </row>
    <row r="1561" ht="54" customHeight="1" spans="1:10">
      <c r="A1561" s="48" t="s">
        <v>459</v>
      </c>
      <c r="B1561" s="48" t="s">
        <v>2974</v>
      </c>
      <c r="C1561" s="47" t="s">
        <v>1137</v>
      </c>
      <c r="D1561" s="48" t="s">
        <v>1138</v>
      </c>
      <c r="E1561" s="48" t="s">
        <v>1139</v>
      </c>
      <c r="F1561" s="48" t="s">
        <v>1140</v>
      </c>
      <c r="G1561" s="48" t="s">
        <v>1141</v>
      </c>
      <c r="H1561" s="47" t="s">
        <v>1142</v>
      </c>
      <c r="I1561" s="47" t="s">
        <v>940</v>
      </c>
      <c r="J1561" s="47" t="s">
        <v>26</v>
      </c>
    </row>
    <row r="1562" ht="54" customHeight="1" spans="1:10">
      <c r="A1562" s="48" t="s">
        <v>459</v>
      </c>
      <c r="B1562" s="48" t="s">
        <v>2975</v>
      </c>
      <c r="C1562" s="47" t="s">
        <v>971</v>
      </c>
      <c r="D1562" s="48" t="s">
        <v>965</v>
      </c>
      <c r="E1562" s="48" t="s">
        <v>966</v>
      </c>
      <c r="F1562" s="48" t="s">
        <v>972</v>
      </c>
      <c r="G1562" s="48" t="s">
        <v>973</v>
      </c>
      <c r="H1562" s="47" t="s">
        <v>974</v>
      </c>
      <c r="I1562" s="47" t="s">
        <v>975</v>
      </c>
      <c r="J1562" s="47" t="s">
        <v>26</v>
      </c>
    </row>
    <row r="1563" ht="54" customHeight="1" spans="1:10">
      <c r="A1563" s="48" t="s">
        <v>459</v>
      </c>
      <c r="B1563" s="48" t="s">
        <v>2976</v>
      </c>
      <c r="C1563" s="47" t="s">
        <v>1216</v>
      </c>
      <c r="D1563" s="48" t="s">
        <v>993</v>
      </c>
      <c r="E1563" s="48" t="s">
        <v>994</v>
      </c>
      <c r="F1563" s="48" t="s">
        <v>1217</v>
      </c>
      <c r="G1563" s="48" t="s">
        <v>1218</v>
      </c>
      <c r="H1563" s="47" t="s">
        <v>1219</v>
      </c>
      <c r="I1563" s="47" t="s">
        <v>1220</v>
      </c>
      <c r="J1563" s="47" t="s">
        <v>26</v>
      </c>
    </row>
    <row r="1564" ht="54" customHeight="1" spans="1:10">
      <c r="A1564" s="48" t="s">
        <v>461</v>
      </c>
      <c r="B1564" s="48" t="s">
        <v>2977</v>
      </c>
      <c r="C1564" s="47" t="s">
        <v>2074</v>
      </c>
      <c r="D1564" s="48" t="s">
        <v>1029</v>
      </c>
      <c r="E1564" s="48" t="s">
        <v>1030</v>
      </c>
      <c r="F1564" s="48" t="s">
        <v>2075</v>
      </c>
      <c r="G1564" s="48" t="s">
        <v>2076</v>
      </c>
      <c r="H1564" s="47" t="s">
        <v>2077</v>
      </c>
      <c r="I1564" s="47" t="s">
        <v>2078</v>
      </c>
      <c r="J1564" s="47" t="s">
        <v>29</v>
      </c>
    </row>
    <row r="1565" ht="54" customHeight="1" spans="1:10">
      <c r="A1565" s="48" t="s">
        <v>461</v>
      </c>
      <c r="B1565" s="48" t="s">
        <v>2978</v>
      </c>
      <c r="C1565" s="47" t="s">
        <v>1016</v>
      </c>
      <c r="D1565" s="48" t="s">
        <v>935</v>
      </c>
      <c r="E1565" s="48" t="s">
        <v>936</v>
      </c>
      <c r="F1565" s="48" t="s">
        <v>1017</v>
      </c>
      <c r="G1565" s="48" t="s">
        <v>1018</v>
      </c>
      <c r="H1565" s="47" t="s">
        <v>1019</v>
      </c>
      <c r="I1565" s="47" t="s">
        <v>1020</v>
      </c>
      <c r="J1565" s="47" t="s">
        <v>29</v>
      </c>
    </row>
    <row r="1566" ht="54" customHeight="1" spans="1:10">
      <c r="A1566" s="48" t="s">
        <v>461</v>
      </c>
      <c r="B1566" s="48" t="s">
        <v>2979</v>
      </c>
      <c r="C1566" s="47" t="s">
        <v>1022</v>
      </c>
      <c r="D1566" s="48" t="s">
        <v>957</v>
      </c>
      <c r="E1566" s="48" t="s">
        <v>958</v>
      </c>
      <c r="F1566" s="48" t="s">
        <v>1023</v>
      </c>
      <c r="G1566" s="48" t="s">
        <v>1024</v>
      </c>
      <c r="H1566" s="47" t="s">
        <v>1025</v>
      </c>
      <c r="I1566" s="47" t="s">
        <v>1026</v>
      </c>
      <c r="J1566" s="47" t="s">
        <v>29</v>
      </c>
    </row>
    <row r="1567" ht="54" customHeight="1" spans="1:10">
      <c r="A1567" s="48" t="s">
        <v>461</v>
      </c>
      <c r="B1567" s="48" t="s">
        <v>2980</v>
      </c>
      <c r="C1567" s="47" t="s">
        <v>1089</v>
      </c>
      <c r="D1567" s="48" t="s">
        <v>957</v>
      </c>
      <c r="E1567" s="48" t="s">
        <v>958</v>
      </c>
      <c r="F1567" s="48" t="s">
        <v>1090</v>
      </c>
      <c r="G1567" s="48" t="s">
        <v>1091</v>
      </c>
      <c r="H1567" s="47" t="s">
        <v>1092</v>
      </c>
      <c r="I1567" s="47" t="s">
        <v>1093</v>
      </c>
      <c r="J1567" s="47" t="s">
        <v>29</v>
      </c>
    </row>
    <row r="1568" ht="54" customHeight="1" spans="1:10">
      <c r="A1568" s="48" t="s">
        <v>461</v>
      </c>
      <c r="B1568" s="48" t="s">
        <v>2981</v>
      </c>
      <c r="C1568" s="47" t="s">
        <v>956</v>
      </c>
      <c r="D1568" s="48" t="s">
        <v>957</v>
      </c>
      <c r="E1568" s="48" t="s">
        <v>958</v>
      </c>
      <c r="F1568" s="48" t="s">
        <v>959</v>
      </c>
      <c r="G1568" s="48" t="s">
        <v>960</v>
      </c>
      <c r="H1568" s="47" t="s">
        <v>961</v>
      </c>
      <c r="I1568" s="47" t="s">
        <v>962</v>
      </c>
      <c r="J1568" s="47" t="s">
        <v>29</v>
      </c>
    </row>
    <row r="1569" ht="54" customHeight="1" spans="1:10">
      <c r="A1569" s="48" t="s">
        <v>461</v>
      </c>
      <c r="B1569" s="48" t="s">
        <v>2982</v>
      </c>
      <c r="C1569" s="47" t="s">
        <v>1105</v>
      </c>
      <c r="D1569" s="48" t="s">
        <v>1009</v>
      </c>
      <c r="E1569" s="48" t="s">
        <v>1010</v>
      </c>
      <c r="F1569" s="48" t="s">
        <v>1106</v>
      </c>
      <c r="G1569" s="48" t="s">
        <v>1107</v>
      </c>
      <c r="H1569" s="47" t="s">
        <v>1108</v>
      </c>
      <c r="I1569" s="47" t="s">
        <v>1109</v>
      </c>
      <c r="J1569" s="47" t="s">
        <v>29</v>
      </c>
    </row>
    <row r="1570" ht="54" customHeight="1" spans="1:10">
      <c r="A1570" s="48" t="s">
        <v>461</v>
      </c>
      <c r="B1570" s="48" t="s">
        <v>2983</v>
      </c>
      <c r="C1570" s="47" t="s">
        <v>1767</v>
      </c>
      <c r="D1570" s="48" t="s">
        <v>957</v>
      </c>
      <c r="E1570" s="48" t="s">
        <v>958</v>
      </c>
      <c r="F1570" s="48" t="s">
        <v>1768</v>
      </c>
      <c r="G1570" s="48" t="s">
        <v>1769</v>
      </c>
      <c r="H1570" s="47" t="s">
        <v>1770</v>
      </c>
      <c r="I1570" s="47" t="s">
        <v>1771</v>
      </c>
      <c r="J1570" s="47" t="s">
        <v>29</v>
      </c>
    </row>
    <row r="1571" ht="54" customHeight="1" spans="1:10">
      <c r="A1571" s="48" t="s">
        <v>461</v>
      </c>
      <c r="B1571" s="48" t="s">
        <v>2984</v>
      </c>
      <c r="C1571" s="47" t="s">
        <v>1052</v>
      </c>
      <c r="D1571" s="48" t="s">
        <v>1009</v>
      </c>
      <c r="E1571" s="48" t="s">
        <v>1010</v>
      </c>
      <c r="F1571" s="48" t="s">
        <v>1053</v>
      </c>
      <c r="G1571" s="48" t="s">
        <v>1054</v>
      </c>
      <c r="H1571" s="47" t="s">
        <v>1055</v>
      </c>
      <c r="I1571" s="47" t="s">
        <v>1056</v>
      </c>
      <c r="J1571" s="47" t="s">
        <v>29</v>
      </c>
    </row>
    <row r="1572" ht="54" customHeight="1" spans="1:10">
      <c r="A1572" s="48" t="s">
        <v>461</v>
      </c>
      <c r="B1572" s="48" t="s">
        <v>2985</v>
      </c>
      <c r="C1572" s="47" t="s">
        <v>1097</v>
      </c>
      <c r="D1572" s="48" t="s">
        <v>1098</v>
      </c>
      <c r="E1572" s="48" t="s">
        <v>1099</v>
      </c>
      <c r="F1572" s="48" t="s">
        <v>1100</v>
      </c>
      <c r="G1572" s="48" t="s">
        <v>1101</v>
      </c>
      <c r="H1572" s="47" t="s">
        <v>1102</v>
      </c>
      <c r="I1572" s="47" t="s">
        <v>1103</v>
      </c>
      <c r="J1572" s="47" t="s">
        <v>29</v>
      </c>
    </row>
    <row r="1573" ht="54" customHeight="1" spans="1:10">
      <c r="A1573" s="48" t="s">
        <v>461</v>
      </c>
      <c r="B1573" s="48" t="s">
        <v>2986</v>
      </c>
      <c r="C1573" s="47" t="s">
        <v>1666</v>
      </c>
      <c r="D1573" s="48" t="s">
        <v>1082</v>
      </c>
      <c r="E1573" s="48" t="s">
        <v>1083</v>
      </c>
      <c r="F1573" s="48" t="s">
        <v>1667</v>
      </c>
      <c r="G1573" s="48" t="s">
        <v>1668</v>
      </c>
      <c r="H1573" s="47" t="s">
        <v>1669</v>
      </c>
      <c r="I1573" s="47" t="s">
        <v>1670</v>
      </c>
      <c r="J1573" s="47" t="s">
        <v>29</v>
      </c>
    </row>
    <row r="1574" ht="54" customHeight="1" spans="1:10">
      <c r="A1574" s="48" t="s">
        <v>463</v>
      </c>
      <c r="B1574" s="48" t="s">
        <v>2987</v>
      </c>
      <c r="C1574" s="47" t="s">
        <v>985</v>
      </c>
      <c r="D1574" s="48" t="s">
        <v>986</v>
      </c>
      <c r="E1574" s="48" t="s">
        <v>987</v>
      </c>
      <c r="F1574" s="48" t="s">
        <v>988</v>
      </c>
      <c r="G1574" s="48" t="s">
        <v>987</v>
      </c>
      <c r="H1574" s="47" t="s">
        <v>989</v>
      </c>
      <c r="I1574" s="47" t="s">
        <v>990</v>
      </c>
      <c r="J1574" s="47" t="s">
        <v>26</v>
      </c>
    </row>
    <row r="1575" ht="54" customHeight="1" spans="1:10">
      <c r="A1575" s="48" t="s">
        <v>463</v>
      </c>
      <c r="B1575" s="48" t="s">
        <v>2988</v>
      </c>
      <c r="C1575" s="47" t="s">
        <v>1505</v>
      </c>
      <c r="D1575" s="48" t="s">
        <v>1506</v>
      </c>
      <c r="E1575" s="48" t="s">
        <v>1507</v>
      </c>
      <c r="F1575" s="48" t="s">
        <v>1508</v>
      </c>
      <c r="G1575" s="48" t="s">
        <v>1507</v>
      </c>
      <c r="H1575" s="47" t="s">
        <v>1509</v>
      </c>
      <c r="I1575" s="47" t="s">
        <v>1510</v>
      </c>
      <c r="J1575" s="47" t="s">
        <v>26</v>
      </c>
    </row>
    <row r="1576" ht="54" customHeight="1" spans="1:10">
      <c r="A1576" s="48" t="s">
        <v>463</v>
      </c>
      <c r="B1576" s="48" t="s">
        <v>2989</v>
      </c>
      <c r="C1576" s="47" t="s">
        <v>2074</v>
      </c>
      <c r="D1576" s="48" t="s">
        <v>1029</v>
      </c>
      <c r="E1576" s="48" t="s">
        <v>1030</v>
      </c>
      <c r="F1576" s="48" t="s">
        <v>2075</v>
      </c>
      <c r="G1576" s="48" t="s">
        <v>2076</v>
      </c>
      <c r="H1576" s="47" t="s">
        <v>2077</v>
      </c>
      <c r="I1576" s="47" t="s">
        <v>2078</v>
      </c>
      <c r="J1576" s="47" t="s">
        <v>26</v>
      </c>
    </row>
    <row r="1577" ht="54" customHeight="1" spans="1:10">
      <c r="A1577" s="48" t="s">
        <v>463</v>
      </c>
      <c r="B1577" s="48" t="s">
        <v>2990</v>
      </c>
      <c r="C1577" s="47" t="s">
        <v>992</v>
      </c>
      <c r="D1577" s="48" t="s">
        <v>993</v>
      </c>
      <c r="E1577" s="48" t="s">
        <v>994</v>
      </c>
      <c r="F1577" s="48" t="s">
        <v>995</v>
      </c>
      <c r="G1577" s="48" t="s">
        <v>996</v>
      </c>
      <c r="H1577" s="47" t="s">
        <v>997</v>
      </c>
      <c r="I1577" s="47" t="s">
        <v>998</v>
      </c>
      <c r="J1577" s="47" t="s">
        <v>26</v>
      </c>
    </row>
    <row r="1578" ht="54" customHeight="1" spans="1:10">
      <c r="A1578" s="48" t="s">
        <v>463</v>
      </c>
      <c r="B1578" s="48" t="s">
        <v>2991</v>
      </c>
      <c r="C1578" s="47" t="s">
        <v>1008</v>
      </c>
      <c r="D1578" s="48" t="s">
        <v>1009</v>
      </c>
      <c r="E1578" s="48" t="s">
        <v>1010</v>
      </c>
      <c r="F1578" s="48" t="s">
        <v>1011</v>
      </c>
      <c r="G1578" s="48" t="s">
        <v>1012</v>
      </c>
      <c r="H1578" s="47" t="s">
        <v>1013</v>
      </c>
      <c r="I1578" s="47" t="s">
        <v>1014</v>
      </c>
      <c r="J1578" s="47" t="s">
        <v>26</v>
      </c>
    </row>
    <row r="1579" ht="54" customHeight="1" spans="1:10">
      <c r="A1579" s="48" t="s">
        <v>463</v>
      </c>
      <c r="B1579" s="48" t="s">
        <v>2992</v>
      </c>
      <c r="C1579" s="47" t="s">
        <v>1016</v>
      </c>
      <c r="D1579" s="48" t="s">
        <v>935</v>
      </c>
      <c r="E1579" s="48" t="s">
        <v>936</v>
      </c>
      <c r="F1579" s="48" t="s">
        <v>1017</v>
      </c>
      <c r="G1579" s="48" t="s">
        <v>1018</v>
      </c>
      <c r="H1579" s="47" t="s">
        <v>1019</v>
      </c>
      <c r="I1579" s="47" t="s">
        <v>1020</v>
      </c>
      <c r="J1579" s="47" t="s">
        <v>26</v>
      </c>
    </row>
    <row r="1580" ht="54" customHeight="1" spans="1:10">
      <c r="A1580" s="48" t="s">
        <v>463</v>
      </c>
      <c r="B1580" s="48" t="s">
        <v>2993</v>
      </c>
      <c r="C1580" s="47" t="s">
        <v>1022</v>
      </c>
      <c r="D1580" s="48" t="s">
        <v>957</v>
      </c>
      <c r="E1580" s="48" t="s">
        <v>958</v>
      </c>
      <c r="F1580" s="48" t="s">
        <v>1023</v>
      </c>
      <c r="G1580" s="48" t="s">
        <v>1024</v>
      </c>
      <c r="H1580" s="47" t="s">
        <v>1025</v>
      </c>
      <c r="I1580" s="47" t="s">
        <v>1026</v>
      </c>
      <c r="J1580" s="47" t="s">
        <v>26</v>
      </c>
    </row>
    <row r="1581" ht="54" customHeight="1" spans="1:10">
      <c r="A1581" s="48" t="s">
        <v>463</v>
      </c>
      <c r="B1581" s="48" t="s">
        <v>2994</v>
      </c>
      <c r="C1581" s="47" t="s">
        <v>1028</v>
      </c>
      <c r="D1581" s="48" t="s">
        <v>1029</v>
      </c>
      <c r="E1581" s="48" t="s">
        <v>1030</v>
      </c>
      <c r="F1581" s="48" t="s">
        <v>1031</v>
      </c>
      <c r="G1581" s="48" t="s">
        <v>1032</v>
      </c>
      <c r="H1581" s="47" t="s">
        <v>1033</v>
      </c>
      <c r="I1581" s="47" t="s">
        <v>1034</v>
      </c>
      <c r="J1581" s="47" t="s">
        <v>26</v>
      </c>
    </row>
    <row r="1582" ht="54" customHeight="1" spans="1:10">
      <c r="A1582" s="48" t="s">
        <v>463</v>
      </c>
      <c r="B1582" s="48" t="s">
        <v>2995</v>
      </c>
      <c r="C1582" s="47" t="s">
        <v>1081</v>
      </c>
      <c r="D1582" s="48" t="s">
        <v>1082</v>
      </c>
      <c r="E1582" s="48" t="s">
        <v>1083</v>
      </c>
      <c r="F1582" s="48" t="s">
        <v>1084</v>
      </c>
      <c r="G1582" s="48" t="s">
        <v>1085</v>
      </c>
      <c r="H1582" s="47" t="s">
        <v>1086</v>
      </c>
      <c r="I1582" s="47" t="s">
        <v>1087</v>
      </c>
      <c r="J1582" s="47" t="s">
        <v>26</v>
      </c>
    </row>
    <row r="1583" ht="54" customHeight="1" spans="1:10">
      <c r="A1583" s="48" t="s">
        <v>463</v>
      </c>
      <c r="B1583" s="48" t="s">
        <v>2996</v>
      </c>
      <c r="C1583" s="47" t="s">
        <v>956</v>
      </c>
      <c r="D1583" s="48" t="s">
        <v>957</v>
      </c>
      <c r="E1583" s="48" t="s">
        <v>958</v>
      </c>
      <c r="F1583" s="48" t="s">
        <v>959</v>
      </c>
      <c r="G1583" s="48" t="s">
        <v>960</v>
      </c>
      <c r="H1583" s="47" t="s">
        <v>961</v>
      </c>
      <c r="I1583" s="47" t="s">
        <v>962</v>
      </c>
      <c r="J1583" s="47" t="s">
        <v>26</v>
      </c>
    </row>
    <row r="1584" ht="54" customHeight="1" spans="1:10">
      <c r="A1584" s="48" t="s">
        <v>463</v>
      </c>
      <c r="B1584" s="48" t="s">
        <v>2997</v>
      </c>
      <c r="C1584" s="47" t="s">
        <v>1362</v>
      </c>
      <c r="D1584" s="48" t="s">
        <v>1059</v>
      </c>
      <c r="E1584" s="48" t="s">
        <v>1060</v>
      </c>
      <c r="F1584" s="48" t="s">
        <v>1363</v>
      </c>
      <c r="G1584" s="48" t="s">
        <v>1364</v>
      </c>
      <c r="H1584" s="47" t="s">
        <v>1365</v>
      </c>
      <c r="I1584" s="47" t="s">
        <v>1366</v>
      </c>
      <c r="J1584" s="47" t="s">
        <v>26</v>
      </c>
    </row>
    <row r="1585" ht="54" customHeight="1" spans="1:10">
      <c r="A1585" s="48" t="s">
        <v>463</v>
      </c>
      <c r="B1585" s="48" t="s">
        <v>2998</v>
      </c>
      <c r="C1585" s="47" t="s">
        <v>1044</v>
      </c>
      <c r="D1585" s="48" t="s">
        <v>1045</v>
      </c>
      <c r="E1585" s="48" t="s">
        <v>1046</v>
      </c>
      <c r="F1585" s="48" t="s">
        <v>1047</v>
      </c>
      <c r="G1585" s="48" t="s">
        <v>1048</v>
      </c>
      <c r="H1585" s="47" t="s">
        <v>1049</v>
      </c>
      <c r="I1585" s="47" t="s">
        <v>1050</v>
      </c>
      <c r="J1585" s="47" t="s">
        <v>26</v>
      </c>
    </row>
    <row r="1586" ht="54" customHeight="1" spans="1:10">
      <c r="A1586" s="48" t="s">
        <v>465</v>
      </c>
      <c r="B1586" s="48" t="s">
        <v>2999</v>
      </c>
      <c r="C1586" s="47" t="s">
        <v>1505</v>
      </c>
      <c r="D1586" s="48" t="s">
        <v>1506</v>
      </c>
      <c r="E1586" s="48" t="s">
        <v>1507</v>
      </c>
      <c r="F1586" s="48" t="s">
        <v>1508</v>
      </c>
      <c r="G1586" s="48" t="s">
        <v>1507</v>
      </c>
      <c r="H1586" s="47" t="s">
        <v>1509</v>
      </c>
      <c r="I1586" s="47" t="s">
        <v>1510</v>
      </c>
      <c r="J1586" s="47" t="s">
        <v>26</v>
      </c>
    </row>
    <row r="1587" ht="54" customHeight="1" spans="1:10">
      <c r="A1587" s="48" t="s">
        <v>465</v>
      </c>
      <c r="B1587" s="48" t="s">
        <v>3000</v>
      </c>
      <c r="C1587" s="47" t="s">
        <v>2074</v>
      </c>
      <c r="D1587" s="48" t="s">
        <v>1029</v>
      </c>
      <c r="E1587" s="48" t="s">
        <v>1030</v>
      </c>
      <c r="F1587" s="48" t="s">
        <v>2075</v>
      </c>
      <c r="G1587" s="48" t="s">
        <v>2076</v>
      </c>
      <c r="H1587" s="47" t="s">
        <v>2077</v>
      </c>
      <c r="I1587" s="47" t="s">
        <v>2078</v>
      </c>
      <c r="J1587" s="47" t="s">
        <v>26</v>
      </c>
    </row>
    <row r="1588" ht="54" customHeight="1" spans="1:10">
      <c r="A1588" s="48" t="s">
        <v>465</v>
      </c>
      <c r="B1588" s="48" t="s">
        <v>3001</v>
      </c>
      <c r="C1588" s="47" t="s">
        <v>1421</v>
      </c>
      <c r="D1588" s="48" t="s">
        <v>1422</v>
      </c>
      <c r="E1588" s="48" t="s">
        <v>1423</v>
      </c>
      <c r="F1588" s="48" t="s">
        <v>1424</v>
      </c>
      <c r="G1588" s="48" t="s">
        <v>1423</v>
      </c>
      <c r="H1588" s="47" t="s">
        <v>1425</v>
      </c>
      <c r="I1588" s="47" t="s">
        <v>1426</v>
      </c>
      <c r="J1588" s="47" t="s">
        <v>26</v>
      </c>
    </row>
    <row r="1589" ht="54" customHeight="1" spans="1:10">
      <c r="A1589" s="48" t="s">
        <v>465</v>
      </c>
      <c r="B1589" s="48" t="s">
        <v>3002</v>
      </c>
      <c r="C1589" s="47" t="s">
        <v>1008</v>
      </c>
      <c r="D1589" s="48" t="s">
        <v>1009</v>
      </c>
      <c r="E1589" s="48" t="s">
        <v>1010</v>
      </c>
      <c r="F1589" s="48" t="s">
        <v>1011</v>
      </c>
      <c r="G1589" s="48" t="s">
        <v>1012</v>
      </c>
      <c r="H1589" s="47" t="s">
        <v>1013</v>
      </c>
      <c r="I1589" s="47" t="s">
        <v>1014</v>
      </c>
      <c r="J1589" s="47" t="s">
        <v>26</v>
      </c>
    </row>
    <row r="1590" ht="54" customHeight="1" spans="1:10">
      <c r="A1590" s="48" t="s">
        <v>465</v>
      </c>
      <c r="B1590" s="48" t="s">
        <v>3003</v>
      </c>
      <c r="C1590" s="47" t="s">
        <v>1480</v>
      </c>
      <c r="D1590" s="48" t="s">
        <v>1001</v>
      </c>
      <c r="E1590" s="48" t="s">
        <v>1002</v>
      </c>
      <c r="F1590" s="48" t="s">
        <v>1481</v>
      </c>
      <c r="G1590" s="48" t="s">
        <v>1482</v>
      </c>
      <c r="H1590" s="47" t="s">
        <v>1483</v>
      </c>
      <c r="I1590" s="47" t="s">
        <v>1484</v>
      </c>
      <c r="J1590" s="47" t="s">
        <v>26</v>
      </c>
    </row>
    <row r="1591" ht="54" customHeight="1" spans="1:10">
      <c r="A1591" s="48" t="s">
        <v>465</v>
      </c>
      <c r="B1591" s="48" t="s">
        <v>3004</v>
      </c>
      <c r="C1591" s="47" t="s">
        <v>1022</v>
      </c>
      <c r="D1591" s="48" t="s">
        <v>957</v>
      </c>
      <c r="E1591" s="48" t="s">
        <v>958</v>
      </c>
      <c r="F1591" s="48" t="s">
        <v>1023</v>
      </c>
      <c r="G1591" s="48" t="s">
        <v>1024</v>
      </c>
      <c r="H1591" s="47" t="s">
        <v>1025</v>
      </c>
      <c r="I1591" s="47" t="s">
        <v>1026</v>
      </c>
      <c r="J1591" s="47" t="s">
        <v>26</v>
      </c>
    </row>
    <row r="1592" ht="54" customHeight="1" spans="1:10">
      <c r="A1592" s="48" t="s">
        <v>465</v>
      </c>
      <c r="B1592" s="48" t="s">
        <v>3005</v>
      </c>
      <c r="C1592" s="47" t="s">
        <v>956</v>
      </c>
      <c r="D1592" s="48" t="s">
        <v>957</v>
      </c>
      <c r="E1592" s="48" t="s">
        <v>958</v>
      </c>
      <c r="F1592" s="48" t="s">
        <v>959</v>
      </c>
      <c r="G1592" s="48" t="s">
        <v>960</v>
      </c>
      <c r="H1592" s="47" t="s">
        <v>961</v>
      </c>
      <c r="I1592" s="47" t="s">
        <v>962</v>
      </c>
      <c r="J1592" s="47" t="s">
        <v>26</v>
      </c>
    </row>
    <row r="1593" ht="54" customHeight="1" spans="1:10">
      <c r="A1593" s="48" t="s">
        <v>465</v>
      </c>
      <c r="B1593" s="48" t="s">
        <v>3006</v>
      </c>
      <c r="C1593" s="47" t="s">
        <v>1362</v>
      </c>
      <c r="D1593" s="48" t="s">
        <v>1059</v>
      </c>
      <c r="E1593" s="48" t="s">
        <v>1060</v>
      </c>
      <c r="F1593" s="48" t="s">
        <v>1363</v>
      </c>
      <c r="G1593" s="48" t="s">
        <v>1364</v>
      </c>
      <c r="H1593" s="47" t="s">
        <v>1365</v>
      </c>
      <c r="I1593" s="47" t="s">
        <v>1366</v>
      </c>
      <c r="J1593" s="47" t="s">
        <v>26</v>
      </c>
    </row>
    <row r="1594" ht="54" customHeight="1" spans="1:10">
      <c r="A1594" s="48" t="s">
        <v>465</v>
      </c>
      <c r="B1594" s="48" t="s">
        <v>3007</v>
      </c>
      <c r="C1594" s="47" t="s">
        <v>1105</v>
      </c>
      <c r="D1594" s="48" t="s">
        <v>1009</v>
      </c>
      <c r="E1594" s="48" t="s">
        <v>1010</v>
      </c>
      <c r="F1594" s="48" t="s">
        <v>1106</v>
      </c>
      <c r="G1594" s="48" t="s">
        <v>1107</v>
      </c>
      <c r="H1594" s="47" t="s">
        <v>1108</v>
      </c>
      <c r="I1594" s="47" t="s">
        <v>1109</v>
      </c>
      <c r="J1594" s="47" t="s">
        <v>26</v>
      </c>
    </row>
    <row r="1595" ht="54" customHeight="1" spans="1:10">
      <c r="A1595" s="48" t="s">
        <v>465</v>
      </c>
      <c r="B1595" s="48" t="s">
        <v>3008</v>
      </c>
      <c r="C1595" s="47" t="s">
        <v>1036</v>
      </c>
      <c r="D1595" s="48" t="s">
        <v>1037</v>
      </c>
      <c r="E1595" s="48" t="s">
        <v>1038</v>
      </c>
      <c r="F1595" s="48" t="s">
        <v>1039</v>
      </c>
      <c r="G1595" s="48" t="s">
        <v>1040</v>
      </c>
      <c r="H1595" s="47" t="s">
        <v>1041</v>
      </c>
      <c r="I1595" s="47" t="s">
        <v>1042</v>
      </c>
      <c r="J1595" s="47" t="s">
        <v>26</v>
      </c>
    </row>
    <row r="1596" ht="54" customHeight="1" spans="1:10">
      <c r="A1596" s="48" t="s">
        <v>467</v>
      </c>
      <c r="B1596" s="48" t="s">
        <v>3009</v>
      </c>
      <c r="C1596" s="47" t="s">
        <v>934</v>
      </c>
      <c r="D1596" s="48" t="s">
        <v>935</v>
      </c>
      <c r="E1596" s="48" t="s">
        <v>936</v>
      </c>
      <c r="F1596" s="48" t="s">
        <v>937</v>
      </c>
      <c r="G1596" s="48" t="s">
        <v>938</v>
      </c>
      <c r="H1596" s="47" t="s">
        <v>939</v>
      </c>
      <c r="I1596" s="47" t="s">
        <v>940</v>
      </c>
      <c r="J1596" s="47" t="s">
        <v>26</v>
      </c>
    </row>
    <row r="1597" ht="54" customHeight="1" spans="1:10">
      <c r="A1597" s="48" t="s">
        <v>467</v>
      </c>
      <c r="B1597" s="48" t="s">
        <v>3010</v>
      </c>
      <c r="C1597" s="47" t="s">
        <v>1072</v>
      </c>
      <c r="D1597" s="48" t="s">
        <v>1073</v>
      </c>
      <c r="E1597" s="48" t="s">
        <v>1074</v>
      </c>
      <c r="F1597" s="48" t="s">
        <v>1075</v>
      </c>
      <c r="G1597" s="48" t="s">
        <v>1076</v>
      </c>
      <c r="H1597" s="47" t="s">
        <v>1077</v>
      </c>
      <c r="I1597" s="47" t="s">
        <v>1078</v>
      </c>
      <c r="J1597" s="47" t="s">
        <v>26</v>
      </c>
    </row>
    <row r="1598" ht="54" customHeight="1" spans="1:10">
      <c r="A1598" s="48" t="s">
        <v>467</v>
      </c>
      <c r="B1598" s="48" t="s">
        <v>3011</v>
      </c>
      <c r="C1598" s="47" t="s">
        <v>992</v>
      </c>
      <c r="D1598" s="48" t="s">
        <v>993</v>
      </c>
      <c r="E1598" s="48" t="s">
        <v>994</v>
      </c>
      <c r="F1598" s="48" t="s">
        <v>995</v>
      </c>
      <c r="G1598" s="48" t="s">
        <v>996</v>
      </c>
      <c r="H1598" s="47" t="s">
        <v>997</v>
      </c>
      <c r="I1598" s="47" t="s">
        <v>998</v>
      </c>
      <c r="J1598" s="47" t="s">
        <v>26</v>
      </c>
    </row>
    <row r="1599" ht="54" customHeight="1" spans="1:10">
      <c r="A1599" s="48" t="s">
        <v>467</v>
      </c>
      <c r="B1599" s="48" t="s">
        <v>3012</v>
      </c>
      <c r="C1599" s="47" t="s">
        <v>950</v>
      </c>
      <c r="D1599" s="48" t="s">
        <v>935</v>
      </c>
      <c r="E1599" s="48" t="s">
        <v>936</v>
      </c>
      <c r="F1599" s="48" t="s">
        <v>951</v>
      </c>
      <c r="G1599" s="48" t="s">
        <v>952</v>
      </c>
      <c r="H1599" s="47" t="s">
        <v>953</v>
      </c>
      <c r="I1599" s="47" t="s">
        <v>954</v>
      </c>
      <c r="J1599" s="47" t="s">
        <v>26</v>
      </c>
    </row>
    <row r="1600" ht="54" customHeight="1" spans="1:10">
      <c r="A1600" s="48" t="s">
        <v>467</v>
      </c>
      <c r="B1600" s="48" t="s">
        <v>3013</v>
      </c>
      <c r="C1600" s="47" t="s">
        <v>1058</v>
      </c>
      <c r="D1600" s="48" t="s">
        <v>1059</v>
      </c>
      <c r="E1600" s="48" t="s">
        <v>1060</v>
      </c>
      <c r="F1600" s="48" t="s">
        <v>1061</v>
      </c>
      <c r="G1600" s="48" t="s">
        <v>1062</v>
      </c>
      <c r="H1600" s="47" t="s">
        <v>1063</v>
      </c>
      <c r="I1600" s="47" t="s">
        <v>1064</v>
      </c>
      <c r="J1600" s="47" t="s">
        <v>26</v>
      </c>
    </row>
    <row r="1601" ht="54" customHeight="1" spans="1:10">
      <c r="A1601" s="48" t="s">
        <v>467</v>
      </c>
      <c r="B1601" s="48" t="s">
        <v>3014</v>
      </c>
      <c r="C1601" s="47" t="s">
        <v>1666</v>
      </c>
      <c r="D1601" s="48" t="s">
        <v>1082</v>
      </c>
      <c r="E1601" s="48" t="s">
        <v>1083</v>
      </c>
      <c r="F1601" s="48" t="s">
        <v>1667</v>
      </c>
      <c r="G1601" s="48" t="s">
        <v>1668</v>
      </c>
      <c r="H1601" s="47" t="s">
        <v>1669</v>
      </c>
      <c r="I1601" s="47" t="s">
        <v>1670</v>
      </c>
      <c r="J1601" s="47" t="s">
        <v>26</v>
      </c>
    </row>
    <row r="1602" ht="54" customHeight="1" spans="1:10">
      <c r="A1602" s="48" t="s">
        <v>467</v>
      </c>
      <c r="B1602" s="48" t="s">
        <v>3015</v>
      </c>
      <c r="C1602" s="47" t="s">
        <v>1117</v>
      </c>
      <c r="D1602" s="48" t="s">
        <v>1118</v>
      </c>
      <c r="E1602" s="48" t="s">
        <v>1119</v>
      </c>
      <c r="F1602" s="48" t="s">
        <v>1120</v>
      </c>
      <c r="G1602" s="48" t="s">
        <v>1121</v>
      </c>
      <c r="H1602" s="47" t="s">
        <v>1122</v>
      </c>
      <c r="I1602" s="47" t="s">
        <v>1123</v>
      </c>
      <c r="J1602" s="47" t="s">
        <v>26</v>
      </c>
    </row>
    <row r="1603" ht="54" customHeight="1" spans="1:10">
      <c r="A1603" s="48" t="s">
        <v>467</v>
      </c>
      <c r="B1603" s="48" t="s">
        <v>3016</v>
      </c>
      <c r="C1603" s="47" t="s">
        <v>977</v>
      </c>
      <c r="D1603" s="48" t="s">
        <v>978</v>
      </c>
      <c r="E1603" s="48" t="s">
        <v>979</v>
      </c>
      <c r="F1603" s="48" t="s">
        <v>980</v>
      </c>
      <c r="G1603" s="48" t="s">
        <v>981</v>
      </c>
      <c r="H1603" s="47" t="s">
        <v>982</v>
      </c>
      <c r="I1603" s="47" t="s">
        <v>983</v>
      </c>
      <c r="J1603" s="47" t="s">
        <v>26</v>
      </c>
    </row>
    <row r="1604" ht="54" customHeight="1" spans="1:10">
      <c r="A1604" s="48" t="s">
        <v>467</v>
      </c>
      <c r="B1604" s="48" t="s">
        <v>3017</v>
      </c>
      <c r="C1604" s="47" t="s">
        <v>1159</v>
      </c>
      <c r="D1604" s="48" t="s">
        <v>1146</v>
      </c>
      <c r="E1604" s="48" t="s">
        <v>1147</v>
      </c>
      <c r="F1604" s="48" t="s">
        <v>1160</v>
      </c>
      <c r="G1604" s="48" t="s">
        <v>1161</v>
      </c>
      <c r="H1604" s="47" t="s">
        <v>1162</v>
      </c>
      <c r="I1604" s="47" t="s">
        <v>1151</v>
      </c>
      <c r="J1604" s="47" t="s">
        <v>26</v>
      </c>
    </row>
    <row r="1605" ht="54" customHeight="1" spans="1:10">
      <c r="A1605" s="48" t="s">
        <v>467</v>
      </c>
      <c r="B1605" s="48" t="s">
        <v>3018</v>
      </c>
      <c r="C1605" s="47" t="s">
        <v>1245</v>
      </c>
      <c r="D1605" s="48" t="s">
        <v>1171</v>
      </c>
      <c r="E1605" s="48" t="s">
        <v>1172</v>
      </c>
      <c r="F1605" s="48" t="s">
        <v>1246</v>
      </c>
      <c r="G1605" s="48" t="s">
        <v>1247</v>
      </c>
      <c r="H1605" s="47" t="s">
        <v>1248</v>
      </c>
      <c r="I1605" s="47" t="s">
        <v>1176</v>
      </c>
      <c r="J1605" s="47" t="s">
        <v>26</v>
      </c>
    </row>
    <row r="1606" ht="54" customHeight="1" spans="1:10">
      <c r="A1606" s="48" t="s">
        <v>469</v>
      </c>
      <c r="B1606" s="48" t="s">
        <v>3019</v>
      </c>
      <c r="C1606" s="47" t="s">
        <v>971</v>
      </c>
      <c r="D1606" s="48" t="s">
        <v>965</v>
      </c>
      <c r="E1606" s="48" t="s">
        <v>966</v>
      </c>
      <c r="F1606" s="48" t="s">
        <v>972</v>
      </c>
      <c r="G1606" s="48" t="s">
        <v>973</v>
      </c>
      <c r="H1606" s="47" t="s">
        <v>974</v>
      </c>
      <c r="I1606" s="47" t="s">
        <v>975</v>
      </c>
      <c r="J1606" s="47" t="s">
        <v>26</v>
      </c>
    </row>
    <row r="1607" ht="54" customHeight="1" spans="1:10">
      <c r="A1607" s="48" t="s">
        <v>469</v>
      </c>
      <c r="B1607" s="48" t="s">
        <v>3020</v>
      </c>
      <c r="C1607" s="47" t="s">
        <v>1216</v>
      </c>
      <c r="D1607" s="48" t="s">
        <v>993</v>
      </c>
      <c r="E1607" s="48" t="s">
        <v>994</v>
      </c>
      <c r="F1607" s="48" t="s">
        <v>1217</v>
      </c>
      <c r="G1607" s="48" t="s">
        <v>1218</v>
      </c>
      <c r="H1607" s="47" t="s">
        <v>1219</v>
      </c>
      <c r="I1607" s="47" t="s">
        <v>1220</v>
      </c>
      <c r="J1607" s="47" t="s">
        <v>26</v>
      </c>
    </row>
    <row r="1608" ht="54" customHeight="1" spans="1:10">
      <c r="A1608" s="48" t="s">
        <v>471</v>
      </c>
      <c r="B1608" s="48" t="s">
        <v>3021</v>
      </c>
      <c r="C1608" s="47" t="s">
        <v>934</v>
      </c>
      <c r="D1608" s="48" t="s">
        <v>935</v>
      </c>
      <c r="E1608" s="48" t="s">
        <v>936</v>
      </c>
      <c r="F1608" s="48" t="s">
        <v>937</v>
      </c>
      <c r="G1608" s="48" t="s">
        <v>938</v>
      </c>
      <c r="H1608" s="47" t="s">
        <v>939</v>
      </c>
      <c r="I1608" s="47" t="s">
        <v>940</v>
      </c>
      <c r="J1608" s="47" t="s">
        <v>26</v>
      </c>
    </row>
    <row r="1609" ht="54" customHeight="1" spans="1:10">
      <c r="A1609" s="48" t="s">
        <v>471</v>
      </c>
      <c r="B1609" s="48" t="s">
        <v>3022</v>
      </c>
      <c r="C1609" s="47" t="s">
        <v>1072</v>
      </c>
      <c r="D1609" s="48" t="s">
        <v>1073</v>
      </c>
      <c r="E1609" s="48" t="s">
        <v>1074</v>
      </c>
      <c r="F1609" s="48" t="s">
        <v>1075</v>
      </c>
      <c r="G1609" s="48" t="s">
        <v>1076</v>
      </c>
      <c r="H1609" s="47" t="s">
        <v>1077</v>
      </c>
      <c r="I1609" s="47" t="s">
        <v>1078</v>
      </c>
      <c r="J1609" s="47" t="s">
        <v>26</v>
      </c>
    </row>
    <row r="1610" ht="54" customHeight="1" spans="1:10">
      <c r="A1610" s="48" t="s">
        <v>471</v>
      </c>
      <c r="B1610" s="48" t="s">
        <v>3023</v>
      </c>
      <c r="C1610" s="47" t="s">
        <v>1681</v>
      </c>
      <c r="D1610" s="48" t="s">
        <v>943</v>
      </c>
      <c r="E1610" s="48" t="s">
        <v>944</v>
      </c>
      <c r="F1610" s="48" t="s">
        <v>1682</v>
      </c>
      <c r="G1610" s="48" t="s">
        <v>1683</v>
      </c>
      <c r="H1610" s="47" t="s">
        <v>1684</v>
      </c>
      <c r="I1610" s="47" t="s">
        <v>1685</v>
      </c>
      <c r="J1610" s="47" t="s">
        <v>26</v>
      </c>
    </row>
    <row r="1611" ht="54" customHeight="1" spans="1:10">
      <c r="A1611" s="48" t="s">
        <v>471</v>
      </c>
      <c r="B1611" s="48" t="s">
        <v>3024</v>
      </c>
      <c r="C1611" s="47" t="s">
        <v>950</v>
      </c>
      <c r="D1611" s="48" t="s">
        <v>935</v>
      </c>
      <c r="E1611" s="48" t="s">
        <v>936</v>
      </c>
      <c r="F1611" s="48" t="s">
        <v>951</v>
      </c>
      <c r="G1611" s="48" t="s">
        <v>952</v>
      </c>
      <c r="H1611" s="47" t="s">
        <v>953</v>
      </c>
      <c r="I1611" s="47" t="s">
        <v>954</v>
      </c>
      <c r="J1611" s="47" t="s">
        <v>26</v>
      </c>
    </row>
    <row r="1612" ht="54" customHeight="1" spans="1:10">
      <c r="A1612" s="48" t="s">
        <v>471</v>
      </c>
      <c r="B1612" s="48" t="s">
        <v>3025</v>
      </c>
      <c r="C1612" s="47" t="s">
        <v>1066</v>
      </c>
      <c r="D1612" s="48" t="s">
        <v>935</v>
      </c>
      <c r="E1612" s="48" t="s">
        <v>936</v>
      </c>
      <c r="F1612" s="48" t="s">
        <v>1067</v>
      </c>
      <c r="G1612" s="48" t="s">
        <v>1068</v>
      </c>
      <c r="H1612" s="47" t="s">
        <v>1069</v>
      </c>
      <c r="I1612" s="47" t="s">
        <v>940</v>
      </c>
      <c r="J1612" s="47" t="s">
        <v>26</v>
      </c>
    </row>
    <row r="1613" ht="54" customHeight="1" spans="1:10">
      <c r="A1613" s="48" t="s">
        <v>471</v>
      </c>
      <c r="B1613" s="48" t="s">
        <v>3026</v>
      </c>
      <c r="C1613" s="47" t="s">
        <v>1388</v>
      </c>
      <c r="D1613" s="48" t="s">
        <v>1037</v>
      </c>
      <c r="E1613" s="48" t="s">
        <v>1038</v>
      </c>
      <c r="F1613" s="48" t="s">
        <v>1389</v>
      </c>
      <c r="G1613" s="48" t="s">
        <v>1390</v>
      </c>
      <c r="H1613" s="47" t="s">
        <v>1391</v>
      </c>
      <c r="I1613" s="47" t="s">
        <v>1392</v>
      </c>
      <c r="J1613" s="47" t="s">
        <v>26</v>
      </c>
    </row>
    <row r="1614" ht="54" customHeight="1" spans="1:10">
      <c r="A1614" s="48" t="s">
        <v>471</v>
      </c>
      <c r="B1614" s="48" t="s">
        <v>3027</v>
      </c>
      <c r="C1614" s="47" t="s">
        <v>1313</v>
      </c>
      <c r="D1614" s="48" t="s">
        <v>1037</v>
      </c>
      <c r="E1614" s="48" t="s">
        <v>1038</v>
      </c>
      <c r="F1614" s="48" t="s">
        <v>1314</v>
      </c>
      <c r="G1614" s="48" t="s">
        <v>1315</v>
      </c>
      <c r="H1614" s="47" t="s">
        <v>1316</v>
      </c>
      <c r="I1614" s="47" t="s">
        <v>1317</v>
      </c>
      <c r="J1614" s="47" t="s">
        <v>26</v>
      </c>
    </row>
    <row r="1615" ht="54" customHeight="1" spans="1:10">
      <c r="A1615" s="48" t="s">
        <v>471</v>
      </c>
      <c r="B1615" s="48" t="s">
        <v>3028</v>
      </c>
      <c r="C1615" s="47" t="s">
        <v>1216</v>
      </c>
      <c r="D1615" s="48" t="s">
        <v>993</v>
      </c>
      <c r="E1615" s="48" t="s">
        <v>994</v>
      </c>
      <c r="F1615" s="48" t="s">
        <v>1217</v>
      </c>
      <c r="G1615" s="48" t="s">
        <v>1218</v>
      </c>
      <c r="H1615" s="47" t="s">
        <v>1219</v>
      </c>
      <c r="I1615" s="47" t="s">
        <v>1220</v>
      </c>
      <c r="J1615" s="47" t="s">
        <v>26</v>
      </c>
    </row>
    <row r="1616" ht="54" customHeight="1" spans="1:10">
      <c r="A1616" s="48" t="s">
        <v>471</v>
      </c>
      <c r="B1616" s="48" t="s">
        <v>3029</v>
      </c>
      <c r="C1616" s="47" t="s">
        <v>1245</v>
      </c>
      <c r="D1616" s="48" t="s">
        <v>1171</v>
      </c>
      <c r="E1616" s="48" t="s">
        <v>1172</v>
      </c>
      <c r="F1616" s="48" t="s">
        <v>1246</v>
      </c>
      <c r="G1616" s="48" t="s">
        <v>1247</v>
      </c>
      <c r="H1616" s="47" t="s">
        <v>1248</v>
      </c>
      <c r="I1616" s="47" t="s">
        <v>1176</v>
      </c>
      <c r="J1616" s="47" t="s">
        <v>26</v>
      </c>
    </row>
    <row r="1617" ht="54" customHeight="1" spans="1:10">
      <c r="A1617" s="48" t="s">
        <v>473</v>
      </c>
      <c r="B1617" s="48" t="s">
        <v>3030</v>
      </c>
      <c r="C1617" s="47" t="s">
        <v>934</v>
      </c>
      <c r="D1617" s="48" t="s">
        <v>935</v>
      </c>
      <c r="E1617" s="48" t="s">
        <v>936</v>
      </c>
      <c r="F1617" s="48" t="s">
        <v>937</v>
      </c>
      <c r="G1617" s="48" t="s">
        <v>938</v>
      </c>
      <c r="H1617" s="47" t="s">
        <v>939</v>
      </c>
      <c r="I1617" s="47" t="s">
        <v>940</v>
      </c>
      <c r="J1617" s="47" t="s">
        <v>26</v>
      </c>
    </row>
    <row r="1618" ht="54" customHeight="1" spans="1:10">
      <c r="A1618" s="48" t="s">
        <v>473</v>
      </c>
      <c r="B1618" s="48" t="s">
        <v>3031</v>
      </c>
      <c r="C1618" s="47" t="s">
        <v>1681</v>
      </c>
      <c r="D1618" s="48" t="s">
        <v>943</v>
      </c>
      <c r="E1618" s="48" t="s">
        <v>944</v>
      </c>
      <c r="F1618" s="48" t="s">
        <v>1682</v>
      </c>
      <c r="G1618" s="48" t="s">
        <v>1683</v>
      </c>
      <c r="H1618" s="47" t="s">
        <v>1684</v>
      </c>
      <c r="I1618" s="47" t="s">
        <v>1685</v>
      </c>
      <c r="J1618" s="47" t="s">
        <v>26</v>
      </c>
    </row>
    <row r="1619" ht="54" customHeight="1" spans="1:10">
      <c r="A1619" s="48" t="s">
        <v>473</v>
      </c>
      <c r="B1619" s="48" t="s">
        <v>3032</v>
      </c>
      <c r="C1619" s="47" t="s">
        <v>950</v>
      </c>
      <c r="D1619" s="48" t="s">
        <v>935</v>
      </c>
      <c r="E1619" s="48" t="s">
        <v>936</v>
      </c>
      <c r="F1619" s="48" t="s">
        <v>951</v>
      </c>
      <c r="G1619" s="48" t="s">
        <v>952</v>
      </c>
      <c r="H1619" s="47" t="s">
        <v>953</v>
      </c>
      <c r="I1619" s="47" t="s">
        <v>954</v>
      </c>
      <c r="J1619" s="47" t="s">
        <v>26</v>
      </c>
    </row>
    <row r="1620" ht="54" customHeight="1" spans="1:10">
      <c r="A1620" s="48" t="s">
        <v>473</v>
      </c>
      <c r="B1620" s="48" t="s">
        <v>3033</v>
      </c>
      <c r="C1620" s="47" t="s">
        <v>1216</v>
      </c>
      <c r="D1620" s="48" t="s">
        <v>993</v>
      </c>
      <c r="E1620" s="48" t="s">
        <v>994</v>
      </c>
      <c r="F1620" s="48" t="s">
        <v>1217</v>
      </c>
      <c r="G1620" s="48" t="s">
        <v>1218</v>
      </c>
      <c r="H1620" s="47" t="s">
        <v>1219</v>
      </c>
      <c r="I1620" s="47" t="s">
        <v>1220</v>
      </c>
      <c r="J1620" s="47" t="s">
        <v>26</v>
      </c>
    </row>
    <row r="1621" ht="54" customHeight="1" spans="1:10">
      <c r="A1621" s="48" t="s">
        <v>475</v>
      </c>
      <c r="B1621" s="48" t="s">
        <v>3034</v>
      </c>
      <c r="C1621" s="47" t="s">
        <v>1421</v>
      </c>
      <c r="D1621" s="48" t="s">
        <v>1422</v>
      </c>
      <c r="E1621" s="48" t="s">
        <v>1423</v>
      </c>
      <c r="F1621" s="48" t="s">
        <v>1424</v>
      </c>
      <c r="G1621" s="48" t="s">
        <v>1423</v>
      </c>
      <c r="H1621" s="47" t="s">
        <v>1425</v>
      </c>
      <c r="I1621" s="47" t="s">
        <v>1426</v>
      </c>
      <c r="J1621" s="47" t="s">
        <v>26</v>
      </c>
    </row>
    <row r="1622" ht="54" customHeight="1" spans="1:10">
      <c r="A1622" s="48" t="s">
        <v>475</v>
      </c>
      <c r="B1622" s="48" t="s">
        <v>3035</v>
      </c>
      <c r="C1622" s="47" t="s">
        <v>942</v>
      </c>
      <c r="D1622" s="48" t="s">
        <v>943</v>
      </c>
      <c r="E1622" s="48" t="s">
        <v>944</v>
      </c>
      <c r="F1622" s="48" t="s">
        <v>945</v>
      </c>
      <c r="G1622" s="48" t="s">
        <v>946</v>
      </c>
      <c r="H1622" s="47" t="s">
        <v>947</v>
      </c>
      <c r="I1622" s="47" t="s">
        <v>948</v>
      </c>
      <c r="J1622" s="47" t="s">
        <v>26</v>
      </c>
    </row>
    <row r="1623" ht="54" customHeight="1" spans="1:10">
      <c r="A1623" s="48" t="s">
        <v>475</v>
      </c>
      <c r="B1623" s="48" t="s">
        <v>3036</v>
      </c>
      <c r="C1623" s="47" t="s">
        <v>1480</v>
      </c>
      <c r="D1623" s="48" t="s">
        <v>1001</v>
      </c>
      <c r="E1623" s="48" t="s">
        <v>1002</v>
      </c>
      <c r="F1623" s="48" t="s">
        <v>1481</v>
      </c>
      <c r="G1623" s="48" t="s">
        <v>1482</v>
      </c>
      <c r="H1623" s="47" t="s">
        <v>1483</v>
      </c>
      <c r="I1623" s="47" t="s">
        <v>1484</v>
      </c>
      <c r="J1623" s="47" t="s">
        <v>26</v>
      </c>
    </row>
    <row r="1624" ht="54" customHeight="1" spans="1:10">
      <c r="A1624" s="48" t="s">
        <v>475</v>
      </c>
      <c r="B1624" s="48" t="s">
        <v>3037</v>
      </c>
      <c r="C1624" s="47" t="s">
        <v>1226</v>
      </c>
      <c r="D1624" s="48" t="s">
        <v>965</v>
      </c>
      <c r="E1624" s="48" t="s">
        <v>966</v>
      </c>
      <c r="F1624" s="48" t="s">
        <v>1227</v>
      </c>
      <c r="G1624" s="48" t="s">
        <v>1228</v>
      </c>
      <c r="H1624" s="47" t="s">
        <v>1229</v>
      </c>
      <c r="I1624" s="47" t="s">
        <v>940</v>
      </c>
      <c r="J1624" s="47" t="s">
        <v>26</v>
      </c>
    </row>
    <row r="1625" ht="54" customHeight="1" spans="1:10">
      <c r="A1625" s="48" t="s">
        <v>477</v>
      </c>
      <c r="B1625" s="48" t="s">
        <v>3038</v>
      </c>
      <c r="C1625" s="47" t="s">
        <v>1036</v>
      </c>
      <c r="D1625" s="48" t="s">
        <v>1037</v>
      </c>
      <c r="E1625" s="48" t="s">
        <v>1038</v>
      </c>
      <c r="F1625" s="48" t="s">
        <v>1039</v>
      </c>
      <c r="G1625" s="48" t="s">
        <v>1040</v>
      </c>
      <c r="H1625" s="47" t="s">
        <v>1041</v>
      </c>
      <c r="I1625" s="47" t="s">
        <v>1042</v>
      </c>
      <c r="J1625" s="47" t="s">
        <v>26</v>
      </c>
    </row>
    <row r="1626" ht="54" customHeight="1" spans="1:10">
      <c r="A1626" s="48" t="s">
        <v>477</v>
      </c>
      <c r="B1626" s="48" t="s">
        <v>3039</v>
      </c>
      <c r="C1626" s="47" t="s">
        <v>1927</v>
      </c>
      <c r="D1626" s="48" t="s">
        <v>1400</v>
      </c>
      <c r="E1626" s="48" t="s">
        <v>1401</v>
      </c>
      <c r="F1626" s="48" t="s">
        <v>1928</v>
      </c>
      <c r="G1626" s="48" t="s">
        <v>1929</v>
      </c>
      <c r="H1626" s="47" t="s">
        <v>1930</v>
      </c>
      <c r="I1626" s="47" t="s">
        <v>1931</v>
      </c>
      <c r="J1626" s="47" t="s">
        <v>26</v>
      </c>
    </row>
    <row r="1627" ht="54" customHeight="1" spans="1:10">
      <c r="A1627" s="48" t="s">
        <v>479</v>
      </c>
      <c r="B1627" s="48" t="s">
        <v>3040</v>
      </c>
      <c r="C1627" s="47" t="s">
        <v>1975</v>
      </c>
      <c r="D1627" s="48" t="s">
        <v>1009</v>
      </c>
      <c r="E1627" s="48" t="s">
        <v>1010</v>
      </c>
      <c r="F1627" s="48" t="s">
        <v>1976</v>
      </c>
      <c r="G1627" s="48" t="s">
        <v>1977</v>
      </c>
      <c r="H1627" s="47" t="s">
        <v>1978</v>
      </c>
      <c r="I1627" s="47" t="s">
        <v>1979</v>
      </c>
      <c r="J1627" s="47" t="s">
        <v>26</v>
      </c>
    </row>
    <row r="1628" ht="54" customHeight="1" spans="1:10">
      <c r="A1628" s="48" t="s">
        <v>479</v>
      </c>
      <c r="B1628" s="48" t="s">
        <v>3041</v>
      </c>
      <c r="C1628" s="47" t="s">
        <v>1016</v>
      </c>
      <c r="D1628" s="48" t="s">
        <v>935</v>
      </c>
      <c r="E1628" s="48" t="s">
        <v>936</v>
      </c>
      <c r="F1628" s="48" t="s">
        <v>1017</v>
      </c>
      <c r="G1628" s="48" t="s">
        <v>1018</v>
      </c>
      <c r="H1628" s="47" t="s">
        <v>1019</v>
      </c>
      <c r="I1628" s="47" t="s">
        <v>1020</v>
      </c>
      <c r="J1628" s="47" t="s">
        <v>26</v>
      </c>
    </row>
    <row r="1629" ht="54" customHeight="1" spans="1:10">
      <c r="A1629" s="48" t="s">
        <v>479</v>
      </c>
      <c r="B1629" s="48" t="s">
        <v>3042</v>
      </c>
      <c r="C1629" s="47" t="s">
        <v>1058</v>
      </c>
      <c r="D1629" s="48" t="s">
        <v>1059</v>
      </c>
      <c r="E1629" s="48" t="s">
        <v>1060</v>
      </c>
      <c r="F1629" s="48" t="s">
        <v>1061</v>
      </c>
      <c r="G1629" s="48" t="s">
        <v>1062</v>
      </c>
      <c r="H1629" s="47" t="s">
        <v>1063</v>
      </c>
      <c r="I1629" s="47" t="s">
        <v>1064</v>
      </c>
      <c r="J1629" s="47" t="s">
        <v>26</v>
      </c>
    </row>
    <row r="1630" ht="54" customHeight="1" spans="1:10">
      <c r="A1630" s="48" t="s">
        <v>479</v>
      </c>
      <c r="B1630" s="48" t="s">
        <v>3043</v>
      </c>
      <c r="C1630" s="47" t="s">
        <v>1348</v>
      </c>
      <c r="D1630" s="48" t="s">
        <v>1082</v>
      </c>
      <c r="E1630" s="48" t="s">
        <v>1083</v>
      </c>
      <c r="F1630" s="48" t="s">
        <v>1349</v>
      </c>
      <c r="G1630" s="48" t="s">
        <v>1350</v>
      </c>
      <c r="H1630" s="47" t="s">
        <v>1351</v>
      </c>
      <c r="I1630" s="47" t="s">
        <v>1352</v>
      </c>
      <c r="J1630" s="47" t="s">
        <v>26</v>
      </c>
    </row>
    <row r="1631" ht="54" customHeight="1" spans="1:10">
      <c r="A1631" s="48" t="s">
        <v>479</v>
      </c>
      <c r="B1631" s="48" t="s">
        <v>3044</v>
      </c>
      <c r="C1631" s="47" t="s">
        <v>1285</v>
      </c>
      <c r="D1631" s="48" t="s">
        <v>965</v>
      </c>
      <c r="E1631" s="48" t="s">
        <v>966</v>
      </c>
      <c r="F1631" s="48" t="s">
        <v>1286</v>
      </c>
      <c r="G1631" s="48" t="s">
        <v>1287</v>
      </c>
      <c r="H1631" s="47" t="s">
        <v>1288</v>
      </c>
      <c r="I1631" s="47" t="s">
        <v>1289</v>
      </c>
      <c r="J1631" s="47" t="s">
        <v>26</v>
      </c>
    </row>
    <row r="1632" ht="54" customHeight="1" spans="1:10">
      <c r="A1632" s="48" t="s">
        <v>479</v>
      </c>
      <c r="B1632" s="48" t="s">
        <v>3045</v>
      </c>
      <c r="C1632" s="47" t="s">
        <v>971</v>
      </c>
      <c r="D1632" s="48" t="s">
        <v>965</v>
      </c>
      <c r="E1632" s="48" t="s">
        <v>966</v>
      </c>
      <c r="F1632" s="48" t="s">
        <v>972</v>
      </c>
      <c r="G1632" s="48" t="s">
        <v>973</v>
      </c>
      <c r="H1632" s="47" t="s">
        <v>974</v>
      </c>
      <c r="I1632" s="47" t="s">
        <v>975</v>
      </c>
      <c r="J1632" s="47" t="s">
        <v>26</v>
      </c>
    </row>
    <row r="1633" ht="54" customHeight="1" spans="1:10">
      <c r="A1633" s="48" t="s">
        <v>479</v>
      </c>
      <c r="B1633" s="48" t="s">
        <v>3046</v>
      </c>
      <c r="C1633" s="47" t="s">
        <v>1291</v>
      </c>
      <c r="D1633" s="48" t="s">
        <v>965</v>
      </c>
      <c r="E1633" s="48" t="s">
        <v>966</v>
      </c>
      <c r="F1633" s="48" t="s">
        <v>1292</v>
      </c>
      <c r="G1633" s="48" t="s">
        <v>1293</v>
      </c>
      <c r="H1633" s="47" t="s">
        <v>1294</v>
      </c>
      <c r="I1633" s="47" t="s">
        <v>1295</v>
      </c>
      <c r="J1633" s="47" t="s">
        <v>26</v>
      </c>
    </row>
    <row r="1634" ht="54" customHeight="1" spans="1:10">
      <c r="A1634" s="48" t="s">
        <v>479</v>
      </c>
      <c r="B1634" s="48" t="s">
        <v>3047</v>
      </c>
      <c r="C1634" s="47" t="s">
        <v>977</v>
      </c>
      <c r="D1634" s="48" t="s">
        <v>978</v>
      </c>
      <c r="E1634" s="48" t="s">
        <v>979</v>
      </c>
      <c r="F1634" s="48" t="s">
        <v>980</v>
      </c>
      <c r="G1634" s="48" t="s">
        <v>981</v>
      </c>
      <c r="H1634" s="47" t="s">
        <v>982</v>
      </c>
      <c r="I1634" s="47" t="s">
        <v>983</v>
      </c>
      <c r="J1634" s="47" t="s">
        <v>26</v>
      </c>
    </row>
    <row r="1635" ht="54" customHeight="1" spans="1:10">
      <c r="A1635" s="48" t="s">
        <v>481</v>
      </c>
      <c r="B1635" s="48" t="s">
        <v>3048</v>
      </c>
      <c r="C1635" s="47" t="s">
        <v>2797</v>
      </c>
      <c r="D1635" s="48" t="s">
        <v>1073</v>
      </c>
      <c r="E1635" s="48" t="s">
        <v>1074</v>
      </c>
      <c r="F1635" s="48" t="s">
        <v>2798</v>
      </c>
      <c r="G1635" s="48" t="s">
        <v>2799</v>
      </c>
      <c r="H1635" s="47" t="s">
        <v>2800</v>
      </c>
      <c r="I1635" s="47" t="s">
        <v>2801</v>
      </c>
      <c r="J1635" s="47" t="s">
        <v>26</v>
      </c>
    </row>
    <row r="1636" ht="54" customHeight="1" spans="1:10">
      <c r="A1636" s="48" t="s">
        <v>481</v>
      </c>
      <c r="B1636" s="48" t="s">
        <v>3049</v>
      </c>
      <c r="C1636" s="47" t="s">
        <v>934</v>
      </c>
      <c r="D1636" s="48" t="s">
        <v>935</v>
      </c>
      <c r="E1636" s="48" t="s">
        <v>936</v>
      </c>
      <c r="F1636" s="48" t="s">
        <v>937</v>
      </c>
      <c r="G1636" s="48" t="s">
        <v>938</v>
      </c>
      <c r="H1636" s="47" t="s">
        <v>939</v>
      </c>
      <c r="I1636" s="47" t="s">
        <v>940</v>
      </c>
      <c r="J1636" s="47" t="s">
        <v>26</v>
      </c>
    </row>
    <row r="1637" ht="54" customHeight="1" spans="1:10">
      <c r="A1637" s="48" t="s">
        <v>481</v>
      </c>
      <c r="B1637" s="48" t="s">
        <v>3050</v>
      </c>
      <c r="C1637" s="47" t="s">
        <v>992</v>
      </c>
      <c r="D1637" s="48" t="s">
        <v>993</v>
      </c>
      <c r="E1637" s="48" t="s">
        <v>994</v>
      </c>
      <c r="F1637" s="48" t="s">
        <v>995</v>
      </c>
      <c r="G1637" s="48" t="s">
        <v>996</v>
      </c>
      <c r="H1637" s="47" t="s">
        <v>997</v>
      </c>
      <c r="I1637" s="47" t="s">
        <v>998</v>
      </c>
      <c r="J1637" s="47" t="s">
        <v>26</v>
      </c>
    </row>
    <row r="1638" ht="54" customHeight="1" spans="1:10">
      <c r="A1638" s="48" t="s">
        <v>481</v>
      </c>
      <c r="B1638" s="48" t="s">
        <v>3051</v>
      </c>
      <c r="C1638" s="47" t="s">
        <v>942</v>
      </c>
      <c r="D1638" s="48" t="s">
        <v>943</v>
      </c>
      <c r="E1638" s="48" t="s">
        <v>944</v>
      </c>
      <c r="F1638" s="48" t="s">
        <v>945</v>
      </c>
      <c r="G1638" s="48" t="s">
        <v>946</v>
      </c>
      <c r="H1638" s="47" t="s">
        <v>947</v>
      </c>
      <c r="I1638" s="47" t="s">
        <v>948</v>
      </c>
      <c r="J1638" s="47" t="s">
        <v>26</v>
      </c>
    </row>
    <row r="1639" ht="54" customHeight="1" spans="1:10">
      <c r="A1639" s="48" t="s">
        <v>481</v>
      </c>
      <c r="B1639" s="48" t="s">
        <v>3052</v>
      </c>
      <c r="C1639" s="47" t="s">
        <v>950</v>
      </c>
      <c r="D1639" s="48" t="s">
        <v>935</v>
      </c>
      <c r="E1639" s="48" t="s">
        <v>936</v>
      </c>
      <c r="F1639" s="48" t="s">
        <v>951</v>
      </c>
      <c r="G1639" s="48" t="s">
        <v>952</v>
      </c>
      <c r="H1639" s="47" t="s">
        <v>953</v>
      </c>
      <c r="I1639" s="47" t="s">
        <v>954</v>
      </c>
      <c r="J1639" s="47" t="s">
        <v>26</v>
      </c>
    </row>
    <row r="1640" ht="54" customHeight="1" spans="1:10">
      <c r="A1640" s="48" t="s">
        <v>481</v>
      </c>
      <c r="B1640" s="48" t="s">
        <v>3053</v>
      </c>
      <c r="C1640" s="47" t="s">
        <v>1159</v>
      </c>
      <c r="D1640" s="48" t="s">
        <v>1146</v>
      </c>
      <c r="E1640" s="48" t="s">
        <v>1147</v>
      </c>
      <c r="F1640" s="48" t="s">
        <v>1160</v>
      </c>
      <c r="G1640" s="48" t="s">
        <v>1161</v>
      </c>
      <c r="H1640" s="47" t="s">
        <v>1162</v>
      </c>
      <c r="I1640" s="47" t="s">
        <v>1151</v>
      </c>
      <c r="J1640" s="47" t="s">
        <v>26</v>
      </c>
    </row>
    <row r="1641" ht="54" customHeight="1" spans="1:10">
      <c r="A1641" s="48" t="s">
        <v>481</v>
      </c>
      <c r="B1641" s="48" t="s">
        <v>3054</v>
      </c>
      <c r="C1641" s="47" t="s">
        <v>1164</v>
      </c>
      <c r="D1641" s="48" t="s">
        <v>978</v>
      </c>
      <c r="E1641" s="48" t="s">
        <v>979</v>
      </c>
      <c r="F1641" s="48" t="s">
        <v>1165</v>
      </c>
      <c r="G1641" s="48" t="s">
        <v>1166</v>
      </c>
      <c r="H1641" s="47" t="s">
        <v>1167</v>
      </c>
      <c r="I1641" s="47" t="s">
        <v>1168</v>
      </c>
      <c r="J1641" s="47" t="s">
        <v>26</v>
      </c>
    </row>
    <row r="1642" ht="54" customHeight="1" spans="1:10">
      <c r="A1642" s="48" t="s">
        <v>481</v>
      </c>
      <c r="B1642" s="48" t="s">
        <v>3055</v>
      </c>
      <c r="C1642" s="47" t="s">
        <v>1196</v>
      </c>
      <c r="D1642" s="48" t="s">
        <v>1118</v>
      </c>
      <c r="E1642" s="48" t="s">
        <v>1119</v>
      </c>
      <c r="F1642" s="48" t="s">
        <v>1197</v>
      </c>
      <c r="G1642" s="48" t="s">
        <v>1198</v>
      </c>
      <c r="H1642" s="47" t="s">
        <v>1199</v>
      </c>
      <c r="I1642" s="47" t="s">
        <v>1200</v>
      </c>
      <c r="J1642" s="47" t="s">
        <v>26</v>
      </c>
    </row>
    <row r="1643" ht="54" customHeight="1" spans="1:10">
      <c r="A1643" s="48" t="s">
        <v>483</v>
      </c>
      <c r="B1643" s="48" t="s">
        <v>3056</v>
      </c>
      <c r="C1643" s="47" t="s">
        <v>1975</v>
      </c>
      <c r="D1643" s="48" t="s">
        <v>1009</v>
      </c>
      <c r="E1643" s="48" t="s">
        <v>1010</v>
      </c>
      <c r="F1643" s="48" t="s">
        <v>1976</v>
      </c>
      <c r="G1643" s="48" t="s">
        <v>1977</v>
      </c>
      <c r="H1643" s="47" t="s">
        <v>1978</v>
      </c>
      <c r="I1643" s="47" t="s">
        <v>1979</v>
      </c>
      <c r="J1643" s="47" t="s">
        <v>26</v>
      </c>
    </row>
    <row r="1644" ht="54" customHeight="1" spans="1:10">
      <c r="A1644" s="48" t="s">
        <v>483</v>
      </c>
      <c r="B1644" s="48" t="s">
        <v>3057</v>
      </c>
      <c r="C1644" s="47" t="s">
        <v>934</v>
      </c>
      <c r="D1644" s="48" t="s">
        <v>935</v>
      </c>
      <c r="E1644" s="48" t="s">
        <v>936</v>
      </c>
      <c r="F1644" s="48" t="s">
        <v>937</v>
      </c>
      <c r="G1644" s="48" t="s">
        <v>938</v>
      </c>
      <c r="H1644" s="47" t="s">
        <v>939</v>
      </c>
      <c r="I1644" s="47" t="s">
        <v>940</v>
      </c>
      <c r="J1644" s="47" t="s">
        <v>26</v>
      </c>
    </row>
    <row r="1645" ht="54" customHeight="1" spans="1:10">
      <c r="A1645" s="48" t="s">
        <v>483</v>
      </c>
      <c r="B1645" s="48" t="s">
        <v>3058</v>
      </c>
      <c r="C1645" s="47" t="s">
        <v>1421</v>
      </c>
      <c r="D1645" s="48" t="s">
        <v>1422</v>
      </c>
      <c r="E1645" s="48" t="s">
        <v>1423</v>
      </c>
      <c r="F1645" s="48" t="s">
        <v>1424</v>
      </c>
      <c r="G1645" s="48" t="s">
        <v>1423</v>
      </c>
      <c r="H1645" s="47" t="s">
        <v>1425</v>
      </c>
      <c r="I1645" s="47" t="s">
        <v>1426</v>
      </c>
      <c r="J1645" s="47" t="s">
        <v>26</v>
      </c>
    </row>
    <row r="1646" ht="54" customHeight="1" spans="1:10">
      <c r="A1646" s="48" t="s">
        <v>483</v>
      </c>
      <c r="B1646" s="48" t="s">
        <v>3059</v>
      </c>
      <c r="C1646" s="47" t="s">
        <v>1008</v>
      </c>
      <c r="D1646" s="48" t="s">
        <v>1009</v>
      </c>
      <c r="E1646" s="48" t="s">
        <v>1010</v>
      </c>
      <c r="F1646" s="48" t="s">
        <v>1011</v>
      </c>
      <c r="G1646" s="48" t="s">
        <v>1012</v>
      </c>
      <c r="H1646" s="47" t="s">
        <v>1013</v>
      </c>
      <c r="I1646" s="47" t="s">
        <v>1014</v>
      </c>
      <c r="J1646" s="47" t="s">
        <v>26</v>
      </c>
    </row>
    <row r="1647" ht="54" customHeight="1" spans="1:10">
      <c r="A1647" s="48" t="s">
        <v>483</v>
      </c>
      <c r="B1647" s="48" t="s">
        <v>3060</v>
      </c>
      <c r="C1647" s="47" t="s">
        <v>1480</v>
      </c>
      <c r="D1647" s="48" t="s">
        <v>1001</v>
      </c>
      <c r="E1647" s="48" t="s">
        <v>1002</v>
      </c>
      <c r="F1647" s="48" t="s">
        <v>1481</v>
      </c>
      <c r="G1647" s="48" t="s">
        <v>1482</v>
      </c>
      <c r="H1647" s="47" t="s">
        <v>1483</v>
      </c>
      <c r="I1647" s="47" t="s">
        <v>1484</v>
      </c>
      <c r="J1647" s="47" t="s">
        <v>26</v>
      </c>
    </row>
    <row r="1648" ht="54" customHeight="1" spans="1:10">
      <c r="A1648" s="48" t="s">
        <v>483</v>
      </c>
      <c r="B1648" s="48" t="s">
        <v>3061</v>
      </c>
      <c r="C1648" s="47" t="s">
        <v>950</v>
      </c>
      <c r="D1648" s="48" t="s">
        <v>935</v>
      </c>
      <c r="E1648" s="48" t="s">
        <v>936</v>
      </c>
      <c r="F1648" s="48" t="s">
        <v>951</v>
      </c>
      <c r="G1648" s="48" t="s">
        <v>952</v>
      </c>
      <c r="H1648" s="47" t="s">
        <v>953</v>
      </c>
      <c r="I1648" s="47" t="s">
        <v>954</v>
      </c>
      <c r="J1648" s="47" t="s">
        <v>26</v>
      </c>
    </row>
    <row r="1649" ht="54" customHeight="1" spans="1:10">
      <c r="A1649" s="48" t="s">
        <v>483</v>
      </c>
      <c r="B1649" s="48" t="s">
        <v>3062</v>
      </c>
      <c r="C1649" s="47" t="s">
        <v>1105</v>
      </c>
      <c r="D1649" s="48" t="s">
        <v>1009</v>
      </c>
      <c r="E1649" s="48" t="s">
        <v>1010</v>
      </c>
      <c r="F1649" s="48" t="s">
        <v>1106</v>
      </c>
      <c r="G1649" s="48" t="s">
        <v>1107</v>
      </c>
      <c r="H1649" s="47" t="s">
        <v>1108</v>
      </c>
      <c r="I1649" s="47" t="s">
        <v>1109</v>
      </c>
      <c r="J1649" s="47" t="s">
        <v>26</v>
      </c>
    </row>
    <row r="1650" ht="54" customHeight="1" spans="1:10">
      <c r="A1650" s="48" t="s">
        <v>483</v>
      </c>
      <c r="B1650" s="48" t="s">
        <v>3063</v>
      </c>
      <c r="C1650" s="47" t="s">
        <v>1036</v>
      </c>
      <c r="D1650" s="48" t="s">
        <v>1037</v>
      </c>
      <c r="E1650" s="48" t="s">
        <v>1038</v>
      </c>
      <c r="F1650" s="48" t="s">
        <v>1039</v>
      </c>
      <c r="G1650" s="48" t="s">
        <v>1040</v>
      </c>
      <c r="H1650" s="47" t="s">
        <v>1041</v>
      </c>
      <c r="I1650" s="47" t="s">
        <v>1042</v>
      </c>
      <c r="J1650" s="47" t="s">
        <v>26</v>
      </c>
    </row>
    <row r="1651" ht="54" customHeight="1" spans="1:10">
      <c r="A1651" s="48" t="s">
        <v>483</v>
      </c>
      <c r="B1651" s="48" t="s">
        <v>3064</v>
      </c>
      <c r="C1651" s="47" t="s">
        <v>1058</v>
      </c>
      <c r="D1651" s="48" t="s">
        <v>1059</v>
      </c>
      <c r="E1651" s="48" t="s">
        <v>1060</v>
      </c>
      <c r="F1651" s="48" t="s">
        <v>1061</v>
      </c>
      <c r="G1651" s="48" t="s">
        <v>1062</v>
      </c>
      <c r="H1651" s="47" t="s">
        <v>1063</v>
      </c>
      <c r="I1651" s="47" t="s">
        <v>1064</v>
      </c>
      <c r="J1651" s="47" t="s">
        <v>26</v>
      </c>
    </row>
    <row r="1652" ht="54" customHeight="1" spans="1:10">
      <c r="A1652" s="48" t="s">
        <v>483</v>
      </c>
      <c r="B1652" s="48" t="s">
        <v>3065</v>
      </c>
      <c r="C1652" s="47" t="s">
        <v>1097</v>
      </c>
      <c r="D1652" s="48" t="s">
        <v>1098</v>
      </c>
      <c r="E1652" s="48" t="s">
        <v>1099</v>
      </c>
      <c r="F1652" s="48" t="s">
        <v>1100</v>
      </c>
      <c r="G1652" s="48" t="s">
        <v>1101</v>
      </c>
      <c r="H1652" s="47" t="s">
        <v>1102</v>
      </c>
      <c r="I1652" s="47" t="s">
        <v>1103</v>
      </c>
      <c r="J1652" s="47" t="s">
        <v>26</v>
      </c>
    </row>
    <row r="1653" ht="54" customHeight="1" spans="1:10">
      <c r="A1653" s="48" t="s">
        <v>485</v>
      </c>
      <c r="B1653" s="48" t="s">
        <v>3066</v>
      </c>
      <c r="C1653" s="47" t="s">
        <v>985</v>
      </c>
      <c r="D1653" s="48" t="s">
        <v>986</v>
      </c>
      <c r="E1653" s="48" t="s">
        <v>987</v>
      </c>
      <c r="F1653" s="48" t="s">
        <v>988</v>
      </c>
      <c r="G1653" s="48" t="s">
        <v>987</v>
      </c>
      <c r="H1653" s="47" t="s">
        <v>989</v>
      </c>
      <c r="I1653" s="47" t="s">
        <v>990</v>
      </c>
      <c r="J1653" s="47" t="s">
        <v>26</v>
      </c>
    </row>
    <row r="1654" ht="54" customHeight="1" spans="1:10">
      <c r="A1654" s="48" t="s">
        <v>485</v>
      </c>
      <c r="B1654" s="48" t="s">
        <v>3067</v>
      </c>
      <c r="C1654" s="47" t="s">
        <v>1016</v>
      </c>
      <c r="D1654" s="48" t="s">
        <v>935</v>
      </c>
      <c r="E1654" s="48" t="s">
        <v>936</v>
      </c>
      <c r="F1654" s="48" t="s">
        <v>1017</v>
      </c>
      <c r="G1654" s="48" t="s">
        <v>1018</v>
      </c>
      <c r="H1654" s="47" t="s">
        <v>1019</v>
      </c>
      <c r="I1654" s="47" t="s">
        <v>1020</v>
      </c>
      <c r="J1654" s="47" t="s">
        <v>26</v>
      </c>
    </row>
    <row r="1655" ht="54" customHeight="1" spans="1:10">
      <c r="A1655" s="48" t="s">
        <v>485</v>
      </c>
      <c r="B1655" s="48" t="s">
        <v>3068</v>
      </c>
      <c r="C1655" s="47" t="s">
        <v>1268</v>
      </c>
      <c r="D1655" s="48" t="s">
        <v>957</v>
      </c>
      <c r="E1655" s="48" t="s">
        <v>958</v>
      </c>
      <c r="F1655" s="48" t="s">
        <v>1269</v>
      </c>
      <c r="G1655" s="48" t="s">
        <v>1270</v>
      </c>
      <c r="H1655" s="47" t="s">
        <v>1271</v>
      </c>
      <c r="I1655" s="47" t="s">
        <v>1272</v>
      </c>
      <c r="J1655" s="47" t="s">
        <v>26</v>
      </c>
    </row>
    <row r="1656" ht="54" customHeight="1" spans="1:10">
      <c r="A1656" s="48" t="s">
        <v>485</v>
      </c>
      <c r="B1656" s="48" t="s">
        <v>3069</v>
      </c>
      <c r="C1656" s="47" t="s">
        <v>1097</v>
      </c>
      <c r="D1656" s="48" t="s">
        <v>1098</v>
      </c>
      <c r="E1656" s="48" t="s">
        <v>1099</v>
      </c>
      <c r="F1656" s="48" t="s">
        <v>1100</v>
      </c>
      <c r="G1656" s="48" t="s">
        <v>1101</v>
      </c>
      <c r="H1656" s="47" t="s">
        <v>1102</v>
      </c>
      <c r="I1656" s="47" t="s">
        <v>1103</v>
      </c>
      <c r="J1656" s="47" t="s">
        <v>26</v>
      </c>
    </row>
    <row r="1657" ht="54" customHeight="1" spans="1:10">
      <c r="A1657" s="48" t="s">
        <v>485</v>
      </c>
      <c r="B1657" s="48" t="s">
        <v>3070</v>
      </c>
      <c r="C1657" s="47" t="s">
        <v>1469</v>
      </c>
      <c r="D1657" s="48" t="s">
        <v>957</v>
      </c>
      <c r="E1657" s="48" t="s">
        <v>958</v>
      </c>
      <c r="F1657" s="48" t="s">
        <v>1470</v>
      </c>
      <c r="G1657" s="48" t="s">
        <v>1471</v>
      </c>
      <c r="H1657" s="47" t="s">
        <v>1472</v>
      </c>
      <c r="I1657" s="47" t="s">
        <v>1473</v>
      </c>
      <c r="J1657" s="47" t="s">
        <v>26</v>
      </c>
    </row>
    <row r="1658" ht="54" customHeight="1" spans="1:10">
      <c r="A1658" s="48" t="s">
        <v>485</v>
      </c>
      <c r="B1658" s="48" t="s">
        <v>3071</v>
      </c>
      <c r="C1658" s="47" t="s">
        <v>1967</v>
      </c>
      <c r="D1658" s="48" t="s">
        <v>965</v>
      </c>
      <c r="E1658" s="48" t="s">
        <v>966</v>
      </c>
      <c r="F1658" s="48" t="s">
        <v>1968</v>
      </c>
      <c r="G1658" s="48" t="s">
        <v>1969</v>
      </c>
      <c r="H1658" s="47" t="s">
        <v>1970</v>
      </c>
      <c r="I1658" s="47" t="s">
        <v>940</v>
      </c>
      <c r="J1658" s="47" t="s">
        <v>26</v>
      </c>
    </row>
    <row r="1659" ht="54" customHeight="1" spans="1:10">
      <c r="A1659" s="48" t="s">
        <v>485</v>
      </c>
      <c r="B1659" s="48" t="s">
        <v>3072</v>
      </c>
      <c r="C1659" s="47" t="s">
        <v>1252</v>
      </c>
      <c r="D1659" s="48" t="s">
        <v>1001</v>
      </c>
      <c r="E1659" s="48" t="s">
        <v>1002</v>
      </c>
      <c r="F1659" s="48" t="s">
        <v>1253</v>
      </c>
      <c r="G1659" s="48" t="s">
        <v>1254</v>
      </c>
      <c r="H1659" s="47" t="s">
        <v>1255</v>
      </c>
      <c r="I1659" s="47" t="s">
        <v>1256</v>
      </c>
      <c r="J1659" s="47" t="s">
        <v>26</v>
      </c>
    </row>
    <row r="1660" ht="54" customHeight="1" spans="1:10">
      <c r="A1660" s="48" t="s">
        <v>485</v>
      </c>
      <c r="B1660" s="48" t="s">
        <v>3073</v>
      </c>
      <c r="C1660" s="47" t="s">
        <v>1137</v>
      </c>
      <c r="D1660" s="48" t="s">
        <v>1138</v>
      </c>
      <c r="E1660" s="48" t="s">
        <v>1139</v>
      </c>
      <c r="F1660" s="48" t="s">
        <v>1140</v>
      </c>
      <c r="G1660" s="48" t="s">
        <v>1141</v>
      </c>
      <c r="H1660" s="47" t="s">
        <v>1142</v>
      </c>
      <c r="I1660" s="47" t="s">
        <v>940</v>
      </c>
      <c r="J1660" s="47" t="s">
        <v>26</v>
      </c>
    </row>
    <row r="1661" ht="54" customHeight="1" spans="1:10">
      <c r="A1661" s="48" t="s">
        <v>487</v>
      </c>
      <c r="B1661" s="48" t="s">
        <v>3074</v>
      </c>
      <c r="C1661" s="47" t="s">
        <v>942</v>
      </c>
      <c r="D1661" s="48" t="s">
        <v>943</v>
      </c>
      <c r="E1661" s="48" t="s">
        <v>944</v>
      </c>
      <c r="F1661" s="48" t="s">
        <v>945</v>
      </c>
      <c r="G1661" s="48" t="s">
        <v>946</v>
      </c>
      <c r="H1661" s="47" t="s">
        <v>947</v>
      </c>
      <c r="I1661" s="47" t="s">
        <v>948</v>
      </c>
      <c r="J1661" s="47" t="s">
        <v>26</v>
      </c>
    </row>
    <row r="1662" ht="54" customHeight="1" spans="1:10">
      <c r="A1662" s="48" t="s">
        <v>487</v>
      </c>
      <c r="B1662" s="48" t="s">
        <v>3075</v>
      </c>
      <c r="C1662" s="47" t="s">
        <v>1081</v>
      </c>
      <c r="D1662" s="48" t="s">
        <v>1082</v>
      </c>
      <c r="E1662" s="48" t="s">
        <v>1083</v>
      </c>
      <c r="F1662" s="48" t="s">
        <v>1084</v>
      </c>
      <c r="G1662" s="48" t="s">
        <v>1085</v>
      </c>
      <c r="H1662" s="47" t="s">
        <v>1086</v>
      </c>
      <c r="I1662" s="47" t="s">
        <v>1087</v>
      </c>
      <c r="J1662" s="47" t="s">
        <v>26</v>
      </c>
    </row>
    <row r="1663" ht="54" customHeight="1" spans="1:10">
      <c r="A1663" s="48" t="s">
        <v>487</v>
      </c>
      <c r="B1663" s="48" t="s">
        <v>3076</v>
      </c>
      <c r="C1663" s="47" t="s">
        <v>1089</v>
      </c>
      <c r="D1663" s="48" t="s">
        <v>957</v>
      </c>
      <c r="E1663" s="48" t="s">
        <v>958</v>
      </c>
      <c r="F1663" s="48" t="s">
        <v>1090</v>
      </c>
      <c r="G1663" s="48" t="s">
        <v>1091</v>
      </c>
      <c r="H1663" s="47" t="s">
        <v>1092</v>
      </c>
      <c r="I1663" s="47" t="s">
        <v>1093</v>
      </c>
      <c r="J1663" s="47" t="s">
        <v>26</v>
      </c>
    </row>
    <row r="1664" ht="54" customHeight="1" spans="1:10">
      <c r="A1664" s="48" t="s">
        <v>487</v>
      </c>
      <c r="B1664" s="48" t="s">
        <v>3077</v>
      </c>
      <c r="C1664" s="47" t="s">
        <v>956</v>
      </c>
      <c r="D1664" s="48" t="s">
        <v>957</v>
      </c>
      <c r="E1664" s="48" t="s">
        <v>958</v>
      </c>
      <c r="F1664" s="48" t="s">
        <v>959</v>
      </c>
      <c r="G1664" s="48" t="s">
        <v>960</v>
      </c>
      <c r="H1664" s="47" t="s">
        <v>961</v>
      </c>
      <c r="I1664" s="47" t="s">
        <v>962</v>
      </c>
      <c r="J1664" s="47" t="s">
        <v>26</v>
      </c>
    </row>
    <row r="1665" ht="54" customHeight="1" spans="1:10">
      <c r="A1665" s="48" t="s">
        <v>487</v>
      </c>
      <c r="B1665" s="48" t="s">
        <v>3078</v>
      </c>
      <c r="C1665" s="47" t="s">
        <v>1105</v>
      </c>
      <c r="D1665" s="48" t="s">
        <v>1009</v>
      </c>
      <c r="E1665" s="48" t="s">
        <v>1010</v>
      </c>
      <c r="F1665" s="48" t="s">
        <v>1106</v>
      </c>
      <c r="G1665" s="48" t="s">
        <v>1107</v>
      </c>
      <c r="H1665" s="47" t="s">
        <v>1108</v>
      </c>
      <c r="I1665" s="47" t="s">
        <v>1109</v>
      </c>
      <c r="J1665" s="47" t="s">
        <v>26</v>
      </c>
    </row>
    <row r="1666" ht="54" customHeight="1" spans="1:10">
      <c r="A1666" s="48" t="s">
        <v>487</v>
      </c>
      <c r="B1666" s="48" t="s">
        <v>3079</v>
      </c>
      <c r="C1666" s="47" t="s">
        <v>1767</v>
      </c>
      <c r="D1666" s="48" t="s">
        <v>957</v>
      </c>
      <c r="E1666" s="48" t="s">
        <v>958</v>
      </c>
      <c r="F1666" s="48" t="s">
        <v>1768</v>
      </c>
      <c r="G1666" s="48" t="s">
        <v>1769</v>
      </c>
      <c r="H1666" s="47" t="s">
        <v>1770</v>
      </c>
      <c r="I1666" s="47" t="s">
        <v>1771</v>
      </c>
      <c r="J1666" s="47" t="s">
        <v>26</v>
      </c>
    </row>
    <row r="1667" ht="54" customHeight="1" spans="1:10">
      <c r="A1667" s="48" t="s">
        <v>487</v>
      </c>
      <c r="B1667" s="48" t="s">
        <v>3080</v>
      </c>
      <c r="C1667" s="47" t="s">
        <v>1052</v>
      </c>
      <c r="D1667" s="48" t="s">
        <v>1009</v>
      </c>
      <c r="E1667" s="48" t="s">
        <v>1010</v>
      </c>
      <c r="F1667" s="48" t="s">
        <v>1053</v>
      </c>
      <c r="G1667" s="48" t="s">
        <v>1054</v>
      </c>
      <c r="H1667" s="47" t="s">
        <v>1055</v>
      </c>
      <c r="I1667" s="47" t="s">
        <v>1056</v>
      </c>
      <c r="J1667" s="47" t="s">
        <v>26</v>
      </c>
    </row>
    <row r="1668" ht="54" customHeight="1" spans="1:10">
      <c r="A1668" s="48" t="s">
        <v>487</v>
      </c>
      <c r="B1668" s="48" t="s">
        <v>3081</v>
      </c>
      <c r="C1668" s="47" t="s">
        <v>1097</v>
      </c>
      <c r="D1668" s="48" t="s">
        <v>1098</v>
      </c>
      <c r="E1668" s="48" t="s">
        <v>1099</v>
      </c>
      <c r="F1668" s="48" t="s">
        <v>1100</v>
      </c>
      <c r="G1668" s="48" t="s">
        <v>1101</v>
      </c>
      <c r="H1668" s="47" t="s">
        <v>1102</v>
      </c>
      <c r="I1668" s="47" t="s">
        <v>1103</v>
      </c>
      <c r="J1668" s="47" t="s">
        <v>26</v>
      </c>
    </row>
    <row r="1669" ht="54" customHeight="1" spans="1:10">
      <c r="A1669" s="48" t="s">
        <v>487</v>
      </c>
      <c r="B1669" s="48" t="s">
        <v>3082</v>
      </c>
      <c r="C1669" s="47" t="s">
        <v>1111</v>
      </c>
      <c r="D1669" s="48" t="s">
        <v>965</v>
      </c>
      <c r="E1669" s="48" t="s">
        <v>966</v>
      </c>
      <c r="F1669" s="48" t="s">
        <v>1112</v>
      </c>
      <c r="G1669" s="48" t="s">
        <v>1113</v>
      </c>
      <c r="H1669" s="47" t="s">
        <v>1114</v>
      </c>
      <c r="I1669" s="47" t="s">
        <v>1115</v>
      </c>
      <c r="J1669" s="47" t="s">
        <v>26</v>
      </c>
    </row>
    <row r="1670" ht="54" customHeight="1" spans="1:10">
      <c r="A1670" s="48" t="s">
        <v>487</v>
      </c>
      <c r="B1670" s="48" t="s">
        <v>3083</v>
      </c>
      <c r="C1670" s="47" t="s">
        <v>1117</v>
      </c>
      <c r="D1670" s="48" t="s">
        <v>1118</v>
      </c>
      <c r="E1670" s="48" t="s">
        <v>1119</v>
      </c>
      <c r="F1670" s="48" t="s">
        <v>1120</v>
      </c>
      <c r="G1670" s="48" t="s">
        <v>1121</v>
      </c>
      <c r="H1670" s="47" t="s">
        <v>1122</v>
      </c>
      <c r="I1670" s="47" t="s">
        <v>1123</v>
      </c>
      <c r="J1670" s="47" t="s">
        <v>26</v>
      </c>
    </row>
    <row r="1671" ht="54" customHeight="1" spans="1:10">
      <c r="A1671" s="48" t="s">
        <v>489</v>
      </c>
      <c r="B1671" s="48" t="s">
        <v>3084</v>
      </c>
      <c r="C1671" s="47" t="s">
        <v>1153</v>
      </c>
      <c r="D1671" s="48" t="s">
        <v>943</v>
      </c>
      <c r="E1671" s="48" t="s">
        <v>944</v>
      </c>
      <c r="F1671" s="48" t="s">
        <v>1154</v>
      </c>
      <c r="G1671" s="48" t="s">
        <v>1155</v>
      </c>
      <c r="H1671" s="47" t="s">
        <v>1156</v>
      </c>
      <c r="I1671" s="47" t="s">
        <v>1157</v>
      </c>
      <c r="J1671" s="47" t="s">
        <v>29</v>
      </c>
    </row>
    <row r="1672" ht="54" customHeight="1" spans="1:10">
      <c r="A1672" s="48" t="s">
        <v>489</v>
      </c>
      <c r="B1672" s="48" t="s">
        <v>3085</v>
      </c>
      <c r="C1672" s="47" t="s">
        <v>2074</v>
      </c>
      <c r="D1672" s="48" t="s">
        <v>1029</v>
      </c>
      <c r="E1672" s="48" t="s">
        <v>1030</v>
      </c>
      <c r="F1672" s="48" t="s">
        <v>2075</v>
      </c>
      <c r="G1672" s="48" t="s">
        <v>2076</v>
      </c>
      <c r="H1672" s="47" t="s">
        <v>2077</v>
      </c>
      <c r="I1672" s="47" t="s">
        <v>2078</v>
      </c>
      <c r="J1672" s="47" t="s">
        <v>29</v>
      </c>
    </row>
    <row r="1673" ht="54" customHeight="1" spans="1:10">
      <c r="A1673" s="48" t="s">
        <v>489</v>
      </c>
      <c r="B1673" s="48" t="s">
        <v>3086</v>
      </c>
      <c r="C1673" s="47" t="s">
        <v>1022</v>
      </c>
      <c r="D1673" s="48" t="s">
        <v>957</v>
      </c>
      <c r="E1673" s="48" t="s">
        <v>958</v>
      </c>
      <c r="F1673" s="48" t="s">
        <v>1023</v>
      </c>
      <c r="G1673" s="48" t="s">
        <v>1024</v>
      </c>
      <c r="H1673" s="47" t="s">
        <v>1025</v>
      </c>
      <c r="I1673" s="47" t="s">
        <v>1026</v>
      </c>
      <c r="J1673" s="47" t="s">
        <v>29</v>
      </c>
    </row>
    <row r="1674" ht="54" customHeight="1" spans="1:10">
      <c r="A1674" s="48" t="s">
        <v>489</v>
      </c>
      <c r="B1674" s="48" t="s">
        <v>3087</v>
      </c>
      <c r="C1674" s="47" t="s">
        <v>956</v>
      </c>
      <c r="D1674" s="48" t="s">
        <v>957</v>
      </c>
      <c r="E1674" s="48" t="s">
        <v>958</v>
      </c>
      <c r="F1674" s="48" t="s">
        <v>959</v>
      </c>
      <c r="G1674" s="48" t="s">
        <v>960</v>
      </c>
      <c r="H1674" s="47" t="s">
        <v>961</v>
      </c>
      <c r="I1674" s="47" t="s">
        <v>962</v>
      </c>
      <c r="J1674" s="47" t="s">
        <v>29</v>
      </c>
    </row>
    <row r="1675" ht="54" customHeight="1" spans="1:10">
      <c r="A1675" s="48" t="s">
        <v>489</v>
      </c>
      <c r="B1675" s="48" t="s">
        <v>3088</v>
      </c>
      <c r="C1675" s="47" t="s">
        <v>1036</v>
      </c>
      <c r="D1675" s="48" t="s">
        <v>1037</v>
      </c>
      <c r="E1675" s="48" t="s">
        <v>1038</v>
      </c>
      <c r="F1675" s="48" t="s">
        <v>1039</v>
      </c>
      <c r="G1675" s="48" t="s">
        <v>1040</v>
      </c>
      <c r="H1675" s="47" t="s">
        <v>1041</v>
      </c>
      <c r="I1675" s="47" t="s">
        <v>1042</v>
      </c>
      <c r="J1675" s="47" t="s">
        <v>29</v>
      </c>
    </row>
    <row r="1676" ht="54" customHeight="1" spans="1:10">
      <c r="A1676" s="48" t="s">
        <v>489</v>
      </c>
      <c r="B1676" s="48" t="s">
        <v>3089</v>
      </c>
      <c r="C1676" s="47" t="s">
        <v>1052</v>
      </c>
      <c r="D1676" s="48" t="s">
        <v>1009</v>
      </c>
      <c r="E1676" s="48" t="s">
        <v>1010</v>
      </c>
      <c r="F1676" s="48" t="s">
        <v>1053</v>
      </c>
      <c r="G1676" s="48" t="s">
        <v>1054</v>
      </c>
      <c r="H1676" s="47" t="s">
        <v>1055</v>
      </c>
      <c r="I1676" s="47" t="s">
        <v>1056</v>
      </c>
      <c r="J1676" s="47" t="s">
        <v>29</v>
      </c>
    </row>
    <row r="1677" ht="54" customHeight="1" spans="1:10">
      <c r="A1677" s="48" t="s">
        <v>489</v>
      </c>
      <c r="B1677" s="48" t="s">
        <v>3090</v>
      </c>
      <c r="C1677" s="47" t="s">
        <v>1111</v>
      </c>
      <c r="D1677" s="48" t="s">
        <v>965</v>
      </c>
      <c r="E1677" s="48" t="s">
        <v>966</v>
      </c>
      <c r="F1677" s="48" t="s">
        <v>1112</v>
      </c>
      <c r="G1677" s="48" t="s">
        <v>1113</v>
      </c>
      <c r="H1677" s="47" t="s">
        <v>1114</v>
      </c>
      <c r="I1677" s="47" t="s">
        <v>1115</v>
      </c>
      <c r="J1677" s="47" t="s">
        <v>29</v>
      </c>
    </row>
    <row r="1678" ht="54" customHeight="1" spans="1:10">
      <c r="A1678" s="48" t="s">
        <v>489</v>
      </c>
      <c r="B1678" s="48" t="s">
        <v>3091</v>
      </c>
      <c r="C1678" s="47" t="s">
        <v>1117</v>
      </c>
      <c r="D1678" s="48" t="s">
        <v>1118</v>
      </c>
      <c r="E1678" s="48" t="s">
        <v>1119</v>
      </c>
      <c r="F1678" s="48" t="s">
        <v>1120</v>
      </c>
      <c r="G1678" s="48" t="s">
        <v>1121</v>
      </c>
      <c r="H1678" s="47" t="s">
        <v>1122</v>
      </c>
      <c r="I1678" s="47" t="s">
        <v>1123</v>
      </c>
      <c r="J1678" s="47" t="s">
        <v>29</v>
      </c>
    </row>
    <row r="1679" ht="54" customHeight="1" spans="1:10">
      <c r="A1679" s="48" t="s">
        <v>489</v>
      </c>
      <c r="B1679" s="48" t="s">
        <v>3092</v>
      </c>
      <c r="C1679" s="47" t="s">
        <v>1137</v>
      </c>
      <c r="D1679" s="48" t="s">
        <v>1138</v>
      </c>
      <c r="E1679" s="48" t="s">
        <v>1139</v>
      </c>
      <c r="F1679" s="48" t="s">
        <v>1140</v>
      </c>
      <c r="G1679" s="48" t="s">
        <v>1141</v>
      </c>
      <c r="H1679" s="47" t="s">
        <v>1142</v>
      </c>
      <c r="I1679" s="47" t="s">
        <v>940</v>
      </c>
      <c r="J1679" s="47" t="s">
        <v>29</v>
      </c>
    </row>
    <row r="1680" ht="54" customHeight="1" spans="1:10">
      <c r="A1680" s="48" t="s">
        <v>489</v>
      </c>
      <c r="B1680" s="48" t="s">
        <v>3093</v>
      </c>
      <c r="C1680" s="47" t="s">
        <v>971</v>
      </c>
      <c r="D1680" s="48" t="s">
        <v>965</v>
      </c>
      <c r="E1680" s="48" t="s">
        <v>966</v>
      </c>
      <c r="F1680" s="48" t="s">
        <v>972</v>
      </c>
      <c r="G1680" s="48" t="s">
        <v>973</v>
      </c>
      <c r="H1680" s="47" t="s">
        <v>974</v>
      </c>
      <c r="I1680" s="47" t="s">
        <v>975</v>
      </c>
      <c r="J1680" s="47" t="s">
        <v>29</v>
      </c>
    </row>
    <row r="1681" ht="54" customHeight="1" spans="1:10">
      <c r="A1681" s="48" t="s">
        <v>491</v>
      </c>
      <c r="B1681" s="48" t="s">
        <v>3094</v>
      </c>
      <c r="C1681" s="47" t="s">
        <v>1097</v>
      </c>
      <c r="D1681" s="48" t="s">
        <v>1098</v>
      </c>
      <c r="E1681" s="48" t="s">
        <v>1099</v>
      </c>
      <c r="F1681" s="48" t="s">
        <v>1100</v>
      </c>
      <c r="G1681" s="48" t="s">
        <v>1101</v>
      </c>
      <c r="H1681" s="47" t="s">
        <v>1102</v>
      </c>
      <c r="I1681" s="47" t="s">
        <v>1103</v>
      </c>
      <c r="J1681" s="47" t="s">
        <v>26</v>
      </c>
    </row>
    <row r="1682" ht="54" customHeight="1" spans="1:10">
      <c r="A1682" s="48" t="s">
        <v>491</v>
      </c>
      <c r="B1682" s="48" t="s">
        <v>3095</v>
      </c>
      <c r="C1682" s="47" t="s">
        <v>1967</v>
      </c>
      <c r="D1682" s="48" t="s">
        <v>965</v>
      </c>
      <c r="E1682" s="48" t="s">
        <v>966</v>
      </c>
      <c r="F1682" s="48" t="s">
        <v>1968</v>
      </c>
      <c r="G1682" s="48" t="s">
        <v>1969</v>
      </c>
      <c r="H1682" s="47" t="s">
        <v>1970</v>
      </c>
      <c r="I1682" s="47" t="s">
        <v>940</v>
      </c>
      <c r="J1682" s="47" t="s">
        <v>26</v>
      </c>
    </row>
    <row r="1683" ht="54" customHeight="1" spans="1:10">
      <c r="A1683" s="48" t="s">
        <v>491</v>
      </c>
      <c r="B1683" s="48" t="s">
        <v>3096</v>
      </c>
      <c r="C1683" s="47" t="s">
        <v>1252</v>
      </c>
      <c r="D1683" s="48" t="s">
        <v>1001</v>
      </c>
      <c r="E1683" s="48" t="s">
        <v>1002</v>
      </c>
      <c r="F1683" s="48" t="s">
        <v>1253</v>
      </c>
      <c r="G1683" s="48" t="s">
        <v>1254</v>
      </c>
      <c r="H1683" s="47" t="s">
        <v>1255</v>
      </c>
      <c r="I1683" s="47" t="s">
        <v>1256</v>
      </c>
      <c r="J1683" s="47" t="s">
        <v>26</v>
      </c>
    </row>
    <row r="1684" ht="54" customHeight="1" spans="1:10">
      <c r="A1684" s="48" t="s">
        <v>491</v>
      </c>
      <c r="B1684" s="48" t="s">
        <v>3097</v>
      </c>
      <c r="C1684" s="47" t="s">
        <v>1111</v>
      </c>
      <c r="D1684" s="48" t="s">
        <v>965</v>
      </c>
      <c r="E1684" s="48" t="s">
        <v>966</v>
      </c>
      <c r="F1684" s="48" t="s">
        <v>1112</v>
      </c>
      <c r="G1684" s="48" t="s">
        <v>1113</v>
      </c>
      <c r="H1684" s="47" t="s">
        <v>1114</v>
      </c>
      <c r="I1684" s="47" t="s">
        <v>1115</v>
      </c>
      <c r="J1684" s="47" t="s">
        <v>26</v>
      </c>
    </row>
    <row r="1685" ht="54" customHeight="1" spans="1:10">
      <c r="A1685" s="48" t="s">
        <v>491</v>
      </c>
      <c r="B1685" s="48" t="s">
        <v>3098</v>
      </c>
      <c r="C1685" s="47" t="s">
        <v>1137</v>
      </c>
      <c r="D1685" s="48" t="s">
        <v>1138</v>
      </c>
      <c r="E1685" s="48" t="s">
        <v>1139</v>
      </c>
      <c r="F1685" s="48" t="s">
        <v>1140</v>
      </c>
      <c r="G1685" s="48" t="s">
        <v>1141</v>
      </c>
      <c r="H1685" s="47" t="s">
        <v>1142</v>
      </c>
      <c r="I1685" s="47" t="s">
        <v>940</v>
      </c>
      <c r="J1685" s="47" t="s">
        <v>26</v>
      </c>
    </row>
    <row r="1686" ht="54" customHeight="1" spans="1:10">
      <c r="A1686" s="48" t="s">
        <v>491</v>
      </c>
      <c r="B1686" s="48" t="s">
        <v>3099</v>
      </c>
      <c r="C1686" s="47" t="s">
        <v>1291</v>
      </c>
      <c r="D1686" s="48" t="s">
        <v>965</v>
      </c>
      <c r="E1686" s="48" t="s">
        <v>966</v>
      </c>
      <c r="F1686" s="48" t="s">
        <v>1292</v>
      </c>
      <c r="G1686" s="48" t="s">
        <v>1293</v>
      </c>
      <c r="H1686" s="47" t="s">
        <v>1294</v>
      </c>
      <c r="I1686" s="47" t="s">
        <v>1295</v>
      </c>
      <c r="J1686" s="47" t="s">
        <v>26</v>
      </c>
    </row>
    <row r="1687" ht="54" customHeight="1" spans="1:10">
      <c r="A1687" s="48" t="s">
        <v>491</v>
      </c>
      <c r="B1687" s="48" t="s">
        <v>3100</v>
      </c>
      <c r="C1687" s="47" t="s">
        <v>977</v>
      </c>
      <c r="D1687" s="48" t="s">
        <v>978</v>
      </c>
      <c r="E1687" s="48" t="s">
        <v>979</v>
      </c>
      <c r="F1687" s="48" t="s">
        <v>980</v>
      </c>
      <c r="G1687" s="48" t="s">
        <v>981</v>
      </c>
      <c r="H1687" s="47" t="s">
        <v>982</v>
      </c>
      <c r="I1687" s="47" t="s">
        <v>983</v>
      </c>
      <c r="J1687" s="47" t="s">
        <v>26</v>
      </c>
    </row>
    <row r="1688" ht="54" customHeight="1" spans="1:10">
      <c r="A1688" s="48" t="s">
        <v>491</v>
      </c>
      <c r="B1688" s="48" t="s">
        <v>3101</v>
      </c>
      <c r="C1688" s="47" t="s">
        <v>1245</v>
      </c>
      <c r="D1688" s="48" t="s">
        <v>1171</v>
      </c>
      <c r="E1688" s="48" t="s">
        <v>1172</v>
      </c>
      <c r="F1688" s="48" t="s">
        <v>1246</v>
      </c>
      <c r="G1688" s="48" t="s">
        <v>1247</v>
      </c>
      <c r="H1688" s="47" t="s">
        <v>1248</v>
      </c>
      <c r="I1688" s="47" t="s">
        <v>1176</v>
      </c>
      <c r="J1688" s="47" t="s">
        <v>26</v>
      </c>
    </row>
    <row r="1689" ht="54" customHeight="1" spans="1:10">
      <c r="A1689" s="48" t="s">
        <v>493</v>
      </c>
      <c r="B1689" s="48" t="s">
        <v>3102</v>
      </c>
      <c r="C1689" s="47" t="s">
        <v>942</v>
      </c>
      <c r="D1689" s="48" t="s">
        <v>943</v>
      </c>
      <c r="E1689" s="48" t="s">
        <v>944</v>
      </c>
      <c r="F1689" s="48" t="s">
        <v>945</v>
      </c>
      <c r="G1689" s="48" t="s">
        <v>946</v>
      </c>
      <c r="H1689" s="47" t="s">
        <v>947</v>
      </c>
      <c r="I1689" s="47" t="s">
        <v>948</v>
      </c>
      <c r="J1689" s="47" t="s">
        <v>26</v>
      </c>
    </row>
    <row r="1690" ht="54" customHeight="1" spans="1:10">
      <c r="A1690" s="48" t="s">
        <v>493</v>
      </c>
      <c r="B1690" s="48" t="s">
        <v>3103</v>
      </c>
      <c r="C1690" s="47" t="s">
        <v>1111</v>
      </c>
      <c r="D1690" s="48" t="s">
        <v>965</v>
      </c>
      <c r="E1690" s="48" t="s">
        <v>966</v>
      </c>
      <c r="F1690" s="48" t="s">
        <v>1112</v>
      </c>
      <c r="G1690" s="48" t="s">
        <v>1113</v>
      </c>
      <c r="H1690" s="47" t="s">
        <v>1114</v>
      </c>
      <c r="I1690" s="47" t="s">
        <v>1115</v>
      </c>
      <c r="J1690" s="47" t="s">
        <v>26</v>
      </c>
    </row>
    <row r="1691" ht="54" customHeight="1" spans="1:10">
      <c r="A1691" s="48" t="s">
        <v>493</v>
      </c>
      <c r="B1691" s="48" t="s">
        <v>3104</v>
      </c>
      <c r="C1691" s="47" t="s">
        <v>977</v>
      </c>
      <c r="D1691" s="48" t="s">
        <v>978</v>
      </c>
      <c r="E1691" s="48" t="s">
        <v>979</v>
      </c>
      <c r="F1691" s="48" t="s">
        <v>980</v>
      </c>
      <c r="G1691" s="48" t="s">
        <v>981</v>
      </c>
      <c r="H1691" s="47" t="s">
        <v>982</v>
      </c>
      <c r="I1691" s="47" t="s">
        <v>983</v>
      </c>
      <c r="J1691" s="47" t="s">
        <v>26</v>
      </c>
    </row>
    <row r="1692" ht="54" customHeight="1" spans="1:10">
      <c r="A1692" s="48" t="s">
        <v>493</v>
      </c>
      <c r="B1692" s="48" t="s">
        <v>3105</v>
      </c>
      <c r="C1692" s="47" t="s">
        <v>1170</v>
      </c>
      <c r="D1692" s="48" t="s">
        <v>1171</v>
      </c>
      <c r="E1692" s="48" t="s">
        <v>1172</v>
      </c>
      <c r="F1692" s="48" t="s">
        <v>1173</v>
      </c>
      <c r="G1692" s="48" t="s">
        <v>1174</v>
      </c>
      <c r="H1692" s="47" t="s">
        <v>1175</v>
      </c>
      <c r="I1692" s="47" t="s">
        <v>1176</v>
      </c>
      <c r="J1692" s="47" t="s">
        <v>26</v>
      </c>
    </row>
    <row r="1693" ht="54" customHeight="1" spans="1:10">
      <c r="A1693" s="48" t="s">
        <v>495</v>
      </c>
      <c r="B1693" s="48" t="s">
        <v>3106</v>
      </c>
      <c r="C1693" s="47" t="s">
        <v>934</v>
      </c>
      <c r="D1693" s="48" t="s">
        <v>935</v>
      </c>
      <c r="E1693" s="48" t="s">
        <v>936</v>
      </c>
      <c r="F1693" s="48" t="s">
        <v>937</v>
      </c>
      <c r="G1693" s="48" t="s">
        <v>938</v>
      </c>
      <c r="H1693" s="47" t="s">
        <v>939</v>
      </c>
      <c r="I1693" s="47" t="s">
        <v>940</v>
      </c>
      <c r="J1693" s="47" t="s">
        <v>26</v>
      </c>
    </row>
    <row r="1694" ht="54" customHeight="1" spans="1:10">
      <c r="A1694" s="48" t="s">
        <v>495</v>
      </c>
      <c r="B1694" s="48" t="s">
        <v>3107</v>
      </c>
      <c r="C1694" s="47" t="s">
        <v>942</v>
      </c>
      <c r="D1694" s="48" t="s">
        <v>943</v>
      </c>
      <c r="E1694" s="48" t="s">
        <v>944</v>
      </c>
      <c r="F1694" s="48" t="s">
        <v>945</v>
      </c>
      <c r="G1694" s="48" t="s">
        <v>946</v>
      </c>
      <c r="H1694" s="47" t="s">
        <v>947</v>
      </c>
      <c r="I1694" s="47" t="s">
        <v>948</v>
      </c>
      <c r="J1694" s="47" t="s">
        <v>26</v>
      </c>
    </row>
    <row r="1695" ht="54" customHeight="1" spans="1:10">
      <c r="A1695" s="48" t="s">
        <v>495</v>
      </c>
      <c r="B1695" s="48" t="s">
        <v>3108</v>
      </c>
      <c r="C1695" s="47" t="s">
        <v>1388</v>
      </c>
      <c r="D1695" s="48" t="s">
        <v>1037</v>
      </c>
      <c r="E1695" s="48" t="s">
        <v>1038</v>
      </c>
      <c r="F1695" s="48" t="s">
        <v>1389</v>
      </c>
      <c r="G1695" s="48" t="s">
        <v>1390</v>
      </c>
      <c r="H1695" s="47" t="s">
        <v>1391</v>
      </c>
      <c r="I1695" s="47" t="s">
        <v>1392</v>
      </c>
      <c r="J1695" s="47" t="s">
        <v>26</v>
      </c>
    </row>
    <row r="1696" ht="54" customHeight="1" spans="1:10">
      <c r="A1696" s="48" t="s">
        <v>495</v>
      </c>
      <c r="B1696" s="48" t="s">
        <v>3109</v>
      </c>
      <c r="C1696" s="47" t="s">
        <v>971</v>
      </c>
      <c r="D1696" s="48" t="s">
        <v>965</v>
      </c>
      <c r="E1696" s="48" t="s">
        <v>966</v>
      </c>
      <c r="F1696" s="48" t="s">
        <v>972</v>
      </c>
      <c r="G1696" s="48" t="s">
        <v>973</v>
      </c>
      <c r="H1696" s="47" t="s">
        <v>974</v>
      </c>
      <c r="I1696" s="47" t="s">
        <v>975</v>
      </c>
      <c r="J1696" s="47" t="s">
        <v>26</v>
      </c>
    </row>
    <row r="1697" ht="54" customHeight="1" spans="1:10">
      <c r="A1697" s="48" t="s">
        <v>495</v>
      </c>
      <c r="B1697" s="48" t="s">
        <v>3110</v>
      </c>
      <c r="C1697" s="47" t="s">
        <v>977</v>
      </c>
      <c r="D1697" s="48" t="s">
        <v>978</v>
      </c>
      <c r="E1697" s="48" t="s">
        <v>979</v>
      </c>
      <c r="F1697" s="48" t="s">
        <v>980</v>
      </c>
      <c r="G1697" s="48" t="s">
        <v>981</v>
      </c>
      <c r="H1697" s="47" t="s">
        <v>982</v>
      </c>
      <c r="I1697" s="47" t="s">
        <v>983</v>
      </c>
      <c r="J1697" s="47" t="s">
        <v>26</v>
      </c>
    </row>
    <row r="1698" ht="54" customHeight="1" spans="1:10">
      <c r="A1698" s="48" t="s">
        <v>495</v>
      </c>
      <c r="B1698" s="48" t="s">
        <v>3111</v>
      </c>
      <c r="C1698" s="47" t="s">
        <v>1313</v>
      </c>
      <c r="D1698" s="48" t="s">
        <v>1037</v>
      </c>
      <c r="E1698" s="48" t="s">
        <v>1038</v>
      </c>
      <c r="F1698" s="48" t="s">
        <v>1314</v>
      </c>
      <c r="G1698" s="48" t="s">
        <v>1315</v>
      </c>
      <c r="H1698" s="47" t="s">
        <v>1316</v>
      </c>
      <c r="I1698" s="47" t="s">
        <v>1317</v>
      </c>
      <c r="J1698" s="47" t="s">
        <v>26</v>
      </c>
    </row>
    <row r="1699" ht="54" customHeight="1" spans="1:10">
      <c r="A1699" s="48" t="s">
        <v>495</v>
      </c>
      <c r="B1699" s="48" t="s">
        <v>3112</v>
      </c>
      <c r="C1699" s="47" t="s">
        <v>2004</v>
      </c>
      <c r="D1699" s="48" t="s">
        <v>1171</v>
      </c>
      <c r="E1699" s="48" t="s">
        <v>1172</v>
      </c>
      <c r="F1699" s="48" t="s">
        <v>2005</v>
      </c>
      <c r="G1699" s="48" t="s">
        <v>2006</v>
      </c>
      <c r="H1699" s="47" t="s">
        <v>2007</v>
      </c>
      <c r="I1699" s="47" t="s">
        <v>1176</v>
      </c>
      <c r="J1699" s="47" t="s">
        <v>26</v>
      </c>
    </row>
    <row r="1700" ht="54" customHeight="1" spans="1:10">
      <c r="A1700" s="48" t="s">
        <v>497</v>
      </c>
      <c r="B1700" s="48" t="s">
        <v>3113</v>
      </c>
      <c r="C1700" s="47" t="s">
        <v>934</v>
      </c>
      <c r="D1700" s="48" t="s">
        <v>935</v>
      </c>
      <c r="E1700" s="48" t="s">
        <v>936</v>
      </c>
      <c r="F1700" s="48" t="s">
        <v>937</v>
      </c>
      <c r="G1700" s="48" t="s">
        <v>938</v>
      </c>
      <c r="H1700" s="47" t="s">
        <v>939</v>
      </c>
      <c r="I1700" s="47" t="s">
        <v>940</v>
      </c>
      <c r="J1700" s="47" t="s">
        <v>26</v>
      </c>
    </row>
    <row r="1701" ht="54" customHeight="1" spans="1:10">
      <c r="A1701" s="48" t="s">
        <v>497</v>
      </c>
      <c r="B1701" s="48" t="s">
        <v>3114</v>
      </c>
      <c r="C1701" s="47" t="s">
        <v>956</v>
      </c>
      <c r="D1701" s="48" t="s">
        <v>957</v>
      </c>
      <c r="E1701" s="48" t="s">
        <v>958</v>
      </c>
      <c r="F1701" s="48" t="s">
        <v>959</v>
      </c>
      <c r="G1701" s="48" t="s">
        <v>960</v>
      </c>
      <c r="H1701" s="47" t="s">
        <v>961</v>
      </c>
      <c r="I1701" s="47" t="s">
        <v>962</v>
      </c>
      <c r="J1701" s="47" t="s">
        <v>26</v>
      </c>
    </row>
    <row r="1702" ht="54" customHeight="1" spans="1:10">
      <c r="A1702" s="48" t="s">
        <v>497</v>
      </c>
      <c r="B1702" s="48" t="s">
        <v>3115</v>
      </c>
      <c r="C1702" s="47" t="s">
        <v>1105</v>
      </c>
      <c r="D1702" s="48" t="s">
        <v>1009</v>
      </c>
      <c r="E1702" s="48" t="s">
        <v>1010</v>
      </c>
      <c r="F1702" s="48" t="s">
        <v>1106</v>
      </c>
      <c r="G1702" s="48" t="s">
        <v>1107</v>
      </c>
      <c r="H1702" s="47" t="s">
        <v>1108</v>
      </c>
      <c r="I1702" s="47" t="s">
        <v>1109</v>
      </c>
      <c r="J1702" s="47" t="s">
        <v>26</v>
      </c>
    </row>
    <row r="1703" ht="54" customHeight="1" spans="1:10">
      <c r="A1703" s="48" t="s">
        <v>497</v>
      </c>
      <c r="B1703" s="48" t="s">
        <v>3116</v>
      </c>
      <c r="C1703" s="47" t="s">
        <v>1388</v>
      </c>
      <c r="D1703" s="48" t="s">
        <v>1037</v>
      </c>
      <c r="E1703" s="48" t="s">
        <v>1038</v>
      </c>
      <c r="F1703" s="48" t="s">
        <v>1389</v>
      </c>
      <c r="G1703" s="48" t="s">
        <v>1390</v>
      </c>
      <c r="H1703" s="47" t="s">
        <v>1391</v>
      </c>
      <c r="I1703" s="47" t="s">
        <v>1392</v>
      </c>
      <c r="J1703" s="47" t="s">
        <v>26</v>
      </c>
    </row>
    <row r="1704" ht="54" customHeight="1" spans="1:10">
      <c r="A1704" s="48" t="s">
        <v>497</v>
      </c>
      <c r="B1704" s="48" t="s">
        <v>3117</v>
      </c>
      <c r="C1704" s="47" t="s">
        <v>971</v>
      </c>
      <c r="D1704" s="48" t="s">
        <v>965</v>
      </c>
      <c r="E1704" s="48" t="s">
        <v>966</v>
      </c>
      <c r="F1704" s="48" t="s">
        <v>972</v>
      </c>
      <c r="G1704" s="48" t="s">
        <v>973</v>
      </c>
      <c r="H1704" s="47" t="s">
        <v>974</v>
      </c>
      <c r="I1704" s="47" t="s">
        <v>975</v>
      </c>
      <c r="J1704" s="47" t="s">
        <v>26</v>
      </c>
    </row>
    <row r="1705" ht="54" customHeight="1" spans="1:10">
      <c r="A1705" s="48" t="s">
        <v>497</v>
      </c>
      <c r="B1705" s="48" t="s">
        <v>3118</v>
      </c>
      <c r="C1705" s="47" t="s">
        <v>977</v>
      </c>
      <c r="D1705" s="48" t="s">
        <v>978</v>
      </c>
      <c r="E1705" s="48" t="s">
        <v>979</v>
      </c>
      <c r="F1705" s="48" t="s">
        <v>980</v>
      </c>
      <c r="G1705" s="48" t="s">
        <v>981</v>
      </c>
      <c r="H1705" s="47" t="s">
        <v>982</v>
      </c>
      <c r="I1705" s="47" t="s">
        <v>983</v>
      </c>
      <c r="J1705" s="47" t="s">
        <v>26</v>
      </c>
    </row>
    <row r="1706" ht="54" customHeight="1" spans="1:10">
      <c r="A1706" s="48" t="s">
        <v>499</v>
      </c>
      <c r="B1706" s="48" t="s">
        <v>3119</v>
      </c>
      <c r="C1706" s="47" t="s">
        <v>1081</v>
      </c>
      <c r="D1706" s="48" t="s">
        <v>1082</v>
      </c>
      <c r="E1706" s="48" t="s">
        <v>1083</v>
      </c>
      <c r="F1706" s="48" t="s">
        <v>1084</v>
      </c>
      <c r="G1706" s="48" t="s">
        <v>1085</v>
      </c>
      <c r="H1706" s="47" t="s">
        <v>1086</v>
      </c>
      <c r="I1706" s="47" t="s">
        <v>1087</v>
      </c>
      <c r="J1706" s="47" t="s">
        <v>26</v>
      </c>
    </row>
    <row r="1707" ht="54" customHeight="1" spans="1:10">
      <c r="A1707" s="48" t="s">
        <v>499</v>
      </c>
      <c r="B1707" s="48" t="s">
        <v>3120</v>
      </c>
      <c r="C1707" s="47" t="s">
        <v>1767</v>
      </c>
      <c r="D1707" s="48" t="s">
        <v>957</v>
      </c>
      <c r="E1707" s="48" t="s">
        <v>958</v>
      </c>
      <c r="F1707" s="48" t="s">
        <v>1768</v>
      </c>
      <c r="G1707" s="48" t="s">
        <v>1769</v>
      </c>
      <c r="H1707" s="47" t="s">
        <v>1770</v>
      </c>
      <c r="I1707" s="47" t="s">
        <v>1771</v>
      </c>
      <c r="J1707" s="47" t="s">
        <v>26</v>
      </c>
    </row>
    <row r="1708" ht="54" customHeight="1" spans="1:10">
      <c r="A1708" s="48" t="s">
        <v>499</v>
      </c>
      <c r="B1708" s="48" t="s">
        <v>3121</v>
      </c>
      <c r="C1708" s="47" t="s">
        <v>1097</v>
      </c>
      <c r="D1708" s="48" t="s">
        <v>1098</v>
      </c>
      <c r="E1708" s="48" t="s">
        <v>1099</v>
      </c>
      <c r="F1708" s="48" t="s">
        <v>1100</v>
      </c>
      <c r="G1708" s="48" t="s">
        <v>1101</v>
      </c>
      <c r="H1708" s="47" t="s">
        <v>1102</v>
      </c>
      <c r="I1708" s="47" t="s">
        <v>1103</v>
      </c>
      <c r="J1708" s="47" t="s">
        <v>26</v>
      </c>
    </row>
    <row r="1709" ht="54" customHeight="1" spans="1:10">
      <c r="A1709" s="48" t="s">
        <v>499</v>
      </c>
      <c r="B1709" s="48" t="s">
        <v>3122</v>
      </c>
      <c r="C1709" s="47" t="s">
        <v>971</v>
      </c>
      <c r="D1709" s="48" t="s">
        <v>965</v>
      </c>
      <c r="E1709" s="48" t="s">
        <v>966</v>
      </c>
      <c r="F1709" s="48" t="s">
        <v>972</v>
      </c>
      <c r="G1709" s="48" t="s">
        <v>973</v>
      </c>
      <c r="H1709" s="47" t="s">
        <v>974</v>
      </c>
      <c r="I1709" s="47" t="s">
        <v>975</v>
      </c>
      <c r="J1709" s="47" t="s">
        <v>26</v>
      </c>
    </row>
    <row r="1710" ht="54" customHeight="1" spans="1:10">
      <c r="A1710" s="48" t="s">
        <v>499</v>
      </c>
      <c r="B1710" s="48" t="s">
        <v>3123</v>
      </c>
      <c r="C1710" s="47" t="s">
        <v>1205</v>
      </c>
      <c r="D1710" s="48" t="s">
        <v>978</v>
      </c>
      <c r="E1710" s="48" t="s">
        <v>979</v>
      </c>
      <c r="F1710" s="48" t="s">
        <v>1206</v>
      </c>
      <c r="G1710" s="48" t="s">
        <v>1207</v>
      </c>
      <c r="H1710" s="47" t="s">
        <v>1208</v>
      </c>
      <c r="I1710" s="47" t="s">
        <v>1209</v>
      </c>
      <c r="J1710" s="47" t="s">
        <v>26</v>
      </c>
    </row>
    <row r="1711" ht="54" customHeight="1" spans="1:10">
      <c r="A1711" s="48" t="s">
        <v>499</v>
      </c>
      <c r="B1711" s="48" t="s">
        <v>3124</v>
      </c>
      <c r="C1711" s="47" t="s">
        <v>1170</v>
      </c>
      <c r="D1711" s="48" t="s">
        <v>1171</v>
      </c>
      <c r="E1711" s="48" t="s">
        <v>1172</v>
      </c>
      <c r="F1711" s="48" t="s">
        <v>1173</v>
      </c>
      <c r="G1711" s="48" t="s">
        <v>1174</v>
      </c>
      <c r="H1711" s="47" t="s">
        <v>1175</v>
      </c>
      <c r="I1711" s="47" t="s">
        <v>1176</v>
      </c>
      <c r="J1711" s="47" t="s">
        <v>26</v>
      </c>
    </row>
    <row r="1712" ht="54" customHeight="1" spans="1:10">
      <c r="A1712" s="48" t="s">
        <v>501</v>
      </c>
      <c r="B1712" s="48" t="s">
        <v>3125</v>
      </c>
      <c r="C1712" s="47" t="s">
        <v>1153</v>
      </c>
      <c r="D1712" s="48" t="s">
        <v>943</v>
      </c>
      <c r="E1712" s="48" t="s">
        <v>944</v>
      </c>
      <c r="F1712" s="48" t="s">
        <v>1154</v>
      </c>
      <c r="G1712" s="48" t="s">
        <v>1155</v>
      </c>
      <c r="H1712" s="47" t="s">
        <v>1156</v>
      </c>
      <c r="I1712" s="47" t="s">
        <v>1157</v>
      </c>
      <c r="J1712" s="47" t="s">
        <v>26</v>
      </c>
    </row>
    <row r="1713" ht="54" customHeight="1" spans="1:10">
      <c r="A1713" s="48" t="s">
        <v>501</v>
      </c>
      <c r="B1713" s="48" t="s">
        <v>3126</v>
      </c>
      <c r="C1713" s="47" t="s">
        <v>956</v>
      </c>
      <c r="D1713" s="48" t="s">
        <v>957</v>
      </c>
      <c r="E1713" s="48" t="s">
        <v>958</v>
      </c>
      <c r="F1713" s="48" t="s">
        <v>959</v>
      </c>
      <c r="G1713" s="48" t="s">
        <v>960</v>
      </c>
      <c r="H1713" s="47" t="s">
        <v>961</v>
      </c>
      <c r="I1713" s="47" t="s">
        <v>962</v>
      </c>
      <c r="J1713" s="47" t="s">
        <v>26</v>
      </c>
    </row>
    <row r="1714" ht="54" customHeight="1" spans="1:10">
      <c r="A1714" s="48" t="s">
        <v>503</v>
      </c>
      <c r="B1714" s="48" t="s">
        <v>3127</v>
      </c>
      <c r="C1714" s="47" t="s">
        <v>1072</v>
      </c>
      <c r="D1714" s="48" t="s">
        <v>1073</v>
      </c>
      <c r="E1714" s="48" t="s">
        <v>1074</v>
      </c>
      <c r="F1714" s="48" t="s">
        <v>1075</v>
      </c>
      <c r="G1714" s="48" t="s">
        <v>1076</v>
      </c>
      <c r="H1714" s="47" t="s">
        <v>1077</v>
      </c>
      <c r="I1714" s="47" t="s">
        <v>1078</v>
      </c>
      <c r="J1714" s="47" t="s">
        <v>26</v>
      </c>
    </row>
    <row r="1715" ht="54" customHeight="1" spans="1:10">
      <c r="A1715" s="48" t="s">
        <v>503</v>
      </c>
      <c r="B1715" s="48" t="s">
        <v>3128</v>
      </c>
      <c r="C1715" s="47" t="s">
        <v>1459</v>
      </c>
      <c r="D1715" s="48" t="s">
        <v>957</v>
      </c>
      <c r="E1715" s="48" t="s">
        <v>958</v>
      </c>
      <c r="F1715" s="48" t="s">
        <v>1460</v>
      </c>
      <c r="G1715" s="48" t="s">
        <v>1461</v>
      </c>
      <c r="H1715" s="47" t="s">
        <v>1462</v>
      </c>
      <c r="I1715" s="47" t="s">
        <v>1463</v>
      </c>
      <c r="J1715" s="47" t="s">
        <v>26</v>
      </c>
    </row>
    <row r="1716" ht="54" customHeight="1" spans="1:10">
      <c r="A1716" s="48" t="s">
        <v>503</v>
      </c>
      <c r="B1716" s="48" t="s">
        <v>3129</v>
      </c>
      <c r="C1716" s="47" t="s">
        <v>1097</v>
      </c>
      <c r="D1716" s="48" t="s">
        <v>1098</v>
      </c>
      <c r="E1716" s="48" t="s">
        <v>1099</v>
      </c>
      <c r="F1716" s="48" t="s">
        <v>1100</v>
      </c>
      <c r="G1716" s="48" t="s">
        <v>1101</v>
      </c>
      <c r="H1716" s="47" t="s">
        <v>1102</v>
      </c>
      <c r="I1716" s="47" t="s">
        <v>1103</v>
      </c>
      <c r="J1716" s="47" t="s">
        <v>26</v>
      </c>
    </row>
    <row r="1717" ht="54" customHeight="1" spans="1:10">
      <c r="A1717" s="48" t="s">
        <v>503</v>
      </c>
      <c r="B1717" s="48" t="s">
        <v>3130</v>
      </c>
      <c r="C1717" s="47" t="s">
        <v>1137</v>
      </c>
      <c r="D1717" s="48" t="s">
        <v>1138</v>
      </c>
      <c r="E1717" s="48" t="s">
        <v>1139</v>
      </c>
      <c r="F1717" s="48" t="s">
        <v>1140</v>
      </c>
      <c r="G1717" s="48" t="s">
        <v>1141</v>
      </c>
      <c r="H1717" s="47" t="s">
        <v>1142</v>
      </c>
      <c r="I1717" s="47" t="s">
        <v>940</v>
      </c>
      <c r="J1717" s="47" t="s">
        <v>26</v>
      </c>
    </row>
    <row r="1718" ht="54" customHeight="1" spans="1:10">
      <c r="A1718" s="48" t="s">
        <v>503</v>
      </c>
      <c r="B1718" s="48" t="s">
        <v>3131</v>
      </c>
      <c r="C1718" s="47" t="s">
        <v>971</v>
      </c>
      <c r="D1718" s="48" t="s">
        <v>965</v>
      </c>
      <c r="E1718" s="48" t="s">
        <v>966</v>
      </c>
      <c r="F1718" s="48" t="s">
        <v>972</v>
      </c>
      <c r="G1718" s="48" t="s">
        <v>973</v>
      </c>
      <c r="H1718" s="47" t="s">
        <v>974</v>
      </c>
      <c r="I1718" s="47" t="s">
        <v>975</v>
      </c>
      <c r="J1718" s="47" t="s">
        <v>26</v>
      </c>
    </row>
    <row r="1719" ht="54" customHeight="1" spans="1:10">
      <c r="A1719" s="48" t="s">
        <v>503</v>
      </c>
      <c r="B1719" s="48" t="s">
        <v>3132</v>
      </c>
      <c r="C1719" s="47" t="s">
        <v>1313</v>
      </c>
      <c r="D1719" s="48" t="s">
        <v>1037</v>
      </c>
      <c r="E1719" s="48" t="s">
        <v>1038</v>
      </c>
      <c r="F1719" s="48" t="s">
        <v>1314</v>
      </c>
      <c r="G1719" s="48" t="s">
        <v>1315</v>
      </c>
      <c r="H1719" s="47" t="s">
        <v>1316</v>
      </c>
      <c r="I1719" s="47" t="s">
        <v>1317</v>
      </c>
      <c r="J1719" s="47" t="s">
        <v>26</v>
      </c>
    </row>
    <row r="1720" ht="54" customHeight="1" spans="1:10">
      <c r="A1720" s="48" t="s">
        <v>503</v>
      </c>
      <c r="B1720" s="48" t="s">
        <v>3133</v>
      </c>
      <c r="C1720" s="47" t="s">
        <v>1211</v>
      </c>
      <c r="D1720" s="48" t="s">
        <v>965</v>
      </c>
      <c r="E1720" s="48" t="s">
        <v>966</v>
      </c>
      <c r="F1720" s="48" t="s">
        <v>1212</v>
      </c>
      <c r="G1720" s="48" t="s">
        <v>1213</v>
      </c>
      <c r="H1720" s="47" t="s">
        <v>1214</v>
      </c>
      <c r="I1720" s="47" t="s">
        <v>940</v>
      </c>
      <c r="J1720" s="47" t="s">
        <v>26</v>
      </c>
    </row>
    <row r="1721" ht="54" customHeight="1" spans="1:10">
      <c r="A1721" s="48" t="s">
        <v>505</v>
      </c>
      <c r="B1721" s="48" t="s">
        <v>3134</v>
      </c>
      <c r="C1721" s="47" t="s">
        <v>956</v>
      </c>
      <c r="D1721" s="48" t="s">
        <v>957</v>
      </c>
      <c r="E1721" s="48" t="s">
        <v>958</v>
      </c>
      <c r="F1721" s="48" t="s">
        <v>959</v>
      </c>
      <c r="G1721" s="48" t="s">
        <v>960</v>
      </c>
      <c r="H1721" s="47" t="s">
        <v>961</v>
      </c>
      <c r="I1721" s="47" t="s">
        <v>962</v>
      </c>
      <c r="J1721" s="47" t="s">
        <v>26</v>
      </c>
    </row>
    <row r="1722" ht="54" customHeight="1" spans="1:10">
      <c r="A1722" s="48" t="s">
        <v>505</v>
      </c>
      <c r="B1722" s="48" t="s">
        <v>3135</v>
      </c>
      <c r="C1722" s="47" t="s">
        <v>1205</v>
      </c>
      <c r="D1722" s="48" t="s">
        <v>978</v>
      </c>
      <c r="E1722" s="48" t="s">
        <v>979</v>
      </c>
      <c r="F1722" s="48" t="s">
        <v>1206</v>
      </c>
      <c r="G1722" s="48" t="s">
        <v>1207</v>
      </c>
      <c r="H1722" s="47" t="s">
        <v>1208</v>
      </c>
      <c r="I1722" s="47" t="s">
        <v>1209</v>
      </c>
      <c r="J1722" s="47" t="s">
        <v>26</v>
      </c>
    </row>
    <row r="1723" ht="54" customHeight="1" spans="1:10">
      <c r="A1723" s="48" t="s">
        <v>505</v>
      </c>
      <c r="B1723" s="48" t="s">
        <v>3136</v>
      </c>
      <c r="C1723" s="47" t="s">
        <v>1245</v>
      </c>
      <c r="D1723" s="48" t="s">
        <v>1171</v>
      </c>
      <c r="E1723" s="48" t="s">
        <v>1172</v>
      </c>
      <c r="F1723" s="48" t="s">
        <v>1246</v>
      </c>
      <c r="G1723" s="48" t="s">
        <v>1247</v>
      </c>
      <c r="H1723" s="47" t="s">
        <v>1248</v>
      </c>
      <c r="I1723" s="47" t="s">
        <v>1176</v>
      </c>
      <c r="J1723" s="47" t="s">
        <v>26</v>
      </c>
    </row>
    <row r="1724" ht="54" customHeight="1" spans="1:10">
      <c r="A1724" s="48" t="s">
        <v>507</v>
      </c>
      <c r="B1724" s="48" t="s">
        <v>3137</v>
      </c>
      <c r="C1724" s="47" t="s">
        <v>1421</v>
      </c>
      <c r="D1724" s="48" t="s">
        <v>1422</v>
      </c>
      <c r="E1724" s="48" t="s">
        <v>1423</v>
      </c>
      <c r="F1724" s="48" t="s">
        <v>1424</v>
      </c>
      <c r="G1724" s="48" t="s">
        <v>1423</v>
      </c>
      <c r="H1724" s="47" t="s">
        <v>1425</v>
      </c>
      <c r="I1724" s="47" t="s">
        <v>1426</v>
      </c>
      <c r="J1724" s="47" t="s">
        <v>26</v>
      </c>
    </row>
    <row r="1725" ht="54" customHeight="1" spans="1:10">
      <c r="A1725" s="48" t="s">
        <v>507</v>
      </c>
      <c r="B1725" s="48" t="s">
        <v>3138</v>
      </c>
      <c r="C1725" s="47" t="s">
        <v>964</v>
      </c>
      <c r="D1725" s="48" t="s">
        <v>965</v>
      </c>
      <c r="E1725" s="48" t="s">
        <v>966</v>
      </c>
      <c r="F1725" s="48" t="s">
        <v>967</v>
      </c>
      <c r="G1725" s="48" t="s">
        <v>968</v>
      </c>
      <c r="H1725" s="47" t="s">
        <v>969</v>
      </c>
      <c r="I1725" s="47" t="s">
        <v>940</v>
      </c>
      <c r="J1725" s="47" t="s">
        <v>26</v>
      </c>
    </row>
    <row r="1726" ht="54" customHeight="1" spans="1:10">
      <c r="A1726" s="48" t="s">
        <v>507</v>
      </c>
      <c r="B1726" s="48" t="s">
        <v>3139</v>
      </c>
      <c r="C1726" s="47" t="s">
        <v>977</v>
      </c>
      <c r="D1726" s="48" t="s">
        <v>978</v>
      </c>
      <c r="E1726" s="48" t="s">
        <v>979</v>
      </c>
      <c r="F1726" s="48" t="s">
        <v>980</v>
      </c>
      <c r="G1726" s="48" t="s">
        <v>981</v>
      </c>
      <c r="H1726" s="47" t="s">
        <v>982</v>
      </c>
      <c r="I1726" s="47" t="s">
        <v>983</v>
      </c>
      <c r="J1726" s="47" t="s">
        <v>26</v>
      </c>
    </row>
    <row r="1727" ht="54" customHeight="1" spans="1:10">
      <c r="A1727" s="48" t="s">
        <v>509</v>
      </c>
      <c r="B1727" s="48" t="s">
        <v>3140</v>
      </c>
      <c r="C1727" s="47" t="s">
        <v>1081</v>
      </c>
      <c r="D1727" s="48" t="s">
        <v>1082</v>
      </c>
      <c r="E1727" s="48" t="s">
        <v>1083</v>
      </c>
      <c r="F1727" s="48" t="s">
        <v>1084</v>
      </c>
      <c r="G1727" s="48" t="s">
        <v>1085</v>
      </c>
      <c r="H1727" s="47" t="s">
        <v>1086</v>
      </c>
      <c r="I1727" s="47" t="s">
        <v>1087</v>
      </c>
      <c r="J1727" s="47" t="s">
        <v>26</v>
      </c>
    </row>
    <row r="1728" ht="54" customHeight="1" spans="1:10">
      <c r="A1728" s="48" t="s">
        <v>509</v>
      </c>
      <c r="B1728" s="48" t="s">
        <v>3141</v>
      </c>
      <c r="C1728" s="47" t="s">
        <v>1205</v>
      </c>
      <c r="D1728" s="48" t="s">
        <v>978</v>
      </c>
      <c r="E1728" s="48" t="s">
        <v>979</v>
      </c>
      <c r="F1728" s="48" t="s">
        <v>1206</v>
      </c>
      <c r="G1728" s="48" t="s">
        <v>1207</v>
      </c>
      <c r="H1728" s="47" t="s">
        <v>1208</v>
      </c>
      <c r="I1728" s="47" t="s">
        <v>1209</v>
      </c>
      <c r="J1728" s="47" t="s">
        <v>26</v>
      </c>
    </row>
    <row r="1729" ht="54" customHeight="1" spans="1:10">
      <c r="A1729" s="48" t="s">
        <v>509</v>
      </c>
      <c r="B1729" s="48" t="s">
        <v>3142</v>
      </c>
      <c r="C1729" s="47" t="s">
        <v>1145</v>
      </c>
      <c r="D1729" s="48" t="s">
        <v>1146</v>
      </c>
      <c r="E1729" s="48" t="s">
        <v>1147</v>
      </c>
      <c r="F1729" s="48" t="s">
        <v>1148</v>
      </c>
      <c r="G1729" s="48" t="s">
        <v>1149</v>
      </c>
      <c r="H1729" s="47" t="s">
        <v>1150</v>
      </c>
      <c r="I1729" s="47" t="s">
        <v>1151</v>
      </c>
      <c r="J1729" s="47" t="s">
        <v>26</v>
      </c>
    </row>
    <row r="1730" ht="54" customHeight="1" spans="1:10">
      <c r="A1730" s="48" t="s">
        <v>509</v>
      </c>
      <c r="B1730" s="48" t="s">
        <v>3143</v>
      </c>
      <c r="C1730" s="47" t="s">
        <v>1245</v>
      </c>
      <c r="D1730" s="48" t="s">
        <v>1171</v>
      </c>
      <c r="E1730" s="48" t="s">
        <v>1172</v>
      </c>
      <c r="F1730" s="48" t="s">
        <v>1246</v>
      </c>
      <c r="G1730" s="48" t="s">
        <v>1247</v>
      </c>
      <c r="H1730" s="47" t="s">
        <v>1248</v>
      </c>
      <c r="I1730" s="47" t="s">
        <v>1176</v>
      </c>
      <c r="J1730" s="47" t="s">
        <v>26</v>
      </c>
    </row>
    <row r="1731" ht="54" customHeight="1" spans="1:10">
      <c r="A1731" s="48" t="s">
        <v>511</v>
      </c>
      <c r="B1731" s="48" t="s">
        <v>3144</v>
      </c>
      <c r="C1731" s="47" t="s">
        <v>934</v>
      </c>
      <c r="D1731" s="48" t="s">
        <v>935</v>
      </c>
      <c r="E1731" s="48" t="s">
        <v>936</v>
      </c>
      <c r="F1731" s="48" t="s">
        <v>937</v>
      </c>
      <c r="G1731" s="48" t="s">
        <v>938</v>
      </c>
      <c r="H1731" s="47" t="s">
        <v>939</v>
      </c>
      <c r="I1731" s="47" t="s">
        <v>940</v>
      </c>
      <c r="J1731" s="47" t="s">
        <v>26</v>
      </c>
    </row>
    <row r="1732" ht="54" customHeight="1" spans="1:10">
      <c r="A1732" s="48" t="s">
        <v>511</v>
      </c>
      <c r="B1732" s="48" t="s">
        <v>3145</v>
      </c>
      <c r="C1732" s="47" t="s">
        <v>1052</v>
      </c>
      <c r="D1732" s="48" t="s">
        <v>1009</v>
      </c>
      <c r="E1732" s="48" t="s">
        <v>1010</v>
      </c>
      <c r="F1732" s="48" t="s">
        <v>1053</v>
      </c>
      <c r="G1732" s="48" t="s">
        <v>1054</v>
      </c>
      <c r="H1732" s="47" t="s">
        <v>1055</v>
      </c>
      <c r="I1732" s="47" t="s">
        <v>1056</v>
      </c>
      <c r="J1732" s="47" t="s">
        <v>26</v>
      </c>
    </row>
    <row r="1733" ht="54" customHeight="1" spans="1:10">
      <c r="A1733" s="48" t="s">
        <v>511</v>
      </c>
      <c r="B1733" s="48" t="s">
        <v>3146</v>
      </c>
      <c r="C1733" s="47" t="s">
        <v>971</v>
      </c>
      <c r="D1733" s="48" t="s">
        <v>965</v>
      </c>
      <c r="E1733" s="48" t="s">
        <v>966</v>
      </c>
      <c r="F1733" s="48" t="s">
        <v>972</v>
      </c>
      <c r="G1733" s="48" t="s">
        <v>973</v>
      </c>
      <c r="H1733" s="47" t="s">
        <v>974</v>
      </c>
      <c r="I1733" s="47" t="s">
        <v>975</v>
      </c>
      <c r="J1733" s="47" t="s">
        <v>26</v>
      </c>
    </row>
    <row r="1734" ht="54" customHeight="1" spans="1:10">
      <c r="A1734" s="48" t="s">
        <v>511</v>
      </c>
      <c r="B1734" s="48" t="s">
        <v>3147</v>
      </c>
      <c r="C1734" s="47" t="s">
        <v>1291</v>
      </c>
      <c r="D1734" s="48" t="s">
        <v>965</v>
      </c>
      <c r="E1734" s="48" t="s">
        <v>966</v>
      </c>
      <c r="F1734" s="48" t="s">
        <v>1292</v>
      </c>
      <c r="G1734" s="48" t="s">
        <v>1293</v>
      </c>
      <c r="H1734" s="47" t="s">
        <v>1294</v>
      </c>
      <c r="I1734" s="47" t="s">
        <v>1295</v>
      </c>
      <c r="J1734" s="47" t="s">
        <v>26</v>
      </c>
    </row>
    <row r="1735" ht="54" customHeight="1" spans="1:10">
      <c r="A1735" s="48" t="s">
        <v>511</v>
      </c>
      <c r="B1735" s="48" t="s">
        <v>3148</v>
      </c>
      <c r="C1735" s="47" t="s">
        <v>1356</v>
      </c>
      <c r="D1735" s="48" t="s">
        <v>1082</v>
      </c>
      <c r="E1735" s="48" t="s">
        <v>1083</v>
      </c>
      <c r="F1735" s="48" t="s">
        <v>1357</v>
      </c>
      <c r="G1735" s="48" t="s">
        <v>1358</v>
      </c>
      <c r="H1735" s="47" t="s">
        <v>1359</v>
      </c>
      <c r="I1735" s="47" t="s">
        <v>1360</v>
      </c>
      <c r="J1735" s="47" t="s">
        <v>26</v>
      </c>
    </row>
    <row r="1736" ht="54" customHeight="1" spans="1:10">
      <c r="A1736" s="48" t="s">
        <v>511</v>
      </c>
      <c r="B1736" s="48" t="s">
        <v>3149</v>
      </c>
      <c r="C1736" s="47" t="s">
        <v>1145</v>
      </c>
      <c r="D1736" s="48" t="s">
        <v>1146</v>
      </c>
      <c r="E1736" s="48" t="s">
        <v>1147</v>
      </c>
      <c r="F1736" s="48" t="s">
        <v>1148</v>
      </c>
      <c r="G1736" s="48" t="s">
        <v>1149</v>
      </c>
      <c r="H1736" s="47" t="s">
        <v>1150</v>
      </c>
      <c r="I1736" s="47" t="s">
        <v>1151</v>
      </c>
      <c r="J1736" s="47" t="s">
        <v>26</v>
      </c>
    </row>
    <row r="1737" ht="54" customHeight="1" spans="1:10">
      <c r="A1737" s="48" t="s">
        <v>513</v>
      </c>
      <c r="B1737" s="48" t="s">
        <v>3150</v>
      </c>
      <c r="C1737" s="47" t="s">
        <v>934</v>
      </c>
      <c r="D1737" s="48" t="s">
        <v>935</v>
      </c>
      <c r="E1737" s="48" t="s">
        <v>936</v>
      </c>
      <c r="F1737" s="48" t="s">
        <v>937</v>
      </c>
      <c r="G1737" s="48" t="s">
        <v>938</v>
      </c>
      <c r="H1737" s="47" t="s">
        <v>939</v>
      </c>
      <c r="I1737" s="47" t="s">
        <v>940</v>
      </c>
      <c r="J1737" s="47" t="s">
        <v>26</v>
      </c>
    </row>
    <row r="1738" ht="54" customHeight="1" spans="1:10">
      <c r="A1738" s="48" t="s">
        <v>513</v>
      </c>
      <c r="B1738" s="48" t="s">
        <v>3151</v>
      </c>
      <c r="C1738" s="47" t="s">
        <v>1421</v>
      </c>
      <c r="D1738" s="48" t="s">
        <v>1422</v>
      </c>
      <c r="E1738" s="48" t="s">
        <v>1423</v>
      </c>
      <c r="F1738" s="48" t="s">
        <v>1424</v>
      </c>
      <c r="G1738" s="48" t="s">
        <v>1423</v>
      </c>
      <c r="H1738" s="47" t="s">
        <v>1425</v>
      </c>
      <c r="I1738" s="47" t="s">
        <v>1426</v>
      </c>
      <c r="J1738" s="47" t="s">
        <v>26</v>
      </c>
    </row>
    <row r="1739" ht="54" customHeight="1" spans="1:10">
      <c r="A1739" s="48" t="s">
        <v>513</v>
      </c>
      <c r="B1739" s="48" t="s">
        <v>3152</v>
      </c>
      <c r="C1739" s="47" t="s">
        <v>1681</v>
      </c>
      <c r="D1739" s="48" t="s">
        <v>943</v>
      </c>
      <c r="E1739" s="48" t="s">
        <v>944</v>
      </c>
      <c r="F1739" s="48" t="s">
        <v>1682</v>
      </c>
      <c r="G1739" s="48" t="s">
        <v>1683</v>
      </c>
      <c r="H1739" s="47" t="s">
        <v>1684</v>
      </c>
      <c r="I1739" s="47" t="s">
        <v>1685</v>
      </c>
      <c r="J1739" s="47" t="s">
        <v>26</v>
      </c>
    </row>
    <row r="1740" ht="54" customHeight="1" spans="1:10">
      <c r="A1740" s="48" t="s">
        <v>513</v>
      </c>
      <c r="B1740" s="48" t="s">
        <v>3153</v>
      </c>
      <c r="C1740" s="47" t="s">
        <v>956</v>
      </c>
      <c r="D1740" s="48" t="s">
        <v>957</v>
      </c>
      <c r="E1740" s="48" t="s">
        <v>958</v>
      </c>
      <c r="F1740" s="48" t="s">
        <v>959</v>
      </c>
      <c r="G1740" s="48" t="s">
        <v>960</v>
      </c>
      <c r="H1740" s="47" t="s">
        <v>961</v>
      </c>
      <c r="I1740" s="47" t="s">
        <v>962</v>
      </c>
      <c r="J1740" s="47" t="s">
        <v>26</v>
      </c>
    </row>
    <row r="1741" ht="54" customHeight="1" spans="1:10">
      <c r="A1741" s="48" t="s">
        <v>513</v>
      </c>
      <c r="B1741" s="48" t="s">
        <v>3154</v>
      </c>
      <c r="C1741" s="47" t="s">
        <v>1066</v>
      </c>
      <c r="D1741" s="48" t="s">
        <v>935</v>
      </c>
      <c r="E1741" s="48" t="s">
        <v>936</v>
      </c>
      <c r="F1741" s="48" t="s">
        <v>1067</v>
      </c>
      <c r="G1741" s="48" t="s">
        <v>1068</v>
      </c>
      <c r="H1741" s="47" t="s">
        <v>1069</v>
      </c>
      <c r="I1741" s="47" t="s">
        <v>940</v>
      </c>
      <c r="J1741" s="47" t="s">
        <v>26</v>
      </c>
    </row>
    <row r="1742" ht="54" customHeight="1" spans="1:10">
      <c r="A1742" s="48" t="s">
        <v>513</v>
      </c>
      <c r="B1742" s="48" t="s">
        <v>3155</v>
      </c>
      <c r="C1742" s="47" t="s">
        <v>971</v>
      </c>
      <c r="D1742" s="48" t="s">
        <v>965</v>
      </c>
      <c r="E1742" s="48" t="s">
        <v>966</v>
      </c>
      <c r="F1742" s="48" t="s">
        <v>972</v>
      </c>
      <c r="G1742" s="48" t="s">
        <v>973</v>
      </c>
      <c r="H1742" s="47" t="s">
        <v>974</v>
      </c>
      <c r="I1742" s="47" t="s">
        <v>975</v>
      </c>
      <c r="J1742" s="47" t="s">
        <v>26</v>
      </c>
    </row>
    <row r="1743" ht="54" customHeight="1" spans="1:10">
      <c r="A1743" s="48" t="s">
        <v>515</v>
      </c>
      <c r="B1743" s="48" t="s">
        <v>3156</v>
      </c>
      <c r="C1743" s="47" t="s">
        <v>934</v>
      </c>
      <c r="D1743" s="48" t="s">
        <v>935</v>
      </c>
      <c r="E1743" s="48" t="s">
        <v>936</v>
      </c>
      <c r="F1743" s="48" t="s">
        <v>937</v>
      </c>
      <c r="G1743" s="48" t="s">
        <v>938</v>
      </c>
      <c r="H1743" s="47" t="s">
        <v>939</v>
      </c>
      <c r="I1743" s="47" t="s">
        <v>940</v>
      </c>
      <c r="J1743" s="47" t="s">
        <v>26</v>
      </c>
    </row>
    <row r="1744" ht="54" customHeight="1" spans="1:10">
      <c r="A1744" s="48" t="s">
        <v>515</v>
      </c>
      <c r="B1744" s="48" t="s">
        <v>3157</v>
      </c>
      <c r="C1744" s="47" t="s">
        <v>1052</v>
      </c>
      <c r="D1744" s="48" t="s">
        <v>1009</v>
      </c>
      <c r="E1744" s="48" t="s">
        <v>1010</v>
      </c>
      <c r="F1744" s="48" t="s">
        <v>1053</v>
      </c>
      <c r="G1744" s="48" t="s">
        <v>1054</v>
      </c>
      <c r="H1744" s="47" t="s">
        <v>1055</v>
      </c>
      <c r="I1744" s="47" t="s">
        <v>1056</v>
      </c>
      <c r="J1744" s="47" t="s">
        <v>26</v>
      </c>
    </row>
    <row r="1745" ht="54" customHeight="1" spans="1:10">
      <c r="A1745" s="48" t="s">
        <v>515</v>
      </c>
      <c r="B1745" s="48" t="s">
        <v>3158</v>
      </c>
      <c r="C1745" s="47" t="s">
        <v>1388</v>
      </c>
      <c r="D1745" s="48" t="s">
        <v>1037</v>
      </c>
      <c r="E1745" s="48" t="s">
        <v>1038</v>
      </c>
      <c r="F1745" s="48" t="s">
        <v>1389</v>
      </c>
      <c r="G1745" s="48" t="s">
        <v>1390</v>
      </c>
      <c r="H1745" s="47" t="s">
        <v>1391</v>
      </c>
      <c r="I1745" s="47" t="s">
        <v>1392</v>
      </c>
      <c r="J1745" s="47" t="s">
        <v>26</v>
      </c>
    </row>
    <row r="1746" ht="54" customHeight="1" spans="1:10">
      <c r="A1746" s="48" t="s">
        <v>515</v>
      </c>
      <c r="B1746" s="48" t="s">
        <v>3159</v>
      </c>
      <c r="C1746" s="47" t="s">
        <v>1117</v>
      </c>
      <c r="D1746" s="48" t="s">
        <v>1118</v>
      </c>
      <c r="E1746" s="48" t="s">
        <v>1119</v>
      </c>
      <c r="F1746" s="48" t="s">
        <v>1120</v>
      </c>
      <c r="G1746" s="48" t="s">
        <v>1121</v>
      </c>
      <c r="H1746" s="47" t="s">
        <v>1122</v>
      </c>
      <c r="I1746" s="47" t="s">
        <v>1123</v>
      </c>
      <c r="J1746" s="47" t="s">
        <v>26</v>
      </c>
    </row>
    <row r="1747" ht="54" customHeight="1" spans="1:10">
      <c r="A1747" s="48" t="s">
        <v>515</v>
      </c>
      <c r="B1747" s="48" t="s">
        <v>3160</v>
      </c>
      <c r="C1747" s="47" t="s">
        <v>1429</v>
      </c>
      <c r="D1747" s="48" t="s">
        <v>1430</v>
      </c>
      <c r="E1747" s="48" t="s">
        <v>1431</v>
      </c>
      <c r="F1747" s="48" t="s">
        <v>1432</v>
      </c>
      <c r="G1747" s="48" t="s">
        <v>1433</v>
      </c>
      <c r="H1747" s="47" t="s">
        <v>1434</v>
      </c>
      <c r="I1747" s="47" t="s">
        <v>1435</v>
      </c>
      <c r="J1747" s="47" t="s">
        <v>26</v>
      </c>
    </row>
    <row r="1748" ht="54" customHeight="1" spans="1:10">
      <c r="A1748" s="48" t="s">
        <v>515</v>
      </c>
      <c r="B1748" s="48" t="s">
        <v>3161</v>
      </c>
      <c r="C1748" s="47" t="s">
        <v>971</v>
      </c>
      <c r="D1748" s="48" t="s">
        <v>965</v>
      </c>
      <c r="E1748" s="48" t="s">
        <v>966</v>
      </c>
      <c r="F1748" s="48" t="s">
        <v>972</v>
      </c>
      <c r="G1748" s="48" t="s">
        <v>973</v>
      </c>
      <c r="H1748" s="47" t="s">
        <v>974</v>
      </c>
      <c r="I1748" s="47" t="s">
        <v>975</v>
      </c>
      <c r="J1748" s="47" t="s">
        <v>26</v>
      </c>
    </row>
    <row r="1749" ht="54" customHeight="1" spans="1:10">
      <c r="A1749" s="48" t="s">
        <v>517</v>
      </c>
      <c r="B1749" s="48" t="s">
        <v>3162</v>
      </c>
      <c r="C1749" s="47" t="s">
        <v>1421</v>
      </c>
      <c r="D1749" s="48" t="s">
        <v>1422</v>
      </c>
      <c r="E1749" s="48" t="s">
        <v>1423</v>
      </c>
      <c r="F1749" s="48" t="s">
        <v>1424</v>
      </c>
      <c r="G1749" s="48" t="s">
        <v>1423</v>
      </c>
      <c r="H1749" s="47" t="s">
        <v>1425</v>
      </c>
      <c r="I1749" s="47" t="s">
        <v>1426</v>
      </c>
      <c r="J1749" s="47" t="s">
        <v>26</v>
      </c>
    </row>
    <row r="1750" ht="54" customHeight="1" spans="1:10">
      <c r="A1750" s="48" t="s">
        <v>517</v>
      </c>
      <c r="B1750" s="48" t="s">
        <v>3163</v>
      </c>
      <c r="C1750" s="47" t="s">
        <v>1008</v>
      </c>
      <c r="D1750" s="48" t="s">
        <v>1009</v>
      </c>
      <c r="E1750" s="48" t="s">
        <v>1010</v>
      </c>
      <c r="F1750" s="48" t="s">
        <v>1011</v>
      </c>
      <c r="G1750" s="48" t="s">
        <v>1012</v>
      </c>
      <c r="H1750" s="47" t="s">
        <v>1013</v>
      </c>
      <c r="I1750" s="47" t="s">
        <v>1014</v>
      </c>
      <c r="J1750" s="47" t="s">
        <v>26</v>
      </c>
    </row>
    <row r="1751" ht="54" customHeight="1" spans="1:10">
      <c r="A1751" s="48" t="s">
        <v>517</v>
      </c>
      <c r="B1751" s="48" t="s">
        <v>3164</v>
      </c>
      <c r="C1751" s="47" t="s">
        <v>1022</v>
      </c>
      <c r="D1751" s="48" t="s">
        <v>957</v>
      </c>
      <c r="E1751" s="48" t="s">
        <v>958</v>
      </c>
      <c r="F1751" s="48" t="s">
        <v>1023</v>
      </c>
      <c r="G1751" s="48" t="s">
        <v>1024</v>
      </c>
      <c r="H1751" s="47" t="s">
        <v>1025</v>
      </c>
      <c r="I1751" s="47" t="s">
        <v>1026</v>
      </c>
      <c r="J1751" s="47" t="s">
        <v>26</v>
      </c>
    </row>
    <row r="1752" ht="54" customHeight="1" spans="1:10">
      <c r="A1752" s="48" t="s">
        <v>517</v>
      </c>
      <c r="B1752" s="48" t="s">
        <v>3165</v>
      </c>
      <c r="C1752" s="47" t="s">
        <v>1183</v>
      </c>
      <c r="D1752" s="48" t="s">
        <v>1184</v>
      </c>
      <c r="E1752" s="48" t="s">
        <v>1185</v>
      </c>
      <c r="F1752" s="48" t="s">
        <v>1186</v>
      </c>
      <c r="G1752" s="48" t="s">
        <v>1187</v>
      </c>
      <c r="H1752" s="47" t="s">
        <v>1188</v>
      </c>
      <c r="I1752" s="47" t="s">
        <v>1189</v>
      </c>
      <c r="J1752" s="47" t="s">
        <v>26</v>
      </c>
    </row>
    <row r="1753" ht="54" customHeight="1" spans="1:10">
      <c r="A1753" s="48" t="s">
        <v>517</v>
      </c>
      <c r="B1753" s="48" t="s">
        <v>3166</v>
      </c>
      <c r="C1753" s="47" t="s">
        <v>1610</v>
      </c>
      <c r="D1753" s="48" t="s">
        <v>1098</v>
      </c>
      <c r="E1753" s="48" t="s">
        <v>1099</v>
      </c>
      <c r="F1753" s="48" t="s">
        <v>1611</v>
      </c>
      <c r="G1753" s="48" t="s">
        <v>1612</v>
      </c>
      <c r="H1753" s="47" t="s">
        <v>1613</v>
      </c>
      <c r="I1753" s="47" t="s">
        <v>1614</v>
      </c>
      <c r="J1753" s="47" t="s">
        <v>26</v>
      </c>
    </row>
    <row r="1754" ht="54" customHeight="1" spans="1:10">
      <c r="A1754" s="48" t="s">
        <v>517</v>
      </c>
      <c r="B1754" s="48" t="s">
        <v>3167</v>
      </c>
      <c r="C1754" s="47" t="s">
        <v>1252</v>
      </c>
      <c r="D1754" s="48" t="s">
        <v>1001</v>
      </c>
      <c r="E1754" s="48" t="s">
        <v>1002</v>
      </c>
      <c r="F1754" s="48" t="s">
        <v>1253</v>
      </c>
      <c r="G1754" s="48" t="s">
        <v>1254</v>
      </c>
      <c r="H1754" s="47" t="s">
        <v>1255</v>
      </c>
      <c r="I1754" s="47" t="s">
        <v>1256</v>
      </c>
      <c r="J1754" s="47" t="s">
        <v>26</v>
      </c>
    </row>
    <row r="1755" ht="54" customHeight="1" spans="1:10">
      <c r="A1755" s="48" t="s">
        <v>519</v>
      </c>
      <c r="B1755" s="48" t="s">
        <v>3168</v>
      </c>
      <c r="C1755" s="47" t="s">
        <v>942</v>
      </c>
      <c r="D1755" s="48" t="s">
        <v>943</v>
      </c>
      <c r="E1755" s="48" t="s">
        <v>944</v>
      </c>
      <c r="F1755" s="48" t="s">
        <v>945</v>
      </c>
      <c r="G1755" s="48" t="s">
        <v>946</v>
      </c>
      <c r="H1755" s="47" t="s">
        <v>947</v>
      </c>
      <c r="I1755" s="47" t="s">
        <v>948</v>
      </c>
      <c r="J1755" s="47" t="s">
        <v>26</v>
      </c>
    </row>
    <row r="1756" ht="54" customHeight="1" spans="1:10">
      <c r="A1756" s="48" t="s">
        <v>519</v>
      </c>
      <c r="B1756" s="48" t="s">
        <v>3169</v>
      </c>
      <c r="C1756" s="47" t="s">
        <v>1022</v>
      </c>
      <c r="D1756" s="48" t="s">
        <v>957</v>
      </c>
      <c r="E1756" s="48" t="s">
        <v>958</v>
      </c>
      <c r="F1756" s="48" t="s">
        <v>1023</v>
      </c>
      <c r="G1756" s="48" t="s">
        <v>1024</v>
      </c>
      <c r="H1756" s="47" t="s">
        <v>1025</v>
      </c>
      <c r="I1756" s="47" t="s">
        <v>1026</v>
      </c>
      <c r="J1756" s="47" t="s">
        <v>26</v>
      </c>
    </row>
    <row r="1757" ht="54" customHeight="1" spans="1:10">
      <c r="A1757" s="48" t="s">
        <v>519</v>
      </c>
      <c r="B1757" s="48" t="s">
        <v>3170</v>
      </c>
      <c r="C1757" s="47" t="s">
        <v>956</v>
      </c>
      <c r="D1757" s="48" t="s">
        <v>957</v>
      </c>
      <c r="E1757" s="48" t="s">
        <v>958</v>
      </c>
      <c r="F1757" s="48" t="s">
        <v>959</v>
      </c>
      <c r="G1757" s="48" t="s">
        <v>960</v>
      </c>
      <c r="H1757" s="47" t="s">
        <v>961</v>
      </c>
      <c r="I1757" s="47" t="s">
        <v>962</v>
      </c>
      <c r="J1757" s="47" t="s">
        <v>26</v>
      </c>
    </row>
    <row r="1758" ht="54" customHeight="1" spans="1:10">
      <c r="A1758" s="48" t="s">
        <v>519</v>
      </c>
      <c r="B1758" s="48" t="s">
        <v>3171</v>
      </c>
      <c r="C1758" s="47" t="s">
        <v>1297</v>
      </c>
      <c r="D1758" s="48" t="s">
        <v>1009</v>
      </c>
      <c r="E1758" s="48" t="s">
        <v>1010</v>
      </c>
      <c r="F1758" s="48" t="s">
        <v>1298</v>
      </c>
      <c r="G1758" s="48" t="s">
        <v>1299</v>
      </c>
      <c r="H1758" s="47" t="s">
        <v>1300</v>
      </c>
      <c r="I1758" s="47" t="s">
        <v>1301</v>
      </c>
      <c r="J1758" s="47" t="s">
        <v>26</v>
      </c>
    </row>
    <row r="1759" ht="54" customHeight="1" spans="1:10">
      <c r="A1759" s="48" t="s">
        <v>519</v>
      </c>
      <c r="B1759" s="48" t="s">
        <v>3172</v>
      </c>
      <c r="C1759" s="47" t="s">
        <v>1097</v>
      </c>
      <c r="D1759" s="48" t="s">
        <v>1098</v>
      </c>
      <c r="E1759" s="48" t="s">
        <v>1099</v>
      </c>
      <c r="F1759" s="48" t="s">
        <v>1100</v>
      </c>
      <c r="G1759" s="48" t="s">
        <v>1101</v>
      </c>
      <c r="H1759" s="47" t="s">
        <v>1102</v>
      </c>
      <c r="I1759" s="47" t="s">
        <v>1103</v>
      </c>
      <c r="J1759" s="47" t="s">
        <v>26</v>
      </c>
    </row>
    <row r="1760" ht="54" customHeight="1" spans="1:10">
      <c r="A1760" s="48" t="s">
        <v>519</v>
      </c>
      <c r="B1760" s="48" t="s">
        <v>3173</v>
      </c>
      <c r="C1760" s="47" t="s">
        <v>1111</v>
      </c>
      <c r="D1760" s="48" t="s">
        <v>965</v>
      </c>
      <c r="E1760" s="48" t="s">
        <v>966</v>
      </c>
      <c r="F1760" s="48" t="s">
        <v>1112</v>
      </c>
      <c r="G1760" s="48" t="s">
        <v>1113</v>
      </c>
      <c r="H1760" s="47" t="s">
        <v>1114</v>
      </c>
      <c r="I1760" s="47" t="s">
        <v>1115</v>
      </c>
      <c r="J1760" s="47" t="s">
        <v>26</v>
      </c>
    </row>
    <row r="1761" ht="54" customHeight="1" spans="1:10">
      <c r="A1761" s="48" t="s">
        <v>521</v>
      </c>
      <c r="B1761" s="48" t="s">
        <v>3174</v>
      </c>
      <c r="C1761" s="47" t="s">
        <v>992</v>
      </c>
      <c r="D1761" s="48" t="s">
        <v>993</v>
      </c>
      <c r="E1761" s="48" t="s">
        <v>994</v>
      </c>
      <c r="F1761" s="48" t="s">
        <v>995</v>
      </c>
      <c r="G1761" s="48" t="s">
        <v>996</v>
      </c>
      <c r="H1761" s="47" t="s">
        <v>997</v>
      </c>
      <c r="I1761" s="47" t="s">
        <v>998</v>
      </c>
      <c r="J1761" s="47" t="s">
        <v>26</v>
      </c>
    </row>
    <row r="1762" ht="54" customHeight="1" spans="1:10">
      <c r="A1762" s="48" t="s">
        <v>521</v>
      </c>
      <c r="B1762" s="48" t="s">
        <v>3175</v>
      </c>
      <c r="C1762" s="47" t="s">
        <v>1362</v>
      </c>
      <c r="D1762" s="48" t="s">
        <v>1059</v>
      </c>
      <c r="E1762" s="48" t="s">
        <v>1060</v>
      </c>
      <c r="F1762" s="48" t="s">
        <v>1363</v>
      </c>
      <c r="G1762" s="48" t="s">
        <v>1364</v>
      </c>
      <c r="H1762" s="47" t="s">
        <v>1365</v>
      </c>
      <c r="I1762" s="47" t="s">
        <v>1366</v>
      </c>
      <c r="J1762" s="47" t="s">
        <v>26</v>
      </c>
    </row>
    <row r="1763" ht="54" customHeight="1" spans="1:10">
      <c r="A1763" s="48" t="s">
        <v>523</v>
      </c>
      <c r="B1763" s="48" t="s">
        <v>3176</v>
      </c>
      <c r="C1763" s="47" t="s">
        <v>1480</v>
      </c>
      <c r="D1763" s="48" t="s">
        <v>1001</v>
      </c>
      <c r="E1763" s="48" t="s">
        <v>1002</v>
      </c>
      <c r="F1763" s="48" t="s">
        <v>1481</v>
      </c>
      <c r="G1763" s="48" t="s">
        <v>1482</v>
      </c>
      <c r="H1763" s="47" t="s">
        <v>1483</v>
      </c>
      <c r="I1763" s="47" t="s">
        <v>1484</v>
      </c>
      <c r="J1763" s="47" t="s">
        <v>26</v>
      </c>
    </row>
    <row r="1764" ht="54" customHeight="1" spans="1:10">
      <c r="A1764" s="48" t="s">
        <v>523</v>
      </c>
      <c r="B1764" s="48" t="s">
        <v>3177</v>
      </c>
      <c r="C1764" s="47" t="s">
        <v>1022</v>
      </c>
      <c r="D1764" s="48" t="s">
        <v>957</v>
      </c>
      <c r="E1764" s="48" t="s">
        <v>958</v>
      </c>
      <c r="F1764" s="48" t="s">
        <v>1023</v>
      </c>
      <c r="G1764" s="48" t="s">
        <v>1024</v>
      </c>
      <c r="H1764" s="47" t="s">
        <v>1025</v>
      </c>
      <c r="I1764" s="47" t="s">
        <v>1026</v>
      </c>
      <c r="J1764" s="47" t="s">
        <v>26</v>
      </c>
    </row>
    <row r="1765" ht="54" customHeight="1" spans="1:10">
      <c r="A1765" s="48" t="s">
        <v>523</v>
      </c>
      <c r="B1765" s="48" t="s">
        <v>3178</v>
      </c>
      <c r="C1765" s="47" t="s">
        <v>1052</v>
      </c>
      <c r="D1765" s="48" t="s">
        <v>1009</v>
      </c>
      <c r="E1765" s="48" t="s">
        <v>1010</v>
      </c>
      <c r="F1765" s="48" t="s">
        <v>1053</v>
      </c>
      <c r="G1765" s="48" t="s">
        <v>1054</v>
      </c>
      <c r="H1765" s="47" t="s">
        <v>1055</v>
      </c>
      <c r="I1765" s="47" t="s">
        <v>1056</v>
      </c>
      <c r="J1765" s="47" t="s">
        <v>26</v>
      </c>
    </row>
    <row r="1766" ht="54" customHeight="1" spans="1:10">
      <c r="A1766" s="48" t="s">
        <v>523</v>
      </c>
      <c r="B1766" s="48" t="s">
        <v>3179</v>
      </c>
      <c r="C1766" s="47" t="s">
        <v>1137</v>
      </c>
      <c r="D1766" s="48" t="s">
        <v>1138</v>
      </c>
      <c r="E1766" s="48" t="s">
        <v>1139</v>
      </c>
      <c r="F1766" s="48" t="s">
        <v>1140</v>
      </c>
      <c r="G1766" s="48" t="s">
        <v>1141</v>
      </c>
      <c r="H1766" s="47" t="s">
        <v>1142</v>
      </c>
      <c r="I1766" s="47" t="s">
        <v>940</v>
      </c>
      <c r="J1766" s="47" t="s">
        <v>26</v>
      </c>
    </row>
    <row r="1767" ht="54" customHeight="1" spans="1:10">
      <c r="A1767" s="48" t="s">
        <v>523</v>
      </c>
      <c r="B1767" s="48" t="s">
        <v>3180</v>
      </c>
      <c r="C1767" s="47" t="s">
        <v>1205</v>
      </c>
      <c r="D1767" s="48" t="s">
        <v>978</v>
      </c>
      <c r="E1767" s="48" t="s">
        <v>979</v>
      </c>
      <c r="F1767" s="48" t="s">
        <v>1206</v>
      </c>
      <c r="G1767" s="48" t="s">
        <v>1207</v>
      </c>
      <c r="H1767" s="47" t="s">
        <v>1208</v>
      </c>
      <c r="I1767" s="47" t="s">
        <v>1209</v>
      </c>
      <c r="J1767" s="47" t="s">
        <v>26</v>
      </c>
    </row>
    <row r="1768" ht="54" customHeight="1" spans="1:10">
      <c r="A1768" s="48" t="s">
        <v>523</v>
      </c>
      <c r="B1768" s="48" t="s">
        <v>3181</v>
      </c>
      <c r="C1768" s="47" t="s">
        <v>1216</v>
      </c>
      <c r="D1768" s="48" t="s">
        <v>993</v>
      </c>
      <c r="E1768" s="48" t="s">
        <v>994</v>
      </c>
      <c r="F1768" s="48" t="s">
        <v>1217</v>
      </c>
      <c r="G1768" s="48" t="s">
        <v>1218</v>
      </c>
      <c r="H1768" s="47" t="s">
        <v>1219</v>
      </c>
      <c r="I1768" s="47" t="s">
        <v>1220</v>
      </c>
      <c r="J1768" s="47" t="s">
        <v>26</v>
      </c>
    </row>
    <row r="1769" ht="54" customHeight="1" spans="1:10">
      <c r="A1769" s="48" t="s">
        <v>525</v>
      </c>
      <c r="B1769" s="48" t="s">
        <v>3182</v>
      </c>
      <c r="C1769" s="47" t="s">
        <v>1089</v>
      </c>
      <c r="D1769" s="48" t="s">
        <v>957</v>
      </c>
      <c r="E1769" s="48" t="s">
        <v>958</v>
      </c>
      <c r="F1769" s="48" t="s">
        <v>1090</v>
      </c>
      <c r="G1769" s="48" t="s">
        <v>1091</v>
      </c>
      <c r="H1769" s="47" t="s">
        <v>1092</v>
      </c>
      <c r="I1769" s="47" t="s">
        <v>1093</v>
      </c>
      <c r="J1769" s="47" t="s">
        <v>26</v>
      </c>
    </row>
    <row r="1770" ht="54" customHeight="1" spans="1:10">
      <c r="A1770" s="48" t="s">
        <v>525</v>
      </c>
      <c r="B1770" s="48" t="s">
        <v>3183</v>
      </c>
      <c r="C1770" s="47" t="s">
        <v>1205</v>
      </c>
      <c r="D1770" s="48" t="s">
        <v>978</v>
      </c>
      <c r="E1770" s="48" t="s">
        <v>979</v>
      </c>
      <c r="F1770" s="48" t="s">
        <v>1206</v>
      </c>
      <c r="G1770" s="48" t="s">
        <v>1207</v>
      </c>
      <c r="H1770" s="47" t="s">
        <v>1208</v>
      </c>
      <c r="I1770" s="47" t="s">
        <v>1209</v>
      </c>
      <c r="J1770" s="47" t="s">
        <v>26</v>
      </c>
    </row>
    <row r="1771" ht="54" customHeight="1" spans="1:10">
      <c r="A1771" s="48" t="s">
        <v>525</v>
      </c>
      <c r="B1771" s="48" t="s">
        <v>3184</v>
      </c>
      <c r="C1771" s="47" t="s">
        <v>1245</v>
      </c>
      <c r="D1771" s="48" t="s">
        <v>1171</v>
      </c>
      <c r="E1771" s="48" t="s">
        <v>1172</v>
      </c>
      <c r="F1771" s="48" t="s">
        <v>1246</v>
      </c>
      <c r="G1771" s="48" t="s">
        <v>1247</v>
      </c>
      <c r="H1771" s="47" t="s">
        <v>1248</v>
      </c>
      <c r="I1771" s="47" t="s">
        <v>1176</v>
      </c>
      <c r="J1771" s="47" t="s">
        <v>26</v>
      </c>
    </row>
    <row r="1772" ht="54" customHeight="1" spans="1:10">
      <c r="A1772" s="48" t="s">
        <v>527</v>
      </c>
      <c r="B1772" s="48" t="s">
        <v>3185</v>
      </c>
      <c r="C1772" s="47" t="s">
        <v>1008</v>
      </c>
      <c r="D1772" s="48" t="s">
        <v>1009</v>
      </c>
      <c r="E1772" s="48" t="s">
        <v>1010</v>
      </c>
      <c r="F1772" s="48" t="s">
        <v>1011</v>
      </c>
      <c r="G1772" s="48" t="s">
        <v>1012</v>
      </c>
      <c r="H1772" s="47" t="s">
        <v>1013</v>
      </c>
      <c r="I1772" s="47" t="s">
        <v>1014</v>
      </c>
      <c r="J1772" s="47" t="s">
        <v>26</v>
      </c>
    </row>
    <row r="1773" ht="54" customHeight="1" spans="1:10">
      <c r="A1773" s="48" t="s">
        <v>527</v>
      </c>
      <c r="B1773" s="48" t="s">
        <v>3186</v>
      </c>
      <c r="C1773" s="47" t="s">
        <v>1362</v>
      </c>
      <c r="D1773" s="48" t="s">
        <v>1059</v>
      </c>
      <c r="E1773" s="48" t="s">
        <v>1060</v>
      </c>
      <c r="F1773" s="48" t="s">
        <v>1363</v>
      </c>
      <c r="G1773" s="48" t="s">
        <v>1364</v>
      </c>
      <c r="H1773" s="47" t="s">
        <v>1365</v>
      </c>
      <c r="I1773" s="47" t="s">
        <v>1366</v>
      </c>
      <c r="J1773" s="47" t="s">
        <v>26</v>
      </c>
    </row>
    <row r="1774" ht="54" customHeight="1" spans="1:10">
      <c r="A1774" s="48" t="s">
        <v>527</v>
      </c>
      <c r="B1774" s="48" t="s">
        <v>3187</v>
      </c>
      <c r="C1774" s="47" t="s">
        <v>1368</v>
      </c>
      <c r="D1774" s="48" t="s">
        <v>1082</v>
      </c>
      <c r="E1774" s="48" t="s">
        <v>1083</v>
      </c>
      <c r="F1774" s="48" t="s">
        <v>1369</v>
      </c>
      <c r="G1774" s="48" t="s">
        <v>1370</v>
      </c>
      <c r="H1774" s="47" t="s">
        <v>1371</v>
      </c>
      <c r="I1774" s="47" t="s">
        <v>1372</v>
      </c>
      <c r="J1774" s="47" t="s">
        <v>26</v>
      </c>
    </row>
    <row r="1775" ht="54" customHeight="1" spans="1:10">
      <c r="A1775" s="48" t="s">
        <v>527</v>
      </c>
      <c r="B1775" s="48" t="s">
        <v>3188</v>
      </c>
      <c r="C1775" s="47" t="s">
        <v>1111</v>
      </c>
      <c r="D1775" s="48" t="s">
        <v>965</v>
      </c>
      <c r="E1775" s="48" t="s">
        <v>966</v>
      </c>
      <c r="F1775" s="48" t="s">
        <v>1112</v>
      </c>
      <c r="G1775" s="48" t="s">
        <v>1113</v>
      </c>
      <c r="H1775" s="47" t="s">
        <v>1114</v>
      </c>
      <c r="I1775" s="47" t="s">
        <v>1115</v>
      </c>
      <c r="J1775" s="47" t="s">
        <v>26</v>
      </c>
    </row>
    <row r="1776" ht="54" customHeight="1" spans="1:10">
      <c r="A1776" s="48" t="s">
        <v>527</v>
      </c>
      <c r="B1776" s="48" t="s">
        <v>3189</v>
      </c>
      <c r="C1776" s="47" t="s">
        <v>971</v>
      </c>
      <c r="D1776" s="48" t="s">
        <v>965</v>
      </c>
      <c r="E1776" s="48" t="s">
        <v>966</v>
      </c>
      <c r="F1776" s="48" t="s">
        <v>972</v>
      </c>
      <c r="G1776" s="48" t="s">
        <v>973</v>
      </c>
      <c r="H1776" s="47" t="s">
        <v>974</v>
      </c>
      <c r="I1776" s="47" t="s">
        <v>975</v>
      </c>
      <c r="J1776" s="47" t="s">
        <v>26</v>
      </c>
    </row>
    <row r="1777" ht="54" customHeight="1" spans="1:10">
      <c r="A1777" s="48" t="s">
        <v>527</v>
      </c>
      <c r="B1777" s="48" t="s">
        <v>3190</v>
      </c>
      <c r="C1777" s="47" t="s">
        <v>977</v>
      </c>
      <c r="D1777" s="48" t="s">
        <v>978</v>
      </c>
      <c r="E1777" s="48" t="s">
        <v>979</v>
      </c>
      <c r="F1777" s="48" t="s">
        <v>980</v>
      </c>
      <c r="G1777" s="48" t="s">
        <v>981</v>
      </c>
      <c r="H1777" s="47" t="s">
        <v>982</v>
      </c>
      <c r="I1777" s="47" t="s">
        <v>983</v>
      </c>
      <c r="J1777" s="47" t="s">
        <v>26</v>
      </c>
    </row>
    <row r="1778" ht="54" customHeight="1" spans="1:10">
      <c r="A1778" s="48" t="s">
        <v>529</v>
      </c>
      <c r="B1778" s="48" t="s">
        <v>3191</v>
      </c>
      <c r="C1778" s="47" t="s">
        <v>1967</v>
      </c>
      <c r="D1778" s="48" t="s">
        <v>965</v>
      </c>
      <c r="E1778" s="48" t="s">
        <v>966</v>
      </c>
      <c r="F1778" s="48" t="s">
        <v>1968</v>
      </c>
      <c r="G1778" s="48" t="s">
        <v>1969</v>
      </c>
      <c r="H1778" s="47" t="s">
        <v>1970</v>
      </c>
      <c r="I1778" s="47" t="s">
        <v>940</v>
      </c>
      <c r="J1778" s="47" t="s">
        <v>26</v>
      </c>
    </row>
    <row r="1779" ht="54" customHeight="1" spans="1:10">
      <c r="A1779" s="48" t="s">
        <v>529</v>
      </c>
      <c r="B1779" s="48" t="s">
        <v>3192</v>
      </c>
      <c r="C1779" s="47" t="s">
        <v>1927</v>
      </c>
      <c r="D1779" s="48" t="s">
        <v>1400</v>
      </c>
      <c r="E1779" s="48" t="s">
        <v>1401</v>
      </c>
      <c r="F1779" s="48" t="s">
        <v>1928</v>
      </c>
      <c r="G1779" s="48" t="s">
        <v>1929</v>
      </c>
      <c r="H1779" s="47" t="s">
        <v>1930</v>
      </c>
      <c r="I1779" s="47" t="s">
        <v>1931</v>
      </c>
      <c r="J1779" s="47" t="s">
        <v>26</v>
      </c>
    </row>
    <row r="1780" ht="54" customHeight="1" spans="1:10">
      <c r="A1780" s="48" t="s">
        <v>531</v>
      </c>
      <c r="B1780" s="48" t="s">
        <v>3193</v>
      </c>
      <c r="C1780" s="47" t="s">
        <v>934</v>
      </c>
      <c r="D1780" s="48" t="s">
        <v>935</v>
      </c>
      <c r="E1780" s="48" t="s">
        <v>936</v>
      </c>
      <c r="F1780" s="48" t="s">
        <v>937</v>
      </c>
      <c r="G1780" s="48" t="s">
        <v>938</v>
      </c>
      <c r="H1780" s="47" t="s">
        <v>939</v>
      </c>
      <c r="I1780" s="47" t="s">
        <v>940</v>
      </c>
      <c r="J1780" s="47" t="s">
        <v>26</v>
      </c>
    </row>
    <row r="1781" ht="54" customHeight="1" spans="1:10">
      <c r="A1781" s="48" t="s">
        <v>531</v>
      </c>
      <c r="B1781" s="48" t="s">
        <v>3194</v>
      </c>
      <c r="C1781" s="47" t="s">
        <v>1089</v>
      </c>
      <c r="D1781" s="48" t="s">
        <v>957</v>
      </c>
      <c r="E1781" s="48" t="s">
        <v>958</v>
      </c>
      <c r="F1781" s="48" t="s">
        <v>1090</v>
      </c>
      <c r="G1781" s="48" t="s">
        <v>1091</v>
      </c>
      <c r="H1781" s="47" t="s">
        <v>1092</v>
      </c>
      <c r="I1781" s="47" t="s">
        <v>1093</v>
      </c>
      <c r="J1781" s="47" t="s">
        <v>26</v>
      </c>
    </row>
    <row r="1782" ht="54" customHeight="1" spans="1:10">
      <c r="A1782" s="48" t="s">
        <v>531</v>
      </c>
      <c r="B1782" s="48" t="s">
        <v>3195</v>
      </c>
      <c r="C1782" s="47" t="s">
        <v>950</v>
      </c>
      <c r="D1782" s="48" t="s">
        <v>935</v>
      </c>
      <c r="E1782" s="48" t="s">
        <v>936</v>
      </c>
      <c r="F1782" s="48" t="s">
        <v>951</v>
      </c>
      <c r="G1782" s="48" t="s">
        <v>952</v>
      </c>
      <c r="H1782" s="47" t="s">
        <v>953</v>
      </c>
      <c r="I1782" s="47" t="s">
        <v>954</v>
      </c>
      <c r="J1782" s="47" t="s">
        <v>26</v>
      </c>
    </row>
    <row r="1783" ht="54" customHeight="1" spans="1:10">
      <c r="A1783" s="48" t="s">
        <v>531</v>
      </c>
      <c r="B1783" s="48" t="s">
        <v>3196</v>
      </c>
      <c r="C1783" s="47" t="s">
        <v>1362</v>
      </c>
      <c r="D1783" s="48" t="s">
        <v>1059</v>
      </c>
      <c r="E1783" s="48" t="s">
        <v>1060</v>
      </c>
      <c r="F1783" s="48" t="s">
        <v>1363</v>
      </c>
      <c r="G1783" s="48" t="s">
        <v>1364</v>
      </c>
      <c r="H1783" s="47" t="s">
        <v>1365</v>
      </c>
      <c r="I1783" s="47" t="s">
        <v>1366</v>
      </c>
      <c r="J1783" s="47" t="s">
        <v>26</v>
      </c>
    </row>
    <row r="1784" ht="54" customHeight="1" spans="1:10">
      <c r="A1784" s="48" t="s">
        <v>531</v>
      </c>
      <c r="B1784" s="48" t="s">
        <v>3197</v>
      </c>
      <c r="C1784" s="47" t="s">
        <v>971</v>
      </c>
      <c r="D1784" s="48" t="s">
        <v>965</v>
      </c>
      <c r="E1784" s="48" t="s">
        <v>966</v>
      </c>
      <c r="F1784" s="48" t="s">
        <v>972</v>
      </c>
      <c r="G1784" s="48" t="s">
        <v>973</v>
      </c>
      <c r="H1784" s="47" t="s">
        <v>974</v>
      </c>
      <c r="I1784" s="47" t="s">
        <v>975</v>
      </c>
      <c r="J1784" s="47" t="s">
        <v>26</v>
      </c>
    </row>
    <row r="1785" ht="54" customHeight="1" spans="1:10">
      <c r="A1785" s="48" t="s">
        <v>531</v>
      </c>
      <c r="B1785" s="48" t="s">
        <v>3198</v>
      </c>
      <c r="C1785" s="47" t="s">
        <v>1205</v>
      </c>
      <c r="D1785" s="48" t="s">
        <v>978</v>
      </c>
      <c r="E1785" s="48" t="s">
        <v>979</v>
      </c>
      <c r="F1785" s="48" t="s">
        <v>1206</v>
      </c>
      <c r="G1785" s="48" t="s">
        <v>1207</v>
      </c>
      <c r="H1785" s="47" t="s">
        <v>1208</v>
      </c>
      <c r="I1785" s="47" t="s">
        <v>1209</v>
      </c>
      <c r="J1785" s="47" t="s">
        <v>26</v>
      </c>
    </row>
    <row r="1786" ht="54" customHeight="1" spans="1:10">
      <c r="A1786" s="48" t="s">
        <v>531</v>
      </c>
      <c r="B1786" s="48" t="s">
        <v>3199</v>
      </c>
      <c r="C1786" s="47" t="s">
        <v>1170</v>
      </c>
      <c r="D1786" s="48" t="s">
        <v>1171</v>
      </c>
      <c r="E1786" s="48" t="s">
        <v>1172</v>
      </c>
      <c r="F1786" s="48" t="s">
        <v>1173</v>
      </c>
      <c r="G1786" s="48" t="s">
        <v>1174</v>
      </c>
      <c r="H1786" s="47" t="s">
        <v>1175</v>
      </c>
      <c r="I1786" s="47" t="s">
        <v>1176</v>
      </c>
      <c r="J1786" s="47" t="s">
        <v>26</v>
      </c>
    </row>
    <row r="1787" ht="54" customHeight="1" spans="1:10">
      <c r="A1787" s="48" t="s">
        <v>533</v>
      </c>
      <c r="B1787" s="48" t="s">
        <v>3200</v>
      </c>
      <c r="C1787" s="47" t="s">
        <v>934</v>
      </c>
      <c r="D1787" s="48" t="s">
        <v>935</v>
      </c>
      <c r="E1787" s="48" t="s">
        <v>936</v>
      </c>
      <c r="F1787" s="48" t="s">
        <v>937</v>
      </c>
      <c r="G1787" s="48" t="s">
        <v>938</v>
      </c>
      <c r="H1787" s="47" t="s">
        <v>939</v>
      </c>
      <c r="I1787" s="47" t="s">
        <v>940</v>
      </c>
      <c r="J1787" s="47" t="s">
        <v>26</v>
      </c>
    </row>
    <row r="1788" ht="54" customHeight="1" spans="1:10">
      <c r="A1788" s="48" t="s">
        <v>533</v>
      </c>
      <c r="B1788" s="48" t="s">
        <v>3201</v>
      </c>
      <c r="C1788" s="47" t="s">
        <v>950</v>
      </c>
      <c r="D1788" s="48" t="s">
        <v>935</v>
      </c>
      <c r="E1788" s="48" t="s">
        <v>936</v>
      </c>
      <c r="F1788" s="48" t="s">
        <v>951</v>
      </c>
      <c r="G1788" s="48" t="s">
        <v>952</v>
      </c>
      <c r="H1788" s="47" t="s">
        <v>953</v>
      </c>
      <c r="I1788" s="47" t="s">
        <v>954</v>
      </c>
      <c r="J1788" s="47" t="s">
        <v>26</v>
      </c>
    </row>
    <row r="1789" ht="54" customHeight="1" spans="1:10">
      <c r="A1789" s="48" t="s">
        <v>533</v>
      </c>
      <c r="B1789" s="48" t="s">
        <v>3202</v>
      </c>
      <c r="C1789" s="47" t="s">
        <v>1211</v>
      </c>
      <c r="D1789" s="48" t="s">
        <v>965</v>
      </c>
      <c r="E1789" s="48" t="s">
        <v>966</v>
      </c>
      <c r="F1789" s="48" t="s">
        <v>1212</v>
      </c>
      <c r="G1789" s="48" t="s">
        <v>1213</v>
      </c>
      <c r="H1789" s="47" t="s">
        <v>1214</v>
      </c>
      <c r="I1789" s="47" t="s">
        <v>940</v>
      </c>
      <c r="J1789" s="47" t="s">
        <v>26</v>
      </c>
    </row>
    <row r="1790" ht="54" customHeight="1" spans="1:10">
      <c r="A1790" s="48" t="s">
        <v>533</v>
      </c>
      <c r="B1790" s="48" t="s">
        <v>3203</v>
      </c>
      <c r="C1790" s="47" t="s">
        <v>1216</v>
      </c>
      <c r="D1790" s="48" t="s">
        <v>993</v>
      </c>
      <c r="E1790" s="48" t="s">
        <v>994</v>
      </c>
      <c r="F1790" s="48" t="s">
        <v>1217</v>
      </c>
      <c r="G1790" s="48" t="s">
        <v>1218</v>
      </c>
      <c r="H1790" s="47" t="s">
        <v>1219</v>
      </c>
      <c r="I1790" s="47" t="s">
        <v>1220</v>
      </c>
      <c r="J1790" s="47" t="s">
        <v>26</v>
      </c>
    </row>
    <row r="1791" ht="54" customHeight="1" spans="1:10">
      <c r="A1791" s="48" t="s">
        <v>535</v>
      </c>
      <c r="B1791" s="48" t="s">
        <v>3204</v>
      </c>
      <c r="C1791" s="47" t="s">
        <v>971</v>
      </c>
      <c r="D1791" s="48" t="s">
        <v>965</v>
      </c>
      <c r="E1791" s="48" t="s">
        <v>966</v>
      </c>
      <c r="F1791" s="48" t="s">
        <v>972</v>
      </c>
      <c r="G1791" s="48" t="s">
        <v>973</v>
      </c>
      <c r="H1791" s="47" t="s">
        <v>974</v>
      </c>
      <c r="I1791" s="47" t="s">
        <v>975</v>
      </c>
      <c r="J1791" s="47" t="s">
        <v>26</v>
      </c>
    </row>
    <row r="1792" ht="54" customHeight="1" spans="1:10">
      <c r="A1792" s="48" t="s">
        <v>535</v>
      </c>
      <c r="B1792" s="48" t="s">
        <v>3205</v>
      </c>
      <c r="C1792" s="47" t="s">
        <v>1313</v>
      </c>
      <c r="D1792" s="48" t="s">
        <v>1037</v>
      </c>
      <c r="E1792" s="48" t="s">
        <v>1038</v>
      </c>
      <c r="F1792" s="48" t="s">
        <v>1314</v>
      </c>
      <c r="G1792" s="48" t="s">
        <v>1315</v>
      </c>
      <c r="H1792" s="47" t="s">
        <v>1316</v>
      </c>
      <c r="I1792" s="47" t="s">
        <v>1317</v>
      </c>
      <c r="J1792" s="47" t="s">
        <v>26</v>
      </c>
    </row>
    <row r="1793" ht="54" customHeight="1" spans="1:10">
      <c r="A1793" s="48" t="s">
        <v>535</v>
      </c>
      <c r="B1793" s="48" t="s">
        <v>3206</v>
      </c>
      <c r="C1793" s="47" t="s">
        <v>1211</v>
      </c>
      <c r="D1793" s="48" t="s">
        <v>965</v>
      </c>
      <c r="E1793" s="48" t="s">
        <v>966</v>
      </c>
      <c r="F1793" s="48" t="s">
        <v>1212</v>
      </c>
      <c r="G1793" s="48" t="s">
        <v>1213</v>
      </c>
      <c r="H1793" s="47" t="s">
        <v>1214</v>
      </c>
      <c r="I1793" s="47" t="s">
        <v>940</v>
      </c>
      <c r="J1793" s="47" t="s">
        <v>26</v>
      </c>
    </row>
    <row r="1794" ht="54" customHeight="1" spans="1:10">
      <c r="A1794" s="48" t="s">
        <v>535</v>
      </c>
      <c r="B1794" s="48" t="s">
        <v>3207</v>
      </c>
      <c r="C1794" s="47" t="s">
        <v>1145</v>
      </c>
      <c r="D1794" s="48" t="s">
        <v>1146</v>
      </c>
      <c r="E1794" s="48" t="s">
        <v>1147</v>
      </c>
      <c r="F1794" s="48" t="s">
        <v>1148</v>
      </c>
      <c r="G1794" s="48" t="s">
        <v>1149</v>
      </c>
      <c r="H1794" s="47" t="s">
        <v>1150</v>
      </c>
      <c r="I1794" s="47" t="s">
        <v>1151</v>
      </c>
      <c r="J1794" s="47" t="s">
        <v>26</v>
      </c>
    </row>
    <row r="1795" ht="54" customHeight="1" spans="1:10">
      <c r="A1795" s="48" t="s">
        <v>535</v>
      </c>
      <c r="B1795" s="48" t="s">
        <v>3208</v>
      </c>
      <c r="C1795" s="47" t="s">
        <v>1245</v>
      </c>
      <c r="D1795" s="48" t="s">
        <v>1171</v>
      </c>
      <c r="E1795" s="48" t="s">
        <v>1172</v>
      </c>
      <c r="F1795" s="48" t="s">
        <v>1246</v>
      </c>
      <c r="G1795" s="48" t="s">
        <v>1247</v>
      </c>
      <c r="H1795" s="47" t="s">
        <v>1248</v>
      </c>
      <c r="I1795" s="47" t="s">
        <v>1176</v>
      </c>
      <c r="J1795" s="47" t="s">
        <v>26</v>
      </c>
    </row>
    <row r="1796" ht="54" customHeight="1" spans="1:10">
      <c r="A1796" s="48" t="s">
        <v>535</v>
      </c>
      <c r="B1796" s="48" t="s">
        <v>3209</v>
      </c>
      <c r="C1796" s="47" t="s">
        <v>1196</v>
      </c>
      <c r="D1796" s="48" t="s">
        <v>1118</v>
      </c>
      <c r="E1796" s="48" t="s">
        <v>1119</v>
      </c>
      <c r="F1796" s="48" t="s">
        <v>1197</v>
      </c>
      <c r="G1796" s="48" t="s">
        <v>1198</v>
      </c>
      <c r="H1796" s="47" t="s">
        <v>1199</v>
      </c>
      <c r="I1796" s="47" t="s">
        <v>1200</v>
      </c>
      <c r="J1796" s="47" t="s">
        <v>26</v>
      </c>
    </row>
    <row r="1797" ht="54" customHeight="1" spans="1:10">
      <c r="A1797" s="48" t="s">
        <v>537</v>
      </c>
      <c r="B1797" s="48" t="s">
        <v>3210</v>
      </c>
      <c r="C1797" s="47" t="s">
        <v>1480</v>
      </c>
      <c r="D1797" s="48" t="s">
        <v>1001</v>
      </c>
      <c r="E1797" s="48" t="s">
        <v>1002</v>
      </c>
      <c r="F1797" s="48" t="s">
        <v>1481</v>
      </c>
      <c r="G1797" s="48" t="s">
        <v>1482</v>
      </c>
      <c r="H1797" s="47" t="s">
        <v>1483</v>
      </c>
      <c r="I1797" s="47" t="s">
        <v>1484</v>
      </c>
      <c r="J1797" s="47" t="s">
        <v>26</v>
      </c>
    </row>
    <row r="1798" ht="54" customHeight="1" spans="1:10">
      <c r="A1798" s="48" t="s">
        <v>537</v>
      </c>
      <c r="B1798" s="48" t="s">
        <v>3211</v>
      </c>
      <c r="C1798" s="47" t="s">
        <v>1022</v>
      </c>
      <c r="D1798" s="48" t="s">
        <v>957</v>
      </c>
      <c r="E1798" s="48" t="s">
        <v>958</v>
      </c>
      <c r="F1798" s="48" t="s">
        <v>1023</v>
      </c>
      <c r="G1798" s="48" t="s">
        <v>1024</v>
      </c>
      <c r="H1798" s="47" t="s">
        <v>1025</v>
      </c>
      <c r="I1798" s="47" t="s">
        <v>1026</v>
      </c>
      <c r="J1798" s="47" t="s">
        <v>26</v>
      </c>
    </row>
    <row r="1799" ht="54" customHeight="1" spans="1:10">
      <c r="A1799" s="48" t="s">
        <v>537</v>
      </c>
      <c r="B1799" s="48" t="s">
        <v>3212</v>
      </c>
      <c r="C1799" s="47" t="s">
        <v>1252</v>
      </c>
      <c r="D1799" s="48" t="s">
        <v>1001</v>
      </c>
      <c r="E1799" s="48" t="s">
        <v>1002</v>
      </c>
      <c r="F1799" s="48" t="s">
        <v>1253</v>
      </c>
      <c r="G1799" s="48" t="s">
        <v>1254</v>
      </c>
      <c r="H1799" s="47" t="s">
        <v>1255</v>
      </c>
      <c r="I1799" s="47" t="s">
        <v>1256</v>
      </c>
      <c r="J1799" s="47" t="s">
        <v>26</v>
      </c>
    </row>
    <row r="1800" ht="54" customHeight="1" spans="1:10">
      <c r="A1800" s="48" t="s">
        <v>537</v>
      </c>
      <c r="B1800" s="48" t="s">
        <v>3213</v>
      </c>
      <c r="C1800" s="47" t="s">
        <v>971</v>
      </c>
      <c r="D1800" s="48" t="s">
        <v>965</v>
      </c>
      <c r="E1800" s="48" t="s">
        <v>966</v>
      </c>
      <c r="F1800" s="48" t="s">
        <v>972</v>
      </c>
      <c r="G1800" s="48" t="s">
        <v>973</v>
      </c>
      <c r="H1800" s="47" t="s">
        <v>974</v>
      </c>
      <c r="I1800" s="47" t="s">
        <v>975</v>
      </c>
      <c r="J1800" s="47" t="s">
        <v>26</v>
      </c>
    </row>
    <row r="1801" ht="54" customHeight="1" spans="1:10">
      <c r="A1801" s="48" t="s">
        <v>539</v>
      </c>
      <c r="B1801" s="48" t="s">
        <v>3214</v>
      </c>
      <c r="C1801" s="47" t="s">
        <v>934</v>
      </c>
      <c r="D1801" s="48" t="s">
        <v>935</v>
      </c>
      <c r="E1801" s="48" t="s">
        <v>936</v>
      </c>
      <c r="F1801" s="48" t="s">
        <v>937</v>
      </c>
      <c r="G1801" s="48" t="s">
        <v>938</v>
      </c>
      <c r="H1801" s="47" t="s">
        <v>939</v>
      </c>
      <c r="I1801" s="47" t="s">
        <v>940</v>
      </c>
      <c r="J1801" s="47" t="s">
        <v>26</v>
      </c>
    </row>
    <row r="1802" ht="54" customHeight="1" spans="1:10">
      <c r="A1802" s="48" t="s">
        <v>539</v>
      </c>
      <c r="B1802" s="48" t="s">
        <v>3215</v>
      </c>
      <c r="C1802" s="47" t="s">
        <v>1089</v>
      </c>
      <c r="D1802" s="48" t="s">
        <v>957</v>
      </c>
      <c r="E1802" s="48" t="s">
        <v>958</v>
      </c>
      <c r="F1802" s="48" t="s">
        <v>1090</v>
      </c>
      <c r="G1802" s="48" t="s">
        <v>1091</v>
      </c>
      <c r="H1802" s="47" t="s">
        <v>1092</v>
      </c>
      <c r="I1802" s="47" t="s">
        <v>1093</v>
      </c>
      <c r="J1802" s="47" t="s">
        <v>26</v>
      </c>
    </row>
    <row r="1803" ht="54" customHeight="1" spans="1:10">
      <c r="A1803" s="48" t="s">
        <v>539</v>
      </c>
      <c r="B1803" s="48" t="s">
        <v>3216</v>
      </c>
      <c r="C1803" s="47" t="s">
        <v>950</v>
      </c>
      <c r="D1803" s="48" t="s">
        <v>935</v>
      </c>
      <c r="E1803" s="48" t="s">
        <v>936</v>
      </c>
      <c r="F1803" s="48" t="s">
        <v>951</v>
      </c>
      <c r="G1803" s="48" t="s">
        <v>952</v>
      </c>
      <c r="H1803" s="47" t="s">
        <v>953</v>
      </c>
      <c r="I1803" s="47" t="s">
        <v>954</v>
      </c>
      <c r="J1803" s="47" t="s">
        <v>26</v>
      </c>
    </row>
    <row r="1804" ht="54" customHeight="1" spans="1:10">
      <c r="A1804" s="48" t="s">
        <v>539</v>
      </c>
      <c r="B1804" s="48" t="s">
        <v>3217</v>
      </c>
      <c r="C1804" s="47" t="s">
        <v>1058</v>
      </c>
      <c r="D1804" s="48" t="s">
        <v>1059</v>
      </c>
      <c r="E1804" s="48" t="s">
        <v>1060</v>
      </c>
      <c r="F1804" s="48" t="s">
        <v>1061</v>
      </c>
      <c r="G1804" s="48" t="s">
        <v>1062</v>
      </c>
      <c r="H1804" s="47" t="s">
        <v>1063</v>
      </c>
      <c r="I1804" s="47" t="s">
        <v>1064</v>
      </c>
      <c r="J1804" s="47" t="s">
        <v>26</v>
      </c>
    </row>
    <row r="1805" ht="54" customHeight="1" spans="1:10">
      <c r="A1805" s="48" t="s">
        <v>539</v>
      </c>
      <c r="B1805" s="48" t="s">
        <v>3218</v>
      </c>
      <c r="C1805" s="47" t="s">
        <v>1368</v>
      </c>
      <c r="D1805" s="48" t="s">
        <v>1082</v>
      </c>
      <c r="E1805" s="48" t="s">
        <v>1083</v>
      </c>
      <c r="F1805" s="48" t="s">
        <v>1369</v>
      </c>
      <c r="G1805" s="48" t="s">
        <v>1370</v>
      </c>
      <c r="H1805" s="47" t="s">
        <v>1371</v>
      </c>
      <c r="I1805" s="47" t="s">
        <v>1372</v>
      </c>
      <c r="J1805" s="47" t="s">
        <v>26</v>
      </c>
    </row>
    <row r="1806" ht="54" customHeight="1" spans="1:10">
      <c r="A1806" s="48" t="s">
        <v>539</v>
      </c>
      <c r="B1806" s="48" t="s">
        <v>3219</v>
      </c>
      <c r="C1806" s="47" t="s">
        <v>971</v>
      </c>
      <c r="D1806" s="48" t="s">
        <v>965</v>
      </c>
      <c r="E1806" s="48" t="s">
        <v>966</v>
      </c>
      <c r="F1806" s="48" t="s">
        <v>972</v>
      </c>
      <c r="G1806" s="48" t="s">
        <v>973</v>
      </c>
      <c r="H1806" s="47" t="s">
        <v>974</v>
      </c>
      <c r="I1806" s="47" t="s">
        <v>975</v>
      </c>
      <c r="J1806" s="47" t="s">
        <v>26</v>
      </c>
    </row>
    <row r="1807" ht="54" customHeight="1" spans="1:10">
      <c r="A1807" s="48" t="s">
        <v>539</v>
      </c>
      <c r="B1807" s="48" t="s">
        <v>3220</v>
      </c>
      <c r="C1807" s="47" t="s">
        <v>977</v>
      </c>
      <c r="D1807" s="48" t="s">
        <v>978</v>
      </c>
      <c r="E1807" s="48" t="s">
        <v>979</v>
      </c>
      <c r="F1807" s="48" t="s">
        <v>980</v>
      </c>
      <c r="G1807" s="48" t="s">
        <v>981</v>
      </c>
      <c r="H1807" s="47" t="s">
        <v>982</v>
      </c>
      <c r="I1807" s="47" t="s">
        <v>983</v>
      </c>
      <c r="J1807" s="47" t="s">
        <v>26</v>
      </c>
    </row>
    <row r="1808" ht="54" customHeight="1" spans="1:10">
      <c r="A1808" s="48" t="s">
        <v>541</v>
      </c>
      <c r="B1808" s="48" t="s">
        <v>3221</v>
      </c>
      <c r="C1808" s="47" t="s">
        <v>1008</v>
      </c>
      <c r="D1808" s="48" t="s">
        <v>1009</v>
      </c>
      <c r="E1808" s="48" t="s">
        <v>1010</v>
      </c>
      <c r="F1808" s="48" t="s">
        <v>1011</v>
      </c>
      <c r="G1808" s="48" t="s">
        <v>1012</v>
      </c>
      <c r="H1808" s="47" t="s">
        <v>1013</v>
      </c>
      <c r="I1808" s="47" t="s">
        <v>1014</v>
      </c>
      <c r="J1808" s="47" t="s">
        <v>26</v>
      </c>
    </row>
    <row r="1809" ht="54" customHeight="1" spans="1:10">
      <c r="A1809" s="48" t="s">
        <v>541</v>
      </c>
      <c r="B1809" s="48" t="s">
        <v>3222</v>
      </c>
      <c r="C1809" s="47" t="s">
        <v>1081</v>
      </c>
      <c r="D1809" s="48" t="s">
        <v>1082</v>
      </c>
      <c r="E1809" s="48" t="s">
        <v>1083</v>
      </c>
      <c r="F1809" s="48" t="s">
        <v>1084</v>
      </c>
      <c r="G1809" s="48" t="s">
        <v>1085</v>
      </c>
      <c r="H1809" s="47" t="s">
        <v>1086</v>
      </c>
      <c r="I1809" s="47" t="s">
        <v>1087</v>
      </c>
      <c r="J1809" s="47" t="s">
        <v>26</v>
      </c>
    </row>
    <row r="1810" ht="54" customHeight="1" spans="1:10">
      <c r="A1810" s="48" t="s">
        <v>541</v>
      </c>
      <c r="B1810" s="48" t="s">
        <v>3223</v>
      </c>
      <c r="C1810" s="47" t="s">
        <v>956</v>
      </c>
      <c r="D1810" s="48" t="s">
        <v>957</v>
      </c>
      <c r="E1810" s="48" t="s">
        <v>958</v>
      </c>
      <c r="F1810" s="48" t="s">
        <v>959</v>
      </c>
      <c r="G1810" s="48" t="s">
        <v>960</v>
      </c>
      <c r="H1810" s="47" t="s">
        <v>961</v>
      </c>
      <c r="I1810" s="47" t="s">
        <v>962</v>
      </c>
      <c r="J1810" s="47" t="s">
        <v>26</v>
      </c>
    </row>
    <row r="1811" ht="54" customHeight="1" spans="1:10">
      <c r="A1811" s="48" t="s">
        <v>541</v>
      </c>
      <c r="B1811" s="48" t="s">
        <v>3224</v>
      </c>
      <c r="C1811" s="47" t="s">
        <v>1589</v>
      </c>
      <c r="D1811" s="48" t="s">
        <v>943</v>
      </c>
      <c r="E1811" s="48" t="s">
        <v>944</v>
      </c>
      <c r="F1811" s="48" t="s">
        <v>1590</v>
      </c>
      <c r="G1811" s="48" t="s">
        <v>1591</v>
      </c>
      <c r="H1811" s="47" t="s">
        <v>1592</v>
      </c>
      <c r="I1811" s="47" t="s">
        <v>1593</v>
      </c>
      <c r="J1811" s="47" t="s">
        <v>26</v>
      </c>
    </row>
    <row r="1812" ht="54" customHeight="1" spans="1:10">
      <c r="A1812" s="48" t="s">
        <v>541</v>
      </c>
      <c r="B1812" s="48" t="s">
        <v>3225</v>
      </c>
      <c r="C1812" s="47" t="s">
        <v>1052</v>
      </c>
      <c r="D1812" s="48" t="s">
        <v>1009</v>
      </c>
      <c r="E1812" s="48" t="s">
        <v>1010</v>
      </c>
      <c r="F1812" s="48" t="s">
        <v>1053</v>
      </c>
      <c r="G1812" s="48" t="s">
        <v>1054</v>
      </c>
      <c r="H1812" s="47" t="s">
        <v>1055</v>
      </c>
      <c r="I1812" s="47" t="s">
        <v>1056</v>
      </c>
      <c r="J1812" s="47" t="s">
        <v>26</v>
      </c>
    </row>
    <row r="1813" ht="54" customHeight="1" spans="1:10">
      <c r="A1813" s="48" t="s">
        <v>541</v>
      </c>
      <c r="B1813" s="48" t="s">
        <v>3226</v>
      </c>
      <c r="C1813" s="47" t="s">
        <v>1097</v>
      </c>
      <c r="D1813" s="48" t="s">
        <v>1098</v>
      </c>
      <c r="E1813" s="48" t="s">
        <v>1099</v>
      </c>
      <c r="F1813" s="48" t="s">
        <v>1100</v>
      </c>
      <c r="G1813" s="48" t="s">
        <v>1101</v>
      </c>
      <c r="H1813" s="47" t="s">
        <v>1102</v>
      </c>
      <c r="I1813" s="47" t="s">
        <v>1103</v>
      </c>
      <c r="J1813" s="47" t="s">
        <v>26</v>
      </c>
    </row>
    <row r="1814" ht="54" customHeight="1" spans="1:10">
      <c r="A1814" s="48" t="s">
        <v>541</v>
      </c>
      <c r="B1814" s="48" t="s">
        <v>3227</v>
      </c>
      <c r="C1814" s="47" t="s">
        <v>1111</v>
      </c>
      <c r="D1814" s="48" t="s">
        <v>965</v>
      </c>
      <c r="E1814" s="48" t="s">
        <v>966</v>
      </c>
      <c r="F1814" s="48" t="s">
        <v>1112</v>
      </c>
      <c r="G1814" s="48" t="s">
        <v>1113</v>
      </c>
      <c r="H1814" s="47" t="s">
        <v>1114</v>
      </c>
      <c r="I1814" s="47" t="s">
        <v>1115</v>
      </c>
      <c r="J1814" s="47" t="s">
        <v>26</v>
      </c>
    </row>
    <row r="1815" ht="54" customHeight="1" spans="1:10">
      <c r="A1815" s="48" t="s">
        <v>541</v>
      </c>
      <c r="B1815" s="48" t="s">
        <v>3228</v>
      </c>
      <c r="C1815" s="47" t="s">
        <v>1205</v>
      </c>
      <c r="D1815" s="48" t="s">
        <v>978</v>
      </c>
      <c r="E1815" s="48" t="s">
        <v>979</v>
      </c>
      <c r="F1815" s="48" t="s">
        <v>1206</v>
      </c>
      <c r="G1815" s="48" t="s">
        <v>1207</v>
      </c>
      <c r="H1815" s="47" t="s">
        <v>1208</v>
      </c>
      <c r="I1815" s="47" t="s">
        <v>1209</v>
      </c>
      <c r="J1815" s="47" t="s">
        <v>26</v>
      </c>
    </row>
    <row r="1816" ht="54" customHeight="1" spans="1:10">
      <c r="A1816" s="48" t="s">
        <v>543</v>
      </c>
      <c r="B1816" s="48" t="s">
        <v>3229</v>
      </c>
      <c r="C1816" s="47" t="s">
        <v>1516</v>
      </c>
      <c r="D1816" s="48" t="s">
        <v>1073</v>
      </c>
      <c r="E1816" s="48" t="s">
        <v>1074</v>
      </c>
      <c r="F1816" s="48" t="s">
        <v>1517</v>
      </c>
      <c r="G1816" s="48" t="s">
        <v>1518</v>
      </c>
      <c r="H1816" s="47" t="s">
        <v>1519</v>
      </c>
      <c r="I1816" s="47" t="s">
        <v>1520</v>
      </c>
      <c r="J1816" s="47" t="s">
        <v>26</v>
      </c>
    </row>
    <row r="1817" ht="54" customHeight="1" spans="1:10">
      <c r="A1817" s="48" t="s">
        <v>543</v>
      </c>
      <c r="B1817" s="48" t="s">
        <v>3230</v>
      </c>
      <c r="C1817" s="47" t="s">
        <v>1072</v>
      </c>
      <c r="D1817" s="48" t="s">
        <v>1073</v>
      </c>
      <c r="E1817" s="48" t="s">
        <v>1074</v>
      </c>
      <c r="F1817" s="48" t="s">
        <v>1075</v>
      </c>
      <c r="G1817" s="48" t="s">
        <v>1076</v>
      </c>
      <c r="H1817" s="47" t="s">
        <v>1077</v>
      </c>
      <c r="I1817" s="47" t="s">
        <v>1078</v>
      </c>
      <c r="J1817" s="47" t="s">
        <v>26</v>
      </c>
    </row>
    <row r="1818" ht="54" customHeight="1" spans="1:10">
      <c r="A1818" s="48" t="s">
        <v>543</v>
      </c>
      <c r="B1818" s="48" t="s">
        <v>3231</v>
      </c>
      <c r="C1818" s="47" t="s">
        <v>1268</v>
      </c>
      <c r="D1818" s="48" t="s">
        <v>957</v>
      </c>
      <c r="E1818" s="48" t="s">
        <v>958</v>
      </c>
      <c r="F1818" s="48" t="s">
        <v>1269</v>
      </c>
      <c r="G1818" s="48" t="s">
        <v>1270</v>
      </c>
      <c r="H1818" s="47" t="s">
        <v>1271</v>
      </c>
      <c r="I1818" s="47" t="s">
        <v>1272</v>
      </c>
      <c r="J1818" s="47" t="s">
        <v>26</v>
      </c>
    </row>
    <row r="1819" ht="54" customHeight="1" spans="1:10">
      <c r="A1819" s="48" t="s">
        <v>543</v>
      </c>
      <c r="B1819" s="48" t="s">
        <v>3232</v>
      </c>
      <c r="C1819" s="47" t="s">
        <v>1137</v>
      </c>
      <c r="D1819" s="48" t="s">
        <v>1138</v>
      </c>
      <c r="E1819" s="48" t="s">
        <v>1139</v>
      </c>
      <c r="F1819" s="48" t="s">
        <v>1140</v>
      </c>
      <c r="G1819" s="48" t="s">
        <v>1141</v>
      </c>
      <c r="H1819" s="47" t="s">
        <v>1142</v>
      </c>
      <c r="I1819" s="47" t="s">
        <v>940</v>
      </c>
      <c r="J1819" s="47" t="s">
        <v>26</v>
      </c>
    </row>
    <row r="1820" ht="54" customHeight="1" spans="1:10">
      <c r="A1820" s="48" t="s">
        <v>543</v>
      </c>
      <c r="B1820" s="48" t="s">
        <v>3233</v>
      </c>
      <c r="C1820" s="47" t="s">
        <v>971</v>
      </c>
      <c r="D1820" s="48" t="s">
        <v>965</v>
      </c>
      <c r="E1820" s="48" t="s">
        <v>966</v>
      </c>
      <c r="F1820" s="48" t="s">
        <v>972</v>
      </c>
      <c r="G1820" s="48" t="s">
        <v>973</v>
      </c>
      <c r="H1820" s="47" t="s">
        <v>974</v>
      </c>
      <c r="I1820" s="47" t="s">
        <v>975</v>
      </c>
      <c r="J1820" s="47" t="s">
        <v>26</v>
      </c>
    </row>
    <row r="1821" ht="54" customHeight="1" spans="1:10">
      <c r="A1821" s="48" t="s">
        <v>543</v>
      </c>
      <c r="B1821" s="48" t="s">
        <v>3234</v>
      </c>
      <c r="C1821" s="47" t="s">
        <v>1313</v>
      </c>
      <c r="D1821" s="48" t="s">
        <v>1037</v>
      </c>
      <c r="E1821" s="48" t="s">
        <v>1038</v>
      </c>
      <c r="F1821" s="48" t="s">
        <v>1314</v>
      </c>
      <c r="G1821" s="48" t="s">
        <v>1315</v>
      </c>
      <c r="H1821" s="47" t="s">
        <v>1316</v>
      </c>
      <c r="I1821" s="47" t="s">
        <v>1317</v>
      </c>
      <c r="J1821" s="47" t="s">
        <v>26</v>
      </c>
    </row>
    <row r="1822" ht="54" customHeight="1" spans="1:10">
      <c r="A1822" s="48" t="s">
        <v>543</v>
      </c>
      <c r="B1822" s="48" t="s">
        <v>3235</v>
      </c>
      <c r="C1822" s="47" t="s">
        <v>1145</v>
      </c>
      <c r="D1822" s="48" t="s">
        <v>1146</v>
      </c>
      <c r="E1822" s="48" t="s">
        <v>1147</v>
      </c>
      <c r="F1822" s="48" t="s">
        <v>1148</v>
      </c>
      <c r="G1822" s="48" t="s">
        <v>1149</v>
      </c>
      <c r="H1822" s="47" t="s">
        <v>1150</v>
      </c>
      <c r="I1822" s="47" t="s">
        <v>1151</v>
      </c>
      <c r="J1822" s="47" t="s">
        <v>26</v>
      </c>
    </row>
    <row r="1823" ht="54" customHeight="1" spans="1:10">
      <c r="A1823" s="48" t="s">
        <v>543</v>
      </c>
      <c r="B1823" s="48" t="s">
        <v>3236</v>
      </c>
      <c r="C1823" s="47" t="s">
        <v>1441</v>
      </c>
      <c r="D1823" s="48" t="s">
        <v>1306</v>
      </c>
      <c r="E1823" s="48" t="s">
        <v>1307</v>
      </c>
      <c r="F1823" s="48" t="s">
        <v>1442</v>
      </c>
      <c r="G1823" s="48" t="s">
        <v>1443</v>
      </c>
      <c r="H1823" s="47" t="s">
        <v>1444</v>
      </c>
      <c r="I1823" s="47" t="s">
        <v>1445</v>
      </c>
      <c r="J1823" s="47" t="s">
        <v>26</v>
      </c>
    </row>
    <row r="1824" ht="54" customHeight="1" spans="1:10">
      <c r="A1824" s="48" t="s">
        <v>543</v>
      </c>
      <c r="B1824" s="48" t="s">
        <v>3237</v>
      </c>
      <c r="C1824" s="47" t="s">
        <v>1196</v>
      </c>
      <c r="D1824" s="48" t="s">
        <v>1118</v>
      </c>
      <c r="E1824" s="48" t="s">
        <v>1119</v>
      </c>
      <c r="F1824" s="48" t="s">
        <v>1197</v>
      </c>
      <c r="G1824" s="48" t="s">
        <v>1198</v>
      </c>
      <c r="H1824" s="47" t="s">
        <v>1199</v>
      </c>
      <c r="I1824" s="47" t="s">
        <v>1200</v>
      </c>
      <c r="J1824" s="47" t="s">
        <v>26</v>
      </c>
    </row>
    <row r="1825" ht="54" customHeight="1" spans="1:10">
      <c r="A1825" s="48" t="s">
        <v>545</v>
      </c>
      <c r="B1825" s="48" t="s">
        <v>3238</v>
      </c>
      <c r="C1825" s="47" t="s">
        <v>964</v>
      </c>
      <c r="D1825" s="48" t="s">
        <v>965</v>
      </c>
      <c r="E1825" s="48" t="s">
        <v>966</v>
      </c>
      <c r="F1825" s="48" t="s">
        <v>967</v>
      </c>
      <c r="G1825" s="48" t="s">
        <v>968</v>
      </c>
      <c r="H1825" s="47" t="s">
        <v>969</v>
      </c>
      <c r="I1825" s="47" t="s">
        <v>940</v>
      </c>
      <c r="J1825" s="47" t="s">
        <v>26</v>
      </c>
    </row>
    <row r="1826" ht="54" customHeight="1" spans="1:10">
      <c r="A1826" s="48" t="s">
        <v>545</v>
      </c>
      <c r="B1826" s="48" t="s">
        <v>3239</v>
      </c>
      <c r="C1826" s="47" t="s">
        <v>1205</v>
      </c>
      <c r="D1826" s="48" t="s">
        <v>978</v>
      </c>
      <c r="E1826" s="48" t="s">
        <v>979</v>
      </c>
      <c r="F1826" s="48" t="s">
        <v>1206</v>
      </c>
      <c r="G1826" s="48" t="s">
        <v>1207</v>
      </c>
      <c r="H1826" s="47" t="s">
        <v>1208</v>
      </c>
      <c r="I1826" s="47" t="s">
        <v>1209</v>
      </c>
      <c r="J1826" s="47" t="s">
        <v>26</v>
      </c>
    </row>
    <row r="1827" ht="54" customHeight="1" spans="1:10">
      <c r="A1827" s="48" t="s">
        <v>547</v>
      </c>
      <c r="B1827" s="48" t="s">
        <v>3240</v>
      </c>
      <c r="C1827" s="47" t="s">
        <v>1022</v>
      </c>
      <c r="D1827" s="48" t="s">
        <v>957</v>
      </c>
      <c r="E1827" s="48" t="s">
        <v>958</v>
      </c>
      <c r="F1827" s="48" t="s">
        <v>1023</v>
      </c>
      <c r="G1827" s="48" t="s">
        <v>1024</v>
      </c>
      <c r="H1827" s="47" t="s">
        <v>1025</v>
      </c>
      <c r="I1827" s="47" t="s">
        <v>1026</v>
      </c>
      <c r="J1827" s="47" t="s">
        <v>26</v>
      </c>
    </row>
    <row r="1828" ht="54" customHeight="1" spans="1:10">
      <c r="A1828" s="48" t="s">
        <v>547</v>
      </c>
      <c r="B1828" s="48" t="s">
        <v>3241</v>
      </c>
      <c r="C1828" s="47" t="s">
        <v>1226</v>
      </c>
      <c r="D1828" s="48" t="s">
        <v>965</v>
      </c>
      <c r="E1828" s="48" t="s">
        <v>966</v>
      </c>
      <c r="F1828" s="48" t="s">
        <v>1227</v>
      </c>
      <c r="G1828" s="48" t="s">
        <v>1228</v>
      </c>
      <c r="H1828" s="47" t="s">
        <v>1229</v>
      </c>
      <c r="I1828" s="47" t="s">
        <v>940</v>
      </c>
      <c r="J1828" s="47" t="s">
        <v>26</v>
      </c>
    </row>
    <row r="1829" ht="54" customHeight="1" spans="1:10">
      <c r="A1829" s="48" t="s">
        <v>547</v>
      </c>
      <c r="B1829" s="48" t="s">
        <v>3242</v>
      </c>
      <c r="C1829" s="47" t="s">
        <v>1356</v>
      </c>
      <c r="D1829" s="48" t="s">
        <v>1082</v>
      </c>
      <c r="E1829" s="48" t="s">
        <v>1083</v>
      </c>
      <c r="F1829" s="48" t="s">
        <v>1357</v>
      </c>
      <c r="G1829" s="48" t="s">
        <v>1358</v>
      </c>
      <c r="H1829" s="47" t="s">
        <v>1359</v>
      </c>
      <c r="I1829" s="47" t="s">
        <v>1360</v>
      </c>
      <c r="J1829" s="47" t="s">
        <v>26</v>
      </c>
    </row>
    <row r="1830" ht="54" customHeight="1" spans="1:10">
      <c r="A1830" s="48" t="s">
        <v>547</v>
      </c>
      <c r="B1830" s="48" t="s">
        <v>3243</v>
      </c>
      <c r="C1830" s="47" t="s">
        <v>2004</v>
      </c>
      <c r="D1830" s="48" t="s">
        <v>1171</v>
      </c>
      <c r="E1830" s="48" t="s">
        <v>1172</v>
      </c>
      <c r="F1830" s="48" t="s">
        <v>2005</v>
      </c>
      <c r="G1830" s="48" t="s">
        <v>2006</v>
      </c>
      <c r="H1830" s="47" t="s">
        <v>2007</v>
      </c>
      <c r="I1830" s="47" t="s">
        <v>1176</v>
      </c>
      <c r="J1830" s="47" t="s">
        <v>26</v>
      </c>
    </row>
    <row r="1831" ht="54" customHeight="1" spans="1:10">
      <c r="A1831" s="48" t="s">
        <v>549</v>
      </c>
      <c r="B1831" s="48" t="s">
        <v>3244</v>
      </c>
      <c r="C1831" s="47" t="s">
        <v>985</v>
      </c>
      <c r="D1831" s="48" t="s">
        <v>986</v>
      </c>
      <c r="E1831" s="48" t="s">
        <v>987</v>
      </c>
      <c r="F1831" s="48" t="s">
        <v>988</v>
      </c>
      <c r="G1831" s="48" t="s">
        <v>987</v>
      </c>
      <c r="H1831" s="47" t="s">
        <v>989</v>
      </c>
      <c r="I1831" s="47" t="s">
        <v>990</v>
      </c>
      <c r="J1831" s="47" t="s">
        <v>26</v>
      </c>
    </row>
    <row r="1832" ht="54" customHeight="1" spans="1:10">
      <c r="A1832" s="48" t="s">
        <v>549</v>
      </c>
      <c r="B1832" s="48" t="s">
        <v>3245</v>
      </c>
      <c r="C1832" s="47" t="s">
        <v>1052</v>
      </c>
      <c r="D1832" s="48" t="s">
        <v>1009</v>
      </c>
      <c r="E1832" s="48" t="s">
        <v>1010</v>
      </c>
      <c r="F1832" s="48" t="s">
        <v>1053</v>
      </c>
      <c r="G1832" s="48" t="s">
        <v>1054</v>
      </c>
      <c r="H1832" s="47" t="s">
        <v>1055</v>
      </c>
      <c r="I1832" s="47" t="s">
        <v>1056</v>
      </c>
      <c r="J1832" s="47" t="s">
        <v>26</v>
      </c>
    </row>
    <row r="1833" ht="54" customHeight="1" spans="1:10">
      <c r="A1833" s="48" t="s">
        <v>549</v>
      </c>
      <c r="B1833" s="48" t="s">
        <v>3246</v>
      </c>
      <c r="C1833" s="47" t="s">
        <v>1097</v>
      </c>
      <c r="D1833" s="48" t="s">
        <v>1098</v>
      </c>
      <c r="E1833" s="48" t="s">
        <v>1099</v>
      </c>
      <c r="F1833" s="48" t="s">
        <v>1100</v>
      </c>
      <c r="G1833" s="48" t="s">
        <v>1101</v>
      </c>
      <c r="H1833" s="47" t="s">
        <v>1102</v>
      </c>
      <c r="I1833" s="47" t="s">
        <v>1103</v>
      </c>
      <c r="J1833" s="47" t="s">
        <v>26</v>
      </c>
    </row>
    <row r="1834" ht="54" customHeight="1" spans="1:10">
      <c r="A1834" s="48" t="s">
        <v>549</v>
      </c>
      <c r="B1834" s="48" t="s">
        <v>3247</v>
      </c>
      <c r="C1834" s="47" t="s">
        <v>1066</v>
      </c>
      <c r="D1834" s="48" t="s">
        <v>935</v>
      </c>
      <c r="E1834" s="48" t="s">
        <v>936</v>
      </c>
      <c r="F1834" s="48" t="s">
        <v>1067</v>
      </c>
      <c r="G1834" s="48" t="s">
        <v>1068</v>
      </c>
      <c r="H1834" s="47" t="s">
        <v>1069</v>
      </c>
      <c r="I1834" s="47" t="s">
        <v>940</v>
      </c>
      <c r="J1834" s="47" t="s">
        <v>26</v>
      </c>
    </row>
    <row r="1835" ht="54" customHeight="1" spans="1:10">
      <c r="A1835" s="48" t="s">
        <v>549</v>
      </c>
      <c r="B1835" s="48" t="s">
        <v>3248</v>
      </c>
      <c r="C1835" s="47" t="s">
        <v>1291</v>
      </c>
      <c r="D1835" s="48" t="s">
        <v>965</v>
      </c>
      <c r="E1835" s="48" t="s">
        <v>966</v>
      </c>
      <c r="F1835" s="48" t="s">
        <v>1292</v>
      </c>
      <c r="G1835" s="48" t="s">
        <v>1293</v>
      </c>
      <c r="H1835" s="47" t="s">
        <v>1294</v>
      </c>
      <c r="I1835" s="47" t="s">
        <v>1295</v>
      </c>
      <c r="J1835" s="47" t="s">
        <v>26</v>
      </c>
    </row>
    <row r="1836" ht="54" customHeight="1" spans="1:10">
      <c r="A1836" s="48" t="s">
        <v>549</v>
      </c>
      <c r="B1836" s="48" t="s">
        <v>3249</v>
      </c>
      <c r="C1836" s="47" t="s">
        <v>1211</v>
      </c>
      <c r="D1836" s="48" t="s">
        <v>965</v>
      </c>
      <c r="E1836" s="48" t="s">
        <v>966</v>
      </c>
      <c r="F1836" s="48" t="s">
        <v>1212</v>
      </c>
      <c r="G1836" s="48" t="s">
        <v>1213</v>
      </c>
      <c r="H1836" s="47" t="s">
        <v>1214</v>
      </c>
      <c r="I1836" s="47" t="s">
        <v>940</v>
      </c>
      <c r="J1836" s="47" t="s">
        <v>26</v>
      </c>
    </row>
    <row r="1837" ht="54" customHeight="1" spans="1:10">
      <c r="A1837" s="48" t="s">
        <v>549</v>
      </c>
      <c r="B1837" s="48" t="s">
        <v>3250</v>
      </c>
      <c r="C1837" s="47" t="s">
        <v>1216</v>
      </c>
      <c r="D1837" s="48" t="s">
        <v>993</v>
      </c>
      <c r="E1837" s="48" t="s">
        <v>994</v>
      </c>
      <c r="F1837" s="48" t="s">
        <v>1217</v>
      </c>
      <c r="G1837" s="48" t="s">
        <v>1218</v>
      </c>
      <c r="H1837" s="47" t="s">
        <v>1219</v>
      </c>
      <c r="I1837" s="47" t="s">
        <v>1220</v>
      </c>
      <c r="J1837" s="47" t="s">
        <v>26</v>
      </c>
    </row>
    <row r="1838" ht="54" customHeight="1" spans="1:10">
      <c r="A1838" s="48" t="s">
        <v>551</v>
      </c>
      <c r="B1838" s="48" t="s">
        <v>3251</v>
      </c>
      <c r="C1838" s="47" t="s">
        <v>1089</v>
      </c>
      <c r="D1838" s="48" t="s">
        <v>957</v>
      </c>
      <c r="E1838" s="48" t="s">
        <v>958</v>
      </c>
      <c r="F1838" s="48" t="s">
        <v>1090</v>
      </c>
      <c r="G1838" s="48" t="s">
        <v>1091</v>
      </c>
      <c r="H1838" s="47" t="s">
        <v>1092</v>
      </c>
      <c r="I1838" s="47" t="s">
        <v>1093</v>
      </c>
      <c r="J1838" s="47" t="s">
        <v>26</v>
      </c>
    </row>
    <row r="1839" ht="54" customHeight="1" spans="1:10">
      <c r="A1839" s="48" t="s">
        <v>551</v>
      </c>
      <c r="B1839" s="48" t="s">
        <v>3252</v>
      </c>
      <c r="C1839" s="47" t="s">
        <v>1205</v>
      </c>
      <c r="D1839" s="48" t="s">
        <v>978</v>
      </c>
      <c r="E1839" s="48" t="s">
        <v>979</v>
      </c>
      <c r="F1839" s="48" t="s">
        <v>1206</v>
      </c>
      <c r="G1839" s="48" t="s">
        <v>1207</v>
      </c>
      <c r="H1839" s="47" t="s">
        <v>1208</v>
      </c>
      <c r="I1839" s="47" t="s">
        <v>1209</v>
      </c>
      <c r="J1839" s="47" t="s">
        <v>26</v>
      </c>
    </row>
    <row r="1840" ht="54" customHeight="1" spans="1:10">
      <c r="A1840" s="48" t="s">
        <v>553</v>
      </c>
      <c r="B1840" s="48" t="s">
        <v>3253</v>
      </c>
      <c r="C1840" s="47" t="s">
        <v>1516</v>
      </c>
      <c r="D1840" s="48" t="s">
        <v>1073</v>
      </c>
      <c r="E1840" s="48" t="s">
        <v>1074</v>
      </c>
      <c r="F1840" s="48" t="s">
        <v>1517</v>
      </c>
      <c r="G1840" s="48" t="s">
        <v>1518</v>
      </c>
      <c r="H1840" s="47" t="s">
        <v>1519</v>
      </c>
      <c r="I1840" s="47" t="s">
        <v>1520</v>
      </c>
      <c r="J1840" s="47" t="s">
        <v>26</v>
      </c>
    </row>
    <row r="1841" ht="54" customHeight="1" spans="1:10">
      <c r="A1841" s="48" t="s">
        <v>553</v>
      </c>
      <c r="B1841" s="48" t="s">
        <v>3254</v>
      </c>
      <c r="C1841" s="47" t="s">
        <v>934</v>
      </c>
      <c r="D1841" s="48" t="s">
        <v>935</v>
      </c>
      <c r="E1841" s="48" t="s">
        <v>936</v>
      </c>
      <c r="F1841" s="48" t="s">
        <v>937</v>
      </c>
      <c r="G1841" s="48" t="s">
        <v>938</v>
      </c>
      <c r="H1841" s="47" t="s">
        <v>939</v>
      </c>
      <c r="I1841" s="47" t="s">
        <v>940</v>
      </c>
      <c r="J1841" s="47" t="s">
        <v>26</v>
      </c>
    </row>
    <row r="1842" ht="54" customHeight="1" spans="1:10">
      <c r="A1842" s="48" t="s">
        <v>553</v>
      </c>
      <c r="B1842" s="48" t="s">
        <v>3255</v>
      </c>
      <c r="C1842" s="47" t="s">
        <v>950</v>
      </c>
      <c r="D1842" s="48" t="s">
        <v>935</v>
      </c>
      <c r="E1842" s="48" t="s">
        <v>936</v>
      </c>
      <c r="F1842" s="48" t="s">
        <v>951</v>
      </c>
      <c r="G1842" s="48" t="s">
        <v>952</v>
      </c>
      <c r="H1842" s="47" t="s">
        <v>953</v>
      </c>
      <c r="I1842" s="47" t="s">
        <v>954</v>
      </c>
      <c r="J1842" s="47" t="s">
        <v>26</v>
      </c>
    </row>
    <row r="1843" ht="54" customHeight="1" spans="1:10">
      <c r="A1843" s="48" t="s">
        <v>553</v>
      </c>
      <c r="B1843" s="48" t="s">
        <v>3256</v>
      </c>
      <c r="C1843" s="47" t="s">
        <v>1066</v>
      </c>
      <c r="D1843" s="48" t="s">
        <v>935</v>
      </c>
      <c r="E1843" s="48" t="s">
        <v>936</v>
      </c>
      <c r="F1843" s="48" t="s">
        <v>1067</v>
      </c>
      <c r="G1843" s="48" t="s">
        <v>1068</v>
      </c>
      <c r="H1843" s="47" t="s">
        <v>1069</v>
      </c>
      <c r="I1843" s="47" t="s">
        <v>940</v>
      </c>
      <c r="J1843" s="47" t="s">
        <v>26</v>
      </c>
    </row>
    <row r="1844" ht="54" customHeight="1" spans="1:10">
      <c r="A1844" s="48" t="s">
        <v>553</v>
      </c>
      <c r="B1844" s="48" t="s">
        <v>3257</v>
      </c>
      <c r="C1844" s="47" t="s">
        <v>1252</v>
      </c>
      <c r="D1844" s="48" t="s">
        <v>1001</v>
      </c>
      <c r="E1844" s="48" t="s">
        <v>1002</v>
      </c>
      <c r="F1844" s="48" t="s">
        <v>1253</v>
      </c>
      <c r="G1844" s="48" t="s">
        <v>1254</v>
      </c>
      <c r="H1844" s="47" t="s">
        <v>1255</v>
      </c>
      <c r="I1844" s="47" t="s">
        <v>1256</v>
      </c>
      <c r="J1844" s="47" t="s">
        <v>26</v>
      </c>
    </row>
    <row r="1845" ht="54" customHeight="1" spans="1:10">
      <c r="A1845" s="48" t="s">
        <v>553</v>
      </c>
      <c r="B1845" s="48" t="s">
        <v>3258</v>
      </c>
      <c r="C1845" s="47" t="s">
        <v>971</v>
      </c>
      <c r="D1845" s="48" t="s">
        <v>965</v>
      </c>
      <c r="E1845" s="48" t="s">
        <v>966</v>
      </c>
      <c r="F1845" s="48" t="s">
        <v>972</v>
      </c>
      <c r="G1845" s="48" t="s">
        <v>973</v>
      </c>
      <c r="H1845" s="47" t="s">
        <v>974</v>
      </c>
      <c r="I1845" s="47" t="s">
        <v>975</v>
      </c>
      <c r="J1845" s="47" t="s">
        <v>26</v>
      </c>
    </row>
    <row r="1846" ht="54" customHeight="1" spans="1:10">
      <c r="A1846" s="48" t="s">
        <v>553</v>
      </c>
      <c r="B1846" s="48" t="s">
        <v>3259</v>
      </c>
      <c r="C1846" s="47" t="s">
        <v>1164</v>
      </c>
      <c r="D1846" s="48" t="s">
        <v>978</v>
      </c>
      <c r="E1846" s="48" t="s">
        <v>979</v>
      </c>
      <c r="F1846" s="48" t="s">
        <v>1165</v>
      </c>
      <c r="G1846" s="48" t="s">
        <v>1166</v>
      </c>
      <c r="H1846" s="47" t="s">
        <v>1167</v>
      </c>
      <c r="I1846" s="47" t="s">
        <v>1168</v>
      </c>
      <c r="J1846" s="47" t="s">
        <v>26</v>
      </c>
    </row>
    <row r="1847" ht="54" customHeight="1" spans="1:10">
      <c r="A1847" s="48" t="s">
        <v>555</v>
      </c>
      <c r="B1847" s="48" t="s">
        <v>3260</v>
      </c>
      <c r="C1847" s="47" t="s">
        <v>1268</v>
      </c>
      <c r="D1847" s="48" t="s">
        <v>957</v>
      </c>
      <c r="E1847" s="48" t="s">
        <v>958</v>
      </c>
      <c r="F1847" s="48" t="s">
        <v>1269</v>
      </c>
      <c r="G1847" s="48" t="s">
        <v>1270</v>
      </c>
      <c r="H1847" s="47" t="s">
        <v>1271</v>
      </c>
      <c r="I1847" s="47" t="s">
        <v>1272</v>
      </c>
      <c r="J1847" s="47" t="s">
        <v>26</v>
      </c>
    </row>
    <row r="1848" ht="54" customHeight="1" spans="1:10">
      <c r="A1848" s="48" t="s">
        <v>555</v>
      </c>
      <c r="B1848" s="48" t="s">
        <v>3261</v>
      </c>
      <c r="C1848" s="47" t="s">
        <v>1052</v>
      </c>
      <c r="D1848" s="48" t="s">
        <v>1009</v>
      </c>
      <c r="E1848" s="48" t="s">
        <v>1010</v>
      </c>
      <c r="F1848" s="48" t="s">
        <v>1053</v>
      </c>
      <c r="G1848" s="48" t="s">
        <v>1054</v>
      </c>
      <c r="H1848" s="47" t="s">
        <v>1055</v>
      </c>
      <c r="I1848" s="47" t="s">
        <v>1056</v>
      </c>
      <c r="J1848" s="47" t="s">
        <v>26</v>
      </c>
    </row>
    <row r="1849" ht="54" customHeight="1" spans="1:10">
      <c r="A1849" s="48" t="s">
        <v>555</v>
      </c>
      <c r="B1849" s="48" t="s">
        <v>3262</v>
      </c>
      <c r="C1849" s="47" t="s">
        <v>1097</v>
      </c>
      <c r="D1849" s="48" t="s">
        <v>1098</v>
      </c>
      <c r="E1849" s="48" t="s">
        <v>1099</v>
      </c>
      <c r="F1849" s="48" t="s">
        <v>1100</v>
      </c>
      <c r="G1849" s="48" t="s">
        <v>1101</v>
      </c>
      <c r="H1849" s="47" t="s">
        <v>1102</v>
      </c>
      <c r="I1849" s="47" t="s">
        <v>1103</v>
      </c>
      <c r="J1849" s="47" t="s">
        <v>26</v>
      </c>
    </row>
    <row r="1850" ht="54" customHeight="1" spans="1:10">
      <c r="A1850" s="48" t="s">
        <v>555</v>
      </c>
      <c r="B1850" s="48" t="s">
        <v>3263</v>
      </c>
      <c r="C1850" s="47" t="s">
        <v>1610</v>
      </c>
      <c r="D1850" s="48" t="s">
        <v>1098</v>
      </c>
      <c r="E1850" s="48" t="s">
        <v>1099</v>
      </c>
      <c r="F1850" s="48" t="s">
        <v>1611</v>
      </c>
      <c r="G1850" s="48" t="s">
        <v>1612</v>
      </c>
      <c r="H1850" s="47" t="s">
        <v>1613</v>
      </c>
      <c r="I1850" s="47" t="s">
        <v>1614</v>
      </c>
      <c r="J1850" s="47" t="s">
        <v>26</v>
      </c>
    </row>
    <row r="1851" ht="54" customHeight="1" spans="1:10">
      <c r="A1851" s="48" t="s">
        <v>555</v>
      </c>
      <c r="B1851" s="48" t="s">
        <v>3264</v>
      </c>
      <c r="C1851" s="47" t="s">
        <v>1967</v>
      </c>
      <c r="D1851" s="48" t="s">
        <v>965</v>
      </c>
      <c r="E1851" s="48" t="s">
        <v>966</v>
      </c>
      <c r="F1851" s="48" t="s">
        <v>1968</v>
      </c>
      <c r="G1851" s="48" t="s">
        <v>1969</v>
      </c>
      <c r="H1851" s="47" t="s">
        <v>1970</v>
      </c>
      <c r="I1851" s="47" t="s">
        <v>940</v>
      </c>
      <c r="J1851" s="47" t="s">
        <v>26</v>
      </c>
    </row>
    <row r="1852" ht="54" customHeight="1" spans="1:10">
      <c r="A1852" s="48" t="s">
        <v>555</v>
      </c>
      <c r="B1852" s="48" t="s">
        <v>3265</v>
      </c>
      <c r="C1852" s="47" t="s">
        <v>1137</v>
      </c>
      <c r="D1852" s="48" t="s">
        <v>1138</v>
      </c>
      <c r="E1852" s="48" t="s">
        <v>1139</v>
      </c>
      <c r="F1852" s="48" t="s">
        <v>1140</v>
      </c>
      <c r="G1852" s="48" t="s">
        <v>1141</v>
      </c>
      <c r="H1852" s="47" t="s">
        <v>1142</v>
      </c>
      <c r="I1852" s="47" t="s">
        <v>940</v>
      </c>
      <c r="J1852" s="47" t="s">
        <v>26</v>
      </c>
    </row>
    <row r="1853" ht="54" customHeight="1" spans="1:10">
      <c r="A1853" s="48" t="s">
        <v>555</v>
      </c>
      <c r="B1853" s="48" t="s">
        <v>3266</v>
      </c>
      <c r="C1853" s="47" t="s">
        <v>971</v>
      </c>
      <c r="D1853" s="48" t="s">
        <v>965</v>
      </c>
      <c r="E1853" s="48" t="s">
        <v>966</v>
      </c>
      <c r="F1853" s="48" t="s">
        <v>972</v>
      </c>
      <c r="G1853" s="48" t="s">
        <v>973</v>
      </c>
      <c r="H1853" s="47" t="s">
        <v>974</v>
      </c>
      <c r="I1853" s="47" t="s">
        <v>975</v>
      </c>
      <c r="J1853" s="47" t="s">
        <v>26</v>
      </c>
    </row>
    <row r="1854" ht="54" customHeight="1" spans="1:10">
      <c r="A1854" s="48" t="s">
        <v>555</v>
      </c>
      <c r="B1854" s="48" t="s">
        <v>3267</v>
      </c>
      <c r="C1854" s="47" t="s">
        <v>1313</v>
      </c>
      <c r="D1854" s="48" t="s">
        <v>1037</v>
      </c>
      <c r="E1854" s="48" t="s">
        <v>1038</v>
      </c>
      <c r="F1854" s="48" t="s">
        <v>1314</v>
      </c>
      <c r="G1854" s="48" t="s">
        <v>1315</v>
      </c>
      <c r="H1854" s="47" t="s">
        <v>1316</v>
      </c>
      <c r="I1854" s="47" t="s">
        <v>1317</v>
      </c>
      <c r="J1854" s="47" t="s">
        <v>26</v>
      </c>
    </row>
    <row r="1855" ht="54" customHeight="1" spans="1:10">
      <c r="A1855" s="48" t="s">
        <v>555</v>
      </c>
      <c r="B1855" s="48" t="s">
        <v>3268</v>
      </c>
      <c r="C1855" s="47" t="s">
        <v>1245</v>
      </c>
      <c r="D1855" s="48" t="s">
        <v>1171</v>
      </c>
      <c r="E1855" s="48" t="s">
        <v>1172</v>
      </c>
      <c r="F1855" s="48" t="s">
        <v>1246</v>
      </c>
      <c r="G1855" s="48" t="s">
        <v>1247</v>
      </c>
      <c r="H1855" s="47" t="s">
        <v>1248</v>
      </c>
      <c r="I1855" s="47" t="s">
        <v>1176</v>
      </c>
      <c r="J1855" s="47" t="s">
        <v>26</v>
      </c>
    </row>
    <row r="1856" ht="54" customHeight="1" spans="1:10">
      <c r="A1856" s="48" t="s">
        <v>557</v>
      </c>
      <c r="B1856" s="48" t="s">
        <v>3269</v>
      </c>
      <c r="C1856" s="47" t="s">
        <v>1105</v>
      </c>
      <c r="D1856" s="48" t="s">
        <v>1009</v>
      </c>
      <c r="E1856" s="48" t="s">
        <v>1010</v>
      </c>
      <c r="F1856" s="48" t="s">
        <v>1106</v>
      </c>
      <c r="G1856" s="48" t="s">
        <v>1107</v>
      </c>
      <c r="H1856" s="47" t="s">
        <v>1108</v>
      </c>
      <c r="I1856" s="47" t="s">
        <v>1109</v>
      </c>
      <c r="J1856" s="47" t="s">
        <v>26</v>
      </c>
    </row>
    <row r="1857" ht="54" customHeight="1" spans="1:10">
      <c r="A1857" s="48" t="s">
        <v>557</v>
      </c>
      <c r="B1857" s="48" t="s">
        <v>3270</v>
      </c>
      <c r="C1857" s="47" t="s">
        <v>1666</v>
      </c>
      <c r="D1857" s="48" t="s">
        <v>1082</v>
      </c>
      <c r="E1857" s="48" t="s">
        <v>1083</v>
      </c>
      <c r="F1857" s="48" t="s">
        <v>1667</v>
      </c>
      <c r="G1857" s="48" t="s">
        <v>1668</v>
      </c>
      <c r="H1857" s="47" t="s">
        <v>1669</v>
      </c>
      <c r="I1857" s="47" t="s">
        <v>1670</v>
      </c>
      <c r="J1857" s="47" t="s">
        <v>26</v>
      </c>
    </row>
    <row r="1858" ht="54" customHeight="1" spans="1:10">
      <c r="A1858" s="48" t="s">
        <v>557</v>
      </c>
      <c r="B1858" s="48" t="s">
        <v>3271</v>
      </c>
      <c r="C1858" s="47" t="s">
        <v>1610</v>
      </c>
      <c r="D1858" s="48" t="s">
        <v>1098</v>
      </c>
      <c r="E1858" s="48" t="s">
        <v>1099</v>
      </c>
      <c r="F1858" s="48" t="s">
        <v>1611</v>
      </c>
      <c r="G1858" s="48" t="s">
        <v>1612</v>
      </c>
      <c r="H1858" s="47" t="s">
        <v>1613</v>
      </c>
      <c r="I1858" s="47" t="s">
        <v>1614</v>
      </c>
      <c r="J1858" s="47" t="s">
        <v>26</v>
      </c>
    </row>
    <row r="1859" ht="54" customHeight="1" spans="1:10">
      <c r="A1859" s="48" t="s">
        <v>557</v>
      </c>
      <c r="B1859" s="48" t="s">
        <v>3272</v>
      </c>
      <c r="C1859" s="47" t="s">
        <v>1285</v>
      </c>
      <c r="D1859" s="48" t="s">
        <v>965</v>
      </c>
      <c r="E1859" s="48" t="s">
        <v>966</v>
      </c>
      <c r="F1859" s="48" t="s">
        <v>1286</v>
      </c>
      <c r="G1859" s="48" t="s">
        <v>1287</v>
      </c>
      <c r="H1859" s="47" t="s">
        <v>1288</v>
      </c>
      <c r="I1859" s="47" t="s">
        <v>1289</v>
      </c>
      <c r="J1859" s="47" t="s">
        <v>26</v>
      </c>
    </row>
    <row r="1860" ht="54" customHeight="1" spans="1:10">
      <c r="A1860" s="48" t="s">
        <v>557</v>
      </c>
      <c r="B1860" s="48" t="s">
        <v>3273</v>
      </c>
      <c r="C1860" s="47" t="s">
        <v>1226</v>
      </c>
      <c r="D1860" s="48" t="s">
        <v>965</v>
      </c>
      <c r="E1860" s="48" t="s">
        <v>966</v>
      </c>
      <c r="F1860" s="48" t="s">
        <v>1227</v>
      </c>
      <c r="G1860" s="48" t="s">
        <v>1228</v>
      </c>
      <c r="H1860" s="47" t="s">
        <v>1229</v>
      </c>
      <c r="I1860" s="47" t="s">
        <v>940</v>
      </c>
      <c r="J1860" s="47" t="s">
        <v>26</v>
      </c>
    </row>
    <row r="1861" ht="54" customHeight="1" spans="1:10">
      <c r="A1861" s="48" t="s">
        <v>557</v>
      </c>
      <c r="B1861" s="48" t="s">
        <v>3274</v>
      </c>
      <c r="C1861" s="47" t="s">
        <v>1137</v>
      </c>
      <c r="D1861" s="48" t="s">
        <v>1138</v>
      </c>
      <c r="E1861" s="48" t="s">
        <v>1139</v>
      </c>
      <c r="F1861" s="48" t="s">
        <v>1140</v>
      </c>
      <c r="G1861" s="48" t="s">
        <v>1141</v>
      </c>
      <c r="H1861" s="47" t="s">
        <v>1142</v>
      </c>
      <c r="I1861" s="47" t="s">
        <v>940</v>
      </c>
      <c r="J1861" s="47" t="s">
        <v>26</v>
      </c>
    </row>
    <row r="1862" ht="54" customHeight="1" spans="1:10">
      <c r="A1862" s="48" t="s">
        <v>557</v>
      </c>
      <c r="B1862" s="48" t="s">
        <v>3275</v>
      </c>
      <c r="C1862" s="47" t="s">
        <v>1291</v>
      </c>
      <c r="D1862" s="48" t="s">
        <v>965</v>
      </c>
      <c r="E1862" s="48" t="s">
        <v>966</v>
      </c>
      <c r="F1862" s="48" t="s">
        <v>1292</v>
      </c>
      <c r="G1862" s="48" t="s">
        <v>1293</v>
      </c>
      <c r="H1862" s="47" t="s">
        <v>1294</v>
      </c>
      <c r="I1862" s="47" t="s">
        <v>1295</v>
      </c>
      <c r="J1862" s="47" t="s">
        <v>26</v>
      </c>
    </row>
    <row r="1863" ht="54" customHeight="1" spans="1:10">
      <c r="A1863" s="48" t="s">
        <v>557</v>
      </c>
      <c r="B1863" s="48" t="s">
        <v>3276</v>
      </c>
      <c r="C1863" s="47" t="s">
        <v>977</v>
      </c>
      <c r="D1863" s="48" t="s">
        <v>978</v>
      </c>
      <c r="E1863" s="48" t="s">
        <v>979</v>
      </c>
      <c r="F1863" s="48" t="s">
        <v>980</v>
      </c>
      <c r="G1863" s="48" t="s">
        <v>981</v>
      </c>
      <c r="H1863" s="47" t="s">
        <v>982</v>
      </c>
      <c r="I1863" s="47" t="s">
        <v>983</v>
      </c>
      <c r="J1863" s="47" t="s">
        <v>26</v>
      </c>
    </row>
    <row r="1864" ht="54" customHeight="1" spans="1:10">
      <c r="A1864" s="48" t="s">
        <v>557</v>
      </c>
      <c r="B1864" s="48" t="s">
        <v>3277</v>
      </c>
      <c r="C1864" s="47" t="s">
        <v>1211</v>
      </c>
      <c r="D1864" s="48" t="s">
        <v>965</v>
      </c>
      <c r="E1864" s="48" t="s">
        <v>966</v>
      </c>
      <c r="F1864" s="48" t="s">
        <v>1212</v>
      </c>
      <c r="G1864" s="48" t="s">
        <v>1213</v>
      </c>
      <c r="H1864" s="47" t="s">
        <v>1214</v>
      </c>
      <c r="I1864" s="47" t="s">
        <v>940</v>
      </c>
      <c r="J1864" s="47" t="s">
        <v>26</v>
      </c>
    </row>
    <row r="1865" ht="54" customHeight="1" spans="1:10">
      <c r="A1865" s="48" t="s">
        <v>557</v>
      </c>
      <c r="B1865" s="48" t="s">
        <v>3278</v>
      </c>
      <c r="C1865" s="47" t="s">
        <v>1245</v>
      </c>
      <c r="D1865" s="48" t="s">
        <v>1171</v>
      </c>
      <c r="E1865" s="48" t="s">
        <v>1172</v>
      </c>
      <c r="F1865" s="48" t="s">
        <v>1246</v>
      </c>
      <c r="G1865" s="48" t="s">
        <v>1247</v>
      </c>
      <c r="H1865" s="47" t="s">
        <v>1248</v>
      </c>
      <c r="I1865" s="47" t="s">
        <v>1176</v>
      </c>
      <c r="J1865" s="47" t="s">
        <v>26</v>
      </c>
    </row>
    <row r="1866" ht="54" customHeight="1" spans="1:10">
      <c r="A1866" s="48" t="s">
        <v>559</v>
      </c>
      <c r="B1866" s="48" t="s">
        <v>3279</v>
      </c>
      <c r="C1866" s="47" t="s">
        <v>1022</v>
      </c>
      <c r="D1866" s="48" t="s">
        <v>957</v>
      </c>
      <c r="E1866" s="48" t="s">
        <v>958</v>
      </c>
      <c r="F1866" s="48" t="s">
        <v>1023</v>
      </c>
      <c r="G1866" s="48" t="s">
        <v>1024</v>
      </c>
      <c r="H1866" s="47" t="s">
        <v>1025</v>
      </c>
      <c r="I1866" s="47" t="s">
        <v>1026</v>
      </c>
      <c r="J1866" s="47" t="s">
        <v>26</v>
      </c>
    </row>
    <row r="1867" ht="54" customHeight="1" spans="1:10">
      <c r="A1867" s="48" t="s">
        <v>559</v>
      </c>
      <c r="B1867" s="48" t="s">
        <v>3280</v>
      </c>
      <c r="C1867" s="47" t="s">
        <v>1089</v>
      </c>
      <c r="D1867" s="48" t="s">
        <v>957</v>
      </c>
      <c r="E1867" s="48" t="s">
        <v>958</v>
      </c>
      <c r="F1867" s="48" t="s">
        <v>1090</v>
      </c>
      <c r="G1867" s="48" t="s">
        <v>1091</v>
      </c>
      <c r="H1867" s="47" t="s">
        <v>1092</v>
      </c>
      <c r="I1867" s="47" t="s">
        <v>1093</v>
      </c>
      <c r="J1867" s="47" t="s">
        <v>26</v>
      </c>
    </row>
    <row r="1868" ht="54" customHeight="1" spans="1:10">
      <c r="A1868" s="48" t="s">
        <v>559</v>
      </c>
      <c r="B1868" s="48" t="s">
        <v>3281</v>
      </c>
      <c r="C1868" s="47" t="s">
        <v>1097</v>
      </c>
      <c r="D1868" s="48" t="s">
        <v>1098</v>
      </c>
      <c r="E1868" s="48" t="s">
        <v>1099</v>
      </c>
      <c r="F1868" s="48" t="s">
        <v>1100</v>
      </c>
      <c r="G1868" s="48" t="s">
        <v>1101</v>
      </c>
      <c r="H1868" s="47" t="s">
        <v>1102</v>
      </c>
      <c r="I1868" s="47" t="s">
        <v>1103</v>
      </c>
      <c r="J1868" s="47" t="s">
        <v>26</v>
      </c>
    </row>
    <row r="1869" ht="54" customHeight="1" spans="1:10">
      <c r="A1869" s="48" t="s">
        <v>559</v>
      </c>
      <c r="B1869" s="48" t="s">
        <v>3282</v>
      </c>
      <c r="C1869" s="47" t="s">
        <v>971</v>
      </c>
      <c r="D1869" s="48" t="s">
        <v>965</v>
      </c>
      <c r="E1869" s="48" t="s">
        <v>966</v>
      </c>
      <c r="F1869" s="48" t="s">
        <v>972</v>
      </c>
      <c r="G1869" s="48" t="s">
        <v>973</v>
      </c>
      <c r="H1869" s="47" t="s">
        <v>974</v>
      </c>
      <c r="I1869" s="47" t="s">
        <v>975</v>
      </c>
      <c r="J1869" s="47" t="s">
        <v>26</v>
      </c>
    </row>
    <row r="1870" ht="54" customHeight="1" spans="1:10">
      <c r="A1870" s="48" t="s">
        <v>559</v>
      </c>
      <c r="B1870" s="48" t="s">
        <v>3283</v>
      </c>
      <c r="C1870" s="47" t="s">
        <v>1291</v>
      </c>
      <c r="D1870" s="48" t="s">
        <v>965</v>
      </c>
      <c r="E1870" s="48" t="s">
        <v>966</v>
      </c>
      <c r="F1870" s="48" t="s">
        <v>1292</v>
      </c>
      <c r="G1870" s="48" t="s">
        <v>1293</v>
      </c>
      <c r="H1870" s="47" t="s">
        <v>1294</v>
      </c>
      <c r="I1870" s="47" t="s">
        <v>1295</v>
      </c>
      <c r="J1870" s="47" t="s">
        <v>26</v>
      </c>
    </row>
    <row r="1871" ht="54" customHeight="1" spans="1:10">
      <c r="A1871" s="48" t="s">
        <v>559</v>
      </c>
      <c r="B1871" s="48" t="s">
        <v>3284</v>
      </c>
      <c r="C1871" s="47" t="s">
        <v>1205</v>
      </c>
      <c r="D1871" s="48" t="s">
        <v>978</v>
      </c>
      <c r="E1871" s="48" t="s">
        <v>979</v>
      </c>
      <c r="F1871" s="48" t="s">
        <v>1206</v>
      </c>
      <c r="G1871" s="48" t="s">
        <v>1207</v>
      </c>
      <c r="H1871" s="47" t="s">
        <v>1208</v>
      </c>
      <c r="I1871" s="47" t="s">
        <v>1209</v>
      </c>
      <c r="J1871" s="47" t="s">
        <v>26</v>
      </c>
    </row>
    <row r="1872" ht="54" customHeight="1" spans="1:10">
      <c r="A1872" s="48" t="s">
        <v>559</v>
      </c>
      <c r="B1872" s="48" t="s">
        <v>3285</v>
      </c>
      <c r="C1872" s="47" t="s">
        <v>1211</v>
      </c>
      <c r="D1872" s="48" t="s">
        <v>965</v>
      </c>
      <c r="E1872" s="48" t="s">
        <v>966</v>
      </c>
      <c r="F1872" s="48" t="s">
        <v>1212</v>
      </c>
      <c r="G1872" s="48" t="s">
        <v>1213</v>
      </c>
      <c r="H1872" s="47" t="s">
        <v>1214</v>
      </c>
      <c r="I1872" s="47" t="s">
        <v>940</v>
      </c>
      <c r="J1872" s="47" t="s">
        <v>26</v>
      </c>
    </row>
    <row r="1873" ht="54" customHeight="1" spans="1:10">
      <c r="A1873" s="48" t="s">
        <v>559</v>
      </c>
      <c r="B1873" s="48" t="s">
        <v>3286</v>
      </c>
      <c r="C1873" s="47" t="s">
        <v>1245</v>
      </c>
      <c r="D1873" s="48" t="s">
        <v>1171</v>
      </c>
      <c r="E1873" s="48" t="s">
        <v>1172</v>
      </c>
      <c r="F1873" s="48" t="s">
        <v>1246</v>
      </c>
      <c r="G1873" s="48" t="s">
        <v>1247</v>
      </c>
      <c r="H1873" s="47" t="s">
        <v>1248</v>
      </c>
      <c r="I1873" s="47" t="s">
        <v>1176</v>
      </c>
      <c r="J1873" s="47" t="s">
        <v>26</v>
      </c>
    </row>
    <row r="1874" ht="54" customHeight="1" spans="1:10">
      <c r="A1874" s="48" t="s">
        <v>561</v>
      </c>
      <c r="B1874" s="48" t="s">
        <v>3287</v>
      </c>
      <c r="C1874" s="47" t="s">
        <v>1089</v>
      </c>
      <c r="D1874" s="48" t="s">
        <v>957</v>
      </c>
      <c r="E1874" s="48" t="s">
        <v>958</v>
      </c>
      <c r="F1874" s="48" t="s">
        <v>1090</v>
      </c>
      <c r="G1874" s="48" t="s">
        <v>1091</v>
      </c>
      <c r="H1874" s="47" t="s">
        <v>1092</v>
      </c>
      <c r="I1874" s="47" t="s">
        <v>1093</v>
      </c>
      <c r="J1874" s="47" t="s">
        <v>26</v>
      </c>
    </row>
    <row r="1875" ht="54" customHeight="1" spans="1:10">
      <c r="A1875" s="48" t="s">
        <v>561</v>
      </c>
      <c r="B1875" s="48" t="s">
        <v>3288</v>
      </c>
      <c r="C1875" s="47" t="s">
        <v>1205</v>
      </c>
      <c r="D1875" s="48" t="s">
        <v>978</v>
      </c>
      <c r="E1875" s="48" t="s">
        <v>979</v>
      </c>
      <c r="F1875" s="48" t="s">
        <v>1206</v>
      </c>
      <c r="G1875" s="48" t="s">
        <v>1207</v>
      </c>
      <c r="H1875" s="47" t="s">
        <v>1208</v>
      </c>
      <c r="I1875" s="47" t="s">
        <v>1209</v>
      </c>
      <c r="J1875" s="47" t="s">
        <v>26</v>
      </c>
    </row>
    <row r="1876" ht="54" customHeight="1" spans="1:10">
      <c r="A1876" s="48" t="s">
        <v>561</v>
      </c>
      <c r="B1876" s="48" t="s">
        <v>3289</v>
      </c>
      <c r="C1876" s="47" t="s">
        <v>1245</v>
      </c>
      <c r="D1876" s="48" t="s">
        <v>1171</v>
      </c>
      <c r="E1876" s="48" t="s">
        <v>1172</v>
      </c>
      <c r="F1876" s="48" t="s">
        <v>1246</v>
      </c>
      <c r="G1876" s="48" t="s">
        <v>1247</v>
      </c>
      <c r="H1876" s="47" t="s">
        <v>1248</v>
      </c>
      <c r="I1876" s="47" t="s">
        <v>1176</v>
      </c>
      <c r="J1876" s="47" t="s">
        <v>26</v>
      </c>
    </row>
    <row r="1877" ht="54" customHeight="1" spans="1:10">
      <c r="A1877" s="48" t="s">
        <v>563</v>
      </c>
      <c r="B1877" s="48" t="s">
        <v>3290</v>
      </c>
      <c r="C1877" s="47" t="s">
        <v>1505</v>
      </c>
      <c r="D1877" s="48" t="s">
        <v>1506</v>
      </c>
      <c r="E1877" s="48" t="s">
        <v>1507</v>
      </c>
      <c r="F1877" s="48" t="s">
        <v>1508</v>
      </c>
      <c r="G1877" s="48" t="s">
        <v>1507</v>
      </c>
      <c r="H1877" s="47" t="s">
        <v>1509</v>
      </c>
      <c r="I1877" s="47" t="s">
        <v>1510</v>
      </c>
      <c r="J1877" s="47" t="s">
        <v>26</v>
      </c>
    </row>
    <row r="1878" ht="54" customHeight="1" spans="1:10">
      <c r="A1878" s="48" t="s">
        <v>563</v>
      </c>
      <c r="B1878" s="48" t="s">
        <v>3291</v>
      </c>
      <c r="C1878" s="47" t="s">
        <v>1421</v>
      </c>
      <c r="D1878" s="48" t="s">
        <v>1422</v>
      </c>
      <c r="E1878" s="48" t="s">
        <v>1423</v>
      </c>
      <c r="F1878" s="48" t="s">
        <v>1424</v>
      </c>
      <c r="G1878" s="48" t="s">
        <v>1423</v>
      </c>
      <c r="H1878" s="47" t="s">
        <v>1425</v>
      </c>
      <c r="I1878" s="47" t="s">
        <v>1426</v>
      </c>
      <c r="J1878" s="47" t="s">
        <v>26</v>
      </c>
    </row>
    <row r="1879" ht="54" customHeight="1" spans="1:10">
      <c r="A1879" s="48" t="s">
        <v>563</v>
      </c>
      <c r="B1879" s="48" t="s">
        <v>3292</v>
      </c>
      <c r="C1879" s="47" t="s">
        <v>1480</v>
      </c>
      <c r="D1879" s="48" t="s">
        <v>1001</v>
      </c>
      <c r="E1879" s="48" t="s">
        <v>1002</v>
      </c>
      <c r="F1879" s="48" t="s">
        <v>1481</v>
      </c>
      <c r="G1879" s="48" t="s">
        <v>1482</v>
      </c>
      <c r="H1879" s="47" t="s">
        <v>1483</v>
      </c>
      <c r="I1879" s="47" t="s">
        <v>1484</v>
      </c>
      <c r="J1879" s="47" t="s">
        <v>26</v>
      </c>
    </row>
    <row r="1880" ht="54" customHeight="1" spans="1:10">
      <c r="A1880" s="48" t="s">
        <v>563</v>
      </c>
      <c r="B1880" s="48" t="s">
        <v>3293</v>
      </c>
      <c r="C1880" s="47" t="s">
        <v>1022</v>
      </c>
      <c r="D1880" s="48" t="s">
        <v>957</v>
      </c>
      <c r="E1880" s="48" t="s">
        <v>958</v>
      </c>
      <c r="F1880" s="48" t="s">
        <v>1023</v>
      </c>
      <c r="G1880" s="48" t="s">
        <v>1024</v>
      </c>
      <c r="H1880" s="47" t="s">
        <v>1025</v>
      </c>
      <c r="I1880" s="47" t="s">
        <v>1026</v>
      </c>
      <c r="J1880" s="47" t="s">
        <v>26</v>
      </c>
    </row>
    <row r="1881" ht="54" customHeight="1" spans="1:10">
      <c r="A1881" s="48" t="s">
        <v>563</v>
      </c>
      <c r="B1881" s="48" t="s">
        <v>3294</v>
      </c>
      <c r="C1881" s="47" t="s">
        <v>956</v>
      </c>
      <c r="D1881" s="48" t="s">
        <v>957</v>
      </c>
      <c r="E1881" s="48" t="s">
        <v>958</v>
      </c>
      <c r="F1881" s="48" t="s">
        <v>959</v>
      </c>
      <c r="G1881" s="48" t="s">
        <v>960</v>
      </c>
      <c r="H1881" s="47" t="s">
        <v>961</v>
      </c>
      <c r="I1881" s="47" t="s">
        <v>962</v>
      </c>
      <c r="J1881" s="47" t="s">
        <v>26</v>
      </c>
    </row>
    <row r="1882" ht="54" customHeight="1" spans="1:10">
      <c r="A1882" s="48" t="s">
        <v>563</v>
      </c>
      <c r="B1882" s="48" t="s">
        <v>3295</v>
      </c>
      <c r="C1882" s="47" t="s">
        <v>1362</v>
      </c>
      <c r="D1882" s="48" t="s">
        <v>1059</v>
      </c>
      <c r="E1882" s="48" t="s">
        <v>1060</v>
      </c>
      <c r="F1882" s="48" t="s">
        <v>1363</v>
      </c>
      <c r="G1882" s="48" t="s">
        <v>1364</v>
      </c>
      <c r="H1882" s="47" t="s">
        <v>1365</v>
      </c>
      <c r="I1882" s="47" t="s">
        <v>1366</v>
      </c>
      <c r="J1882" s="47" t="s">
        <v>26</v>
      </c>
    </row>
    <row r="1883" ht="54" customHeight="1" spans="1:10">
      <c r="A1883" s="48" t="s">
        <v>565</v>
      </c>
      <c r="B1883" s="48" t="s">
        <v>3296</v>
      </c>
      <c r="C1883" s="47" t="s">
        <v>977</v>
      </c>
      <c r="D1883" s="48" t="s">
        <v>978</v>
      </c>
      <c r="E1883" s="48" t="s">
        <v>979</v>
      </c>
      <c r="F1883" s="48" t="s">
        <v>980</v>
      </c>
      <c r="G1883" s="48" t="s">
        <v>981</v>
      </c>
      <c r="H1883" s="47" t="s">
        <v>982</v>
      </c>
      <c r="I1883" s="47" t="s">
        <v>983</v>
      </c>
      <c r="J1883" s="47" t="s">
        <v>26</v>
      </c>
    </row>
    <row r="1884" ht="54" customHeight="1" spans="1:10">
      <c r="A1884" s="48" t="s">
        <v>565</v>
      </c>
      <c r="B1884" s="48" t="s">
        <v>3297</v>
      </c>
      <c r="C1884" s="47" t="s">
        <v>1927</v>
      </c>
      <c r="D1884" s="48" t="s">
        <v>1400</v>
      </c>
      <c r="E1884" s="48" t="s">
        <v>1401</v>
      </c>
      <c r="F1884" s="48" t="s">
        <v>1928</v>
      </c>
      <c r="G1884" s="48" t="s">
        <v>1929</v>
      </c>
      <c r="H1884" s="47" t="s">
        <v>1930</v>
      </c>
      <c r="I1884" s="47" t="s">
        <v>1931</v>
      </c>
      <c r="J1884" s="47" t="s">
        <v>26</v>
      </c>
    </row>
    <row r="1885" ht="54" customHeight="1" spans="1:10">
      <c r="A1885" s="48" t="s">
        <v>567</v>
      </c>
      <c r="B1885" s="48" t="s">
        <v>3298</v>
      </c>
      <c r="C1885" s="47" t="s">
        <v>942</v>
      </c>
      <c r="D1885" s="48" t="s">
        <v>943</v>
      </c>
      <c r="E1885" s="48" t="s">
        <v>944</v>
      </c>
      <c r="F1885" s="48" t="s">
        <v>945</v>
      </c>
      <c r="G1885" s="48" t="s">
        <v>946</v>
      </c>
      <c r="H1885" s="47" t="s">
        <v>947</v>
      </c>
      <c r="I1885" s="47" t="s">
        <v>948</v>
      </c>
      <c r="J1885" s="47" t="s">
        <v>26</v>
      </c>
    </row>
    <row r="1886" ht="54" customHeight="1" spans="1:10">
      <c r="A1886" s="48" t="s">
        <v>567</v>
      </c>
      <c r="B1886" s="48" t="s">
        <v>3299</v>
      </c>
      <c r="C1886" s="47" t="s">
        <v>1205</v>
      </c>
      <c r="D1886" s="48" t="s">
        <v>978</v>
      </c>
      <c r="E1886" s="48" t="s">
        <v>979</v>
      </c>
      <c r="F1886" s="48" t="s">
        <v>1206</v>
      </c>
      <c r="G1886" s="48" t="s">
        <v>1207</v>
      </c>
      <c r="H1886" s="47" t="s">
        <v>1208</v>
      </c>
      <c r="I1886" s="47" t="s">
        <v>1209</v>
      </c>
      <c r="J1886" s="47" t="s">
        <v>26</v>
      </c>
    </row>
    <row r="1887" ht="54" customHeight="1" spans="1:10">
      <c r="A1887" s="48" t="s">
        <v>569</v>
      </c>
      <c r="B1887" s="48" t="s">
        <v>3300</v>
      </c>
      <c r="C1887" s="47" t="s">
        <v>934</v>
      </c>
      <c r="D1887" s="48" t="s">
        <v>935</v>
      </c>
      <c r="E1887" s="48" t="s">
        <v>936</v>
      </c>
      <c r="F1887" s="48" t="s">
        <v>937</v>
      </c>
      <c r="G1887" s="48" t="s">
        <v>938</v>
      </c>
      <c r="H1887" s="47" t="s">
        <v>939</v>
      </c>
      <c r="I1887" s="47" t="s">
        <v>940</v>
      </c>
      <c r="J1887" s="47" t="s">
        <v>26</v>
      </c>
    </row>
    <row r="1888" ht="54" customHeight="1" spans="1:10">
      <c r="A1888" s="48" t="s">
        <v>569</v>
      </c>
      <c r="B1888" s="48" t="s">
        <v>3301</v>
      </c>
      <c r="C1888" s="47" t="s">
        <v>992</v>
      </c>
      <c r="D1888" s="48" t="s">
        <v>993</v>
      </c>
      <c r="E1888" s="48" t="s">
        <v>994</v>
      </c>
      <c r="F1888" s="48" t="s">
        <v>995</v>
      </c>
      <c r="G1888" s="48" t="s">
        <v>996</v>
      </c>
      <c r="H1888" s="47" t="s">
        <v>997</v>
      </c>
      <c r="I1888" s="47" t="s">
        <v>998</v>
      </c>
      <c r="J1888" s="47" t="s">
        <v>26</v>
      </c>
    </row>
    <row r="1889" ht="54" customHeight="1" spans="1:10">
      <c r="A1889" s="48" t="s">
        <v>569</v>
      </c>
      <c r="B1889" s="48" t="s">
        <v>3302</v>
      </c>
      <c r="C1889" s="47" t="s">
        <v>1022</v>
      </c>
      <c r="D1889" s="48" t="s">
        <v>957</v>
      </c>
      <c r="E1889" s="48" t="s">
        <v>958</v>
      </c>
      <c r="F1889" s="48" t="s">
        <v>1023</v>
      </c>
      <c r="G1889" s="48" t="s">
        <v>1024</v>
      </c>
      <c r="H1889" s="47" t="s">
        <v>1025</v>
      </c>
      <c r="I1889" s="47" t="s">
        <v>1026</v>
      </c>
      <c r="J1889" s="47" t="s">
        <v>26</v>
      </c>
    </row>
    <row r="1890" ht="54" customHeight="1" spans="1:10">
      <c r="A1890" s="48" t="s">
        <v>569</v>
      </c>
      <c r="B1890" s="48" t="s">
        <v>3303</v>
      </c>
      <c r="C1890" s="47" t="s">
        <v>1967</v>
      </c>
      <c r="D1890" s="48" t="s">
        <v>965</v>
      </c>
      <c r="E1890" s="48" t="s">
        <v>966</v>
      </c>
      <c r="F1890" s="48" t="s">
        <v>1968</v>
      </c>
      <c r="G1890" s="48" t="s">
        <v>1969</v>
      </c>
      <c r="H1890" s="47" t="s">
        <v>1970</v>
      </c>
      <c r="I1890" s="47" t="s">
        <v>940</v>
      </c>
      <c r="J1890" s="47" t="s">
        <v>26</v>
      </c>
    </row>
    <row r="1891" ht="54" customHeight="1" spans="1:10">
      <c r="A1891" s="48" t="s">
        <v>569</v>
      </c>
      <c r="B1891" s="48" t="s">
        <v>3304</v>
      </c>
      <c r="C1891" s="47" t="s">
        <v>1125</v>
      </c>
      <c r="D1891" s="48" t="s">
        <v>1059</v>
      </c>
      <c r="E1891" s="48" t="s">
        <v>1060</v>
      </c>
      <c r="F1891" s="48" t="s">
        <v>1126</v>
      </c>
      <c r="G1891" s="48" t="s">
        <v>1127</v>
      </c>
      <c r="H1891" s="47" t="s">
        <v>1128</v>
      </c>
      <c r="I1891" s="47" t="s">
        <v>1129</v>
      </c>
      <c r="J1891" s="47" t="s">
        <v>26</v>
      </c>
    </row>
    <row r="1892" ht="54" customHeight="1" spans="1:10">
      <c r="A1892" s="48" t="s">
        <v>569</v>
      </c>
      <c r="B1892" s="48" t="s">
        <v>3305</v>
      </c>
      <c r="C1892" s="47" t="s">
        <v>971</v>
      </c>
      <c r="D1892" s="48" t="s">
        <v>965</v>
      </c>
      <c r="E1892" s="48" t="s">
        <v>966</v>
      </c>
      <c r="F1892" s="48" t="s">
        <v>972</v>
      </c>
      <c r="G1892" s="48" t="s">
        <v>973</v>
      </c>
      <c r="H1892" s="47" t="s">
        <v>974</v>
      </c>
      <c r="I1892" s="47" t="s">
        <v>975</v>
      </c>
      <c r="J1892" s="47" t="s">
        <v>26</v>
      </c>
    </row>
    <row r="1893" ht="54" customHeight="1" spans="1:10">
      <c r="A1893" s="48" t="s">
        <v>571</v>
      </c>
      <c r="B1893" s="48" t="s">
        <v>3306</v>
      </c>
      <c r="C1893" s="47" t="s">
        <v>1421</v>
      </c>
      <c r="D1893" s="48" t="s">
        <v>1422</v>
      </c>
      <c r="E1893" s="48" t="s">
        <v>1423</v>
      </c>
      <c r="F1893" s="48" t="s">
        <v>1424</v>
      </c>
      <c r="G1893" s="48" t="s">
        <v>1423</v>
      </c>
      <c r="H1893" s="47" t="s">
        <v>1425</v>
      </c>
      <c r="I1893" s="47" t="s">
        <v>1426</v>
      </c>
      <c r="J1893" s="47" t="s">
        <v>26</v>
      </c>
    </row>
    <row r="1894" ht="54" customHeight="1" spans="1:10">
      <c r="A1894" s="48" t="s">
        <v>571</v>
      </c>
      <c r="B1894" s="48" t="s">
        <v>3307</v>
      </c>
      <c r="C1894" s="47" t="s">
        <v>1375</v>
      </c>
      <c r="D1894" s="48" t="s">
        <v>1098</v>
      </c>
      <c r="E1894" s="48" t="s">
        <v>1099</v>
      </c>
      <c r="F1894" s="48" t="s">
        <v>1376</v>
      </c>
      <c r="G1894" s="48" t="s">
        <v>1377</v>
      </c>
      <c r="H1894" s="47" t="s">
        <v>1378</v>
      </c>
      <c r="I1894" s="47" t="s">
        <v>1379</v>
      </c>
      <c r="J1894" s="47" t="s">
        <v>26</v>
      </c>
    </row>
    <row r="1895" ht="54" customHeight="1" spans="1:10">
      <c r="A1895" s="48" t="s">
        <v>573</v>
      </c>
      <c r="B1895" s="48" t="s">
        <v>3308</v>
      </c>
      <c r="C1895" s="47" t="s">
        <v>1516</v>
      </c>
      <c r="D1895" s="48" t="s">
        <v>1073</v>
      </c>
      <c r="E1895" s="48" t="s">
        <v>1074</v>
      </c>
      <c r="F1895" s="48" t="s">
        <v>1517</v>
      </c>
      <c r="G1895" s="48" t="s">
        <v>1518</v>
      </c>
      <c r="H1895" s="47" t="s">
        <v>1519</v>
      </c>
      <c r="I1895" s="47" t="s">
        <v>1520</v>
      </c>
      <c r="J1895" s="47" t="s">
        <v>26</v>
      </c>
    </row>
    <row r="1896" ht="54" customHeight="1" spans="1:10">
      <c r="A1896" s="48" t="s">
        <v>573</v>
      </c>
      <c r="B1896" s="48" t="s">
        <v>3309</v>
      </c>
      <c r="C1896" s="47" t="s">
        <v>934</v>
      </c>
      <c r="D1896" s="48" t="s">
        <v>935</v>
      </c>
      <c r="E1896" s="48" t="s">
        <v>936</v>
      </c>
      <c r="F1896" s="48" t="s">
        <v>937</v>
      </c>
      <c r="G1896" s="48" t="s">
        <v>938</v>
      </c>
      <c r="H1896" s="47" t="s">
        <v>939</v>
      </c>
      <c r="I1896" s="47" t="s">
        <v>940</v>
      </c>
      <c r="J1896" s="47" t="s">
        <v>26</v>
      </c>
    </row>
    <row r="1897" ht="54" customHeight="1" spans="1:10">
      <c r="A1897" s="48" t="s">
        <v>573</v>
      </c>
      <c r="B1897" s="48" t="s">
        <v>3310</v>
      </c>
      <c r="C1897" s="47" t="s">
        <v>1072</v>
      </c>
      <c r="D1897" s="48" t="s">
        <v>1073</v>
      </c>
      <c r="E1897" s="48" t="s">
        <v>1074</v>
      </c>
      <c r="F1897" s="48" t="s">
        <v>1075</v>
      </c>
      <c r="G1897" s="48" t="s">
        <v>1076</v>
      </c>
      <c r="H1897" s="47" t="s">
        <v>1077</v>
      </c>
      <c r="I1897" s="47" t="s">
        <v>1078</v>
      </c>
      <c r="J1897" s="47" t="s">
        <v>26</v>
      </c>
    </row>
    <row r="1898" ht="54" customHeight="1" spans="1:10">
      <c r="A1898" s="48" t="s">
        <v>573</v>
      </c>
      <c r="B1898" s="48" t="s">
        <v>3311</v>
      </c>
      <c r="C1898" s="47" t="s">
        <v>950</v>
      </c>
      <c r="D1898" s="48" t="s">
        <v>935</v>
      </c>
      <c r="E1898" s="48" t="s">
        <v>936</v>
      </c>
      <c r="F1898" s="48" t="s">
        <v>951</v>
      </c>
      <c r="G1898" s="48" t="s">
        <v>952</v>
      </c>
      <c r="H1898" s="47" t="s">
        <v>953</v>
      </c>
      <c r="I1898" s="47" t="s">
        <v>954</v>
      </c>
      <c r="J1898" s="47" t="s">
        <v>26</v>
      </c>
    </row>
    <row r="1899" ht="54" customHeight="1" spans="1:10">
      <c r="A1899" s="48" t="s">
        <v>573</v>
      </c>
      <c r="B1899" s="48" t="s">
        <v>3312</v>
      </c>
      <c r="C1899" s="47" t="s">
        <v>1097</v>
      </c>
      <c r="D1899" s="48" t="s">
        <v>1098</v>
      </c>
      <c r="E1899" s="48" t="s">
        <v>1099</v>
      </c>
      <c r="F1899" s="48" t="s">
        <v>1100</v>
      </c>
      <c r="G1899" s="48" t="s">
        <v>1101</v>
      </c>
      <c r="H1899" s="47" t="s">
        <v>1102</v>
      </c>
      <c r="I1899" s="47" t="s">
        <v>1103</v>
      </c>
      <c r="J1899" s="47" t="s">
        <v>26</v>
      </c>
    </row>
    <row r="1900" ht="54" customHeight="1" spans="1:10">
      <c r="A1900" s="48" t="s">
        <v>573</v>
      </c>
      <c r="B1900" s="48" t="s">
        <v>3313</v>
      </c>
      <c r="C1900" s="47" t="s">
        <v>1066</v>
      </c>
      <c r="D1900" s="48" t="s">
        <v>935</v>
      </c>
      <c r="E1900" s="48" t="s">
        <v>936</v>
      </c>
      <c r="F1900" s="48" t="s">
        <v>1067</v>
      </c>
      <c r="G1900" s="48" t="s">
        <v>1068</v>
      </c>
      <c r="H1900" s="47" t="s">
        <v>1069</v>
      </c>
      <c r="I1900" s="47" t="s">
        <v>940</v>
      </c>
      <c r="J1900" s="47" t="s">
        <v>26</v>
      </c>
    </row>
    <row r="1901" ht="54" customHeight="1" spans="1:10">
      <c r="A1901" s="48" t="s">
        <v>573</v>
      </c>
      <c r="B1901" s="48" t="s">
        <v>3314</v>
      </c>
      <c r="C1901" s="47" t="s">
        <v>1291</v>
      </c>
      <c r="D1901" s="48" t="s">
        <v>965</v>
      </c>
      <c r="E1901" s="48" t="s">
        <v>966</v>
      </c>
      <c r="F1901" s="48" t="s">
        <v>1292</v>
      </c>
      <c r="G1901" s="48" t="s">
        <v>1293</v>
      </c>
      <c r="H1901" s="47" t="s">
        <v>1294</v>
      </c>
      <c r="I1901" s="47" t="s">
        <v>1295</v>
      </c>
      <c r="J1901" s="47" t="s">
        <v>26</v>
      </c>
    </row>
    <row r="1902" ht="54" customHeight="1" spans="1:10">
      <c r="A1902" s="48" t="s">
        <v>573</v>
      </c>
      <c r="B1902" s="48" t="s">
        <v>3315</v>
      </c>
      <c r="C1902" s="47" t="s">
        <v>1216</v>
      </c>
      <c r="D1902" s="48" t="s">
        <v>993</v>
      </c>
      <c r="E1902" s="48" t="s">
        <v>994</v>
      </c>
      <c r="F1902" s="48" t="s">
        <v>1217</v>
      </c>
      <c r="G1902" s="48" t="s">
        <v>1218</v>
      </c>
      <c r="H1902" s="47" t="s">
        <v>1219</v>
      </c>
      <c r="I1902" s="47" t="s">
        <v>1220</v>
      </c>
      <c r="J1902" s="47" t="s">
        <v>26</v>
      </c>
    </row>
    <row r="1903" ht="54" customHeight="1" spans="1:10">
      <c r="A1903" s="48" t="s">
        <v>575</v>
      </c>
      <c r="B1903" s="48" t="s">
        <v>3316</v>
      </c>
      <c r="C1903" s="47" t="s">
        <v>1022</v>
      </c>
      <c r="D1903" s="48" t="s">
        <v>957</v>
      </c>
      <c r="E1903" s="48" t="s">
        <v>958</v>
      </c>
      <c r="F1903" s="48" t="s">
        <v>1023</v>
      </c>
      <c r="G1903" s="48" t="s">
        <v>1024</v>
      </c>
      <c r="H1903" s="47" t="s">
        <v>1025</v>
      </c>
      <c r="I1903" s="47" t="s">
        <v>1026</v>
      </c>
      <c r="J1903" s="47" t="s">
        <v>26</v>
      </c>
    </row>
    <row r="1904" ht="54" customHeight="1" spans="1:10">
      <c r="A1904" s="48" t="s">
        <v>575</v>
      </c>
      <c r="B1904" s="48" t="s">
        <v>3317</v>
      </c>
      <c r="C1904" s="47" t="s">
        <v>1388</v>
      </c>
      <c r="D1904" s="48" t="s">
        <v>1037</v>
      </c>
      <c r="E1904" s="48" t="s">
        <v>1038</v>
      </c>
      <c r="F1904" s="48" t="s">
        <v>1389</v>
      </c>
      <c r="G1904" s="48" t="s">
        <v>1390</v>
      </c>
      <c r="H1904" s="47" t="s">
        <v>1391</v>
      </c>
      <c r="I1904" s="47" t="s">
        <v>1392</v>
      </c>
      <c r="J1904" s="47" t="s">
        <v>26</v>
      </c>
    </row>
    <row r="1905" ht="54" customHeight="1" spans="1:10">
      <c r="A1905" s="48" t="s">
        <v>575</v>
      </c>
      <c r="B1905" s="48" t="s">
        <v>3318</v>
      </c>
      <c r="C1905" s="47" t="s">
        <v>1117</v>
      </c>
      <c r="D1905" s="48" t="s">
        <v>1118</v>
      </c>
      <c r="E1905" s="48" t="s">
        <v>1119</v>
      </c>
      <c r="F1905" s="48" t="s">
        <v>1120</v>
      </c>
      <c r="G1905" s="48" t="s">
        <v>1121</v>
      </c>
      <c r="H1905" s="47" t="s">
        <v>1122</v>
      </c>
      <c r="I1905" s="47" t="s">
        <v>1123</v>
      </c>
      <c r="J1905" s="47" t="s">
        <v>26</v>
      </c>
    </row>
    <row r="1906" ht="54" customHeight="1" spans="1:10">
      <c r="A1906" s="48" t="s">
        <v>575</v>
      </c>
      <c r="B1906" s="48" t="s">
        <v>3319</v>
      </c>
      <c r="C1906" s="47" t="s">
        <v>1137</v>
      </c>
      <c r="D1906" s="48" t="s">
        <v>1138</v>
      </c>
      <c r="E1906" s="48" t="s">
        <v>1139</v>
      </c>
      <c r="F1906" s="48" t="s">
        <v>1140</v>
      </c>
      <c r="G1906" s="48" t="s">
        <v>1141</v>
      </c>
      <c r="H1906" s="47" t="s">
        <v>1142</v>
      </c>
      <c r="I1906" s="47" t="s">
        <v>940</v>
      </c>
      <c r="J1906" s="47" t="s">
        <v>26</v>
      </c>
    </row>
    <row r="1907" ht="54" customHeight="1" spans="1:10">
      <c r="A1907" s="48" t="s">
        <v>575</v>
      </c>
      <c r="B1907" s="48" t="s">
        <v>3320</v>
      </c>
      <c r="C1907" s="47" t="s">
        <v>971</v>
      </c>
      <c r="D1907" s="48" t="s">
        <v>965</v>
      </c>
      <c r="E1907" s="48" t="s">
        <v>966</v>
      </c>
      <c r="F1907" s="48" t="s">
        <v>972</v>
      </c>
      <c r="G1907" s="48" t="s">
        <v>973</v>
      </c>
      <c r="H1907" s="47" t="s">
        <v>974</v>
      </c>
      <c r="I1907" s="47" t="s">
        <v>975</v>
      </c>
      <c r="J1907" s="47" t="s">
        <v>26</v>
      </c>
    </row>
    <row r="1908" ht="54" customHeight="1" spans="1:10">
      <c r="A1908" s="48" t="s">
        <v>575</v>
      </c>
      <c r="B1908" s="48" t="s">
        <v>3321</v>
      </c>
      <c r="C1908" s="47" t="s">
        <v>1313</v>
      </c>
      <c r="D1908" s="48" t="s">
        <v>1037</v>
      </c>
      <c r="E1908" s="48" t="s">
        <v>1038</v>
      </c>
      <c r="F1908" s="48" t="s">
        <v>1314</v>
      </c>
      <c r="G1908" s="48" t="s">
        <v>1315</v>
      </c>
      <c r="H1908" s="47" t="s">
        <v>1316</v>
      </c>
      <c r="I1908" s="47" t="s">
        <v>1317</v>
      </c>
      <c r="J1908" s="47" t="s">
        <v>26</v>
      </c>
    </row>
    <row r="1909" ht="54" customHeight="1" spans="1:10">
      <c r="A1909" s="48" t="s">
        <v>575</v>
      </c>
      <c r="B1909" s="48" t="s">
        <v>3322</v>
      </c>
      <c r="C1909" s="47" t="s">
        <v>1356</v>
      </c>
      <c r="D1909" s="48" t="s">
        <v>1082</v>
      </c>
      <c r="E1909" s="48" t="s">
        <v>1083</v>
      </c>
      <c r="F1909" s="48" t="s">
        <v>1357</v>
      </c>
      <c r="G1909" s="48" t="s">
        <v>1358</v>
      </c>
      <c r="H1909" s="47" t="s">
        <v>1359</v>
      </c>
      <c r="I1909" s="47" t="s">
        <v>1360</v>
      </c>
      <c r="J1909" s="47" t="s">
        <v>26</v>
      </c>
    </row>
    <row r="1910" ht="54" customHeight="1" spans="1:10">
      <c r="A1910" s="48" t="s">
        <v>575</v>
      </c>
      <c r="B1910" s="48" t="s">
        <v>3323</v>
      </c>
      <c r="C1910" s="47" t="s">
        <v>1145</v>
      </c>
      <c r="D1910" s="48" t="s">
        <v>1146</v>
      </c>
      <c r="E1910" s="48" t="s">
        <v>1147</v>
      </c>
      <c r="F1910" s="48" t="s">
        <v>1148</v>
      </c>
      <c r="G1910" s="48" t="s">
        <v>1149</v>
      </c>
      <c r="H1910" s="47" t="s">
        <v>1150</v>
      </c>
      <c r="I1910" s="47" t="s">
        <v>1151</v>
      </c>
      <c r="J1910" s="47" t="s">
        <v>26</v>
      </c>
    </row>
    <row r="1911" ht="54" customHeight="1" spans="1:10">
      <c r="A1911" s="48" t="s">
        <v>575</v>
      </c>
      <c r="B1911" s="48" t="s">
        <v>3324</v>
      </c>
      <c r="C1911" s="47" t="s">
        <v>1441</v>
      </c>
      <c r="D1911" s="48" t="s">
        <v>1306</v>
      </c>
      <c r="E1911" s="48" t="s">
        <v>1307</v>
      </c>
      <c r="F1911" s="48" t="s">
        <v>1442</v>
      </c>
      <c r="G1911" s="48" t="s">
        <v>1443</v>
      </c>
      <c r="H1911" s="47" t="s">
        <v>1444</v>
      </c>
      <c r="I1911" s="47" t="s">
        <v>1445</v>
      </c>
      <c r="J1911" s="47" t="s">
        <v>26</v>
      </c>
    </row>
    <row r="1912" ht="54" customHeight="1" spans="1:10">
      <c r="A1912" s="48" t="s">
        <v>575</v>
      </c>
      <c r="B1912" s="48" t="s">
        <v>3325</v>
      </c>
      <c r="C1912" s="47" t="s">
        <v>1245</v>
      </c>
      <c r="D1912" s="48" t="s">
        <v>1171</v>
      </c>
      <c r="E1912" s="48" t="s">
        <v>1172</v>
      </c>
      <c r="F1912" s="48" t="s">
        <v>1246</v>
      </c>
      <c r="G1912" s="48" t="s">
        <v>1247</v>
      </c>
      <c r="H1912" s="47" t="s">
        <v>1248</v>
      </c>
      <c r="I1912" s="47" t="s">
        <v>1176</v>
      </c>
      <c r="J1912" s="47" t="s">
        <v>26</v>
      </c>
    </row>
    <row r="1913" ht="54" customHeight="1" spans="1:10">
      <c r="A1913" s="48" t="s">
        <v>577</v>
      </c>
      <c r="B1913" s="48" t="s">
        <v>3326</v>
      </c>
      <c r="C1913" s="47" t="s">
        <v>1008</v>
      </c>
      <c r="D1913" s="48" t="s">
        <v>1009</v>
      </c>
      <c r="E1913" s="48" t="s">
        <v>1010</v>
      </c>
      <c r="F1913" s="48" t="s">
        <v>1011</v>
      </c>
      <c r="G1913" s="48" t="s">
        <v>1012</v>
      </c>
      <c r="H1913" s="47" t="s">
        <v>1013</v>
      </c>
      <c r="I1913" s="47" t="s">
        <v>1014</v>
      </c>
      <c r="J1913" s="47" t="s">
        <v>26</v>
      </c>
    </row>
    <row r="1914" ht="54" customHeight="1" spans="1:10">
      <c r="A1914" s="48" t="s">
        <v>577</v>
      </c>
      <c r="B1914" s="48" t="s">
        <v>3327</v>
      </c>
      <c r="C1914" s="47" t="s">
        <v>1459</v>
      </c>
      <c r="D1914" s="48" t="s">
        <v>957</v>
      </c>
      <c r="E1914" s="48" t="s">
        <v>958</v>
      </c>
      <c r="F1914" s="48" t="s">
        <v>1460</v>
      </c>
      <c r="G1914" s="48" t="s">
        <v>1461</v>
      </c>
      <c r="H1914" s="47" t="s">
        <v>1462</v>
      </c>
      <c r="I1914" s="47" t="s">
        <v>1463</v>
      </c>
      <c r="J1914" s="47" t="s">
        <v>26</v>
      </c>
    </row>
    <row r="1915" ht="54" customHeight="1" spans="1:10">
      <c r="A1915" s="48" t="s">
        <v>577</v>
      </c>
      <c r="B1915" s="48" t="s">
        <v>3328</v>
      </c>
      <c r="C1915" s="47" t="s">
        <v>956</v>
      </c>
      <c r="D1915" s="48" t="s">
        <v>957</v>
      </c>
      <c r="E1915" s="48" t="s">
        <v>958</v>
      </c>
      <c r="F1915" s="48" t="s">
        <v>959</v>
      </c>
      <c r="G1915" s="48" t="s">
        <v>960</v>
      </c>
      <c r="H1915" s="47" t="s">
        <v>961</v>
      </c>
      <c r="I1915" s="47" t="s">
        <v>962</v>
      </c>
      <c r="J1915" s="47" t="s">
        <v>26</v>
      </c>
    </row>
    <row r="1916" ht="54" customHeight="1" spans="1:10">
      <c r="A1916" s="48" t="s">
        <v>577</v>
      </c>
      <c r="B1916" s="48" t="s">
        <v>3329</v>
      </c>
      <c r="C1916" s="47" t="s">
        <v>1052</v>
      </c>
      <c r="D1916" s="48" t="s">
        <v>1009</v>
      </c>
      <c r="E1916" s="48" t="s">
        <v>1010</v>
      </c>
      <c r="F1916" s="48" t="s">
        <v>1053</v>
      </c>
      <c r="G1916" s="48" t="s">
        <v>1054</v>
      </c>
      <c r="H1916" s="47" t="s">
        <v>1055</v>
      </c>
      <c r="I1916" s="47" t="s">
        <v>1056</v>
      </c>
      <c r="J1916" s="47" t="s">
        <v>26</v>
      </c>
    </row>
    <row r="1917" ht="54" customHeight="1" spans="1:10">
      <c r="A1917" s="48" t="s">
        <v>579</v>
      </c>
      <c r="B1917" s="48" t="s">
        <v>3330</v>
      </c>
      <c r="C1917" s="47" t="s">
        <v>934</v>
      </c>
      <c r="D1917" s="48" t="s">
        <v>935</v>
      </c>
      <c r="E1917" s="48" t="s">
        <v>936</v>
      </c>
      <c r="F1917" s="48" t="s">
        <v>937</v>
      </c>
      <c r="G1917" s="48" t="s">
        <v>938</v>
      </c>
      <c r="H1917" s="47" t="s">
        <v>939</v>
      </c>
      <c r="I1917" s="47" t="s">
        <v>940</v>
      </c>
      <c r="J1917" s="47" t="s">
        <v>26</v>
      </c>
    </row>
    <row r="1918" ht="54" customHeight="1" spans="1:10">
      <c r="A1918" s="48" t="s">
        <v>579</v>
      </c>
      <c r="B1918" s="48" t="s">
        <v>3331</v>
      </c>
      <c r="C1918" s="47" t="s">
        <v>1022</v>
      </c>
      <c r="D1918" s="48" t="s">
        <v>957</v>
      </c>
      <c r="E1918" s="48" t="s">
        <v>958</v>
      </c>
      <c r="F1918" s="48" t="s">
        <v>1023</v>
      </c>
      <c r="G1918" s="48" t="s">
        <v>1024</v>
      </c>
      <c r="H1918" s="47" t="s">
        <v>1025</v>
      </c>
      <c r="I1918" s="47" t="s">
        <v>1026</v>
      </c>
      <c r="J1918" s="47" t="s">
        <v>26</v>
      </c>
    </row>
    <row r="1919" ht="54" customHeight="1" spans="1:10">
      <c r="A1919" s="48" t="s">
        <v>579</v>
      </c>
      <c r="B1919" s="48" t="s">
        <v>3332</v>
      </c>
      <c r="C1919" s="47" t="s">
        <v>1089</v>
      </c>
      <c r="D1919" s="48" t="s">
        <v>957</v>
      </c>
      <c r="E1919" s="48" t="s">
        <v>958</v>
      </c>
      <c r="F1919" s="48" t="s">
        <v>1090</v>
      </c>
      <c r="G1919" s="48" t="s">
        <v>1091</v>
      </c>
      <c r="H1919" s="47" t="s">
        <v>1092</v>
      </c>
      <c r="I1919" s="47" t="s">
        <v>1093</v>
      </c>
      <c r="J1919" s="47" t="s">
        <v>26</v>
      </c>
    </row>
    <row r="1920" ht="54" customHeight="1" spans="1:10">
      <c r="A1920" s="48" t="s">
        <v>579</v>
      </c>
      <c r="B1920" s="48" t="s">
        <v>3333</v>
      </c>
      <c r="C1920" s="47" t="s">
        <v>1052</v>
      </c>
      <c r="D1920" s="48" t="s">
        <v>1009</v>
      </c>
      <c r="E1920" s="48" t="s">
        <v>1010</v>
      </c>
      <c r="F1920" s="48" t="s">
        <v>1053</v>
      </c>
      <c r="G1920" s="48" t="s">
        <v>1054</v>
      </c>
      <c r="H1920" s="47" t="s">
        <v>1055</v>
      </c>
      <c r="I1920" s="47" t="s">
        <v>1056</v>
      </c>
      <c r="J1920" s="47" t="s">
        <v>26</v>
      </c>
    </row>
    <row r="1921" ht="54" customHeight="1" spans="1:10">
      <c r="A1921" s="48" t="s">
        <v>579</v>
      </c>
      <c r="B1921" s="48" t="s">
        <v>3334</v>
      </c>
      <c r="C1921" s="47" t="s">
        <v>1348</v>
      </c>
      <c r="D1921" s="48" t="s">
        <v>1082</v>
      </c>
      <c r="E1921" s="48" t="s">
        <v>1083</v>
      </c>
      <c r="F1921" s="48" t="s">
        <v>1349</v>
      </c>
      <c r="G1921" s="48" t="s">
        <v>1350</v>
      </c>
      <c r="H1921" s="47" t="s">
        <v>1351</v>
      </c>
      <c r="I1921" s="47" t="s">
        <v>1352</v>
      </c>
      <c r="J1921" s="47" t="s">
        <v>26</v>
      </c>
    </row>
    <row r="1922" ht="54" customHeight="1" spans="1:10">
      <c r="A1922" s="48" t="s">
        <v>579</v>
      </c>
      <c r="B1922" s="48" t="s">
        <v>3335</v>
      </c>
      <c r="C1922" s="47" t="s">
        <v>1097</v>
      </c>
      <c r="D1922" s="48" t="s">
        <v>1098</v>
      </c>
      <c r="E1922" s="48" t="s">
        <v>1099</v>
      </c>
      <c r="F1922" s="48" t="s">
        <v>1100</v>
      </c>
      <c r="G1922" s="48" t="s">
        <v>1101</v>
      </c>
      <c r="H1922" s="47" t="s">
        <v>1102</v>
      </c>
      <c r="I1922" s="47" t="s">
        <v>1103</v>
      </c>
      <c r="J1922" s="47" t="s">
        <v>26</v>
      </c>
    </row>
    <row r="1923" ht="54" customHeight="1" spans="1:10">
      <c r="A1923" s="48" t="s">
        <v>581</v>
      </c>
      <c r="B1923" s="48" t="s">
        <v>3336</v>
      </c>
      <c r="C1923" s="47" t="s">
        <v>1022</v>
      </c>
      <c r="D1923" s="48" t="s">
        <v>957</v>
      </c>
      <c r="E1923" s="48" t="s">
        <v>958</v>
      </c>
      <c r="F1923" s="48" t="s">
        <v>1023</v>
      </c>
      <c r="G1923" s="48" t="s">
        <v>1024</v>
      </c>
      <c r="H1923" s="47" t="s">
        <v>1025</v>
      </c>
      <c r="I1923" s="47" t="s">
        <v>1026</v>
      </c>
      <c r="J1923" s="47" t="s">
        <v>26</v>
      </c>
    </row>
    <row r="1924" ht="54" customHeight="1" spans="1:10">
      <c r="A1924" s="48" t="s">
        <v>581</v>
      </c>
      <c r="B1924" s="48" t="s">
        <v>3337</v>
      </c>
      <c r="C1924" s="47" t="s">
        <v>1362</v>
      </c>
      <c r="D1924" s="48" t="s">
        <v>1059</v>
      </c>
      <c r="E1924" s="48" t="s">
        <v>1060</v>
      </c>
      <c r="F1924" s="48" t="s">
        <v>1363</v>
      </c>
      <c r="G1924" s="48" t="s">
        <v>1364</v>
      </c>
      <c r="H1924" s="47" t="s">
        <v>1365</v>
      </c>
      <c r="I1924" s="47" t="s">
        <v>1366</v>
      </c>
      <c r="J1924" s="47" t="s">
        <v>26</v>
      </c>
    </row>
    <row r="1925" ht="54" customHeight="1" spans="1:10">
      <c r="A1925" s="48" t="s">
        <v>581</v>
      </c>
      <c r="B1925" s="48" t="s">
        <v>3338</v>
      </c>
      <c r="C1925" s="47" t="s">
        <v>977</v>
      </c>
      <c r="D1925" s="48" t="s">
        <v>978</v>
      </c>
      <c r="E1925" s="48" t="s">
        <v>979</v>
      </c>
      <c r="F1925" s="48" t="s">
        <v>980</v>
      </c>
      <c r="G1925" s="48" t="s">
        <v>981</v>
      </c>
      <c r="H1925" s="47" t="s">
        <v>982</v>
      </c>
      <c r="I1925" s="47" t="s">
        <v>983</v>
      </c>
      <c r="J1925" s="47" t="s">
        <v>26</v>
      </c>
    </row>
    <row r="1926" ht="54" customHeight="1" spans="1:10">
      <c r="A1926" s="48" t="s">
        <v>583</v>
      </c>
      <c r="B1926" s="48" t="s">
        <v>3339</v>
      </c>
      <c r="C1926" s="47" t="s">
        <v>1421</v>
      </c>
      <c r="D1926" s="48" t="s">
        <v>1422</v>
      </c>
      <c r="E1926" s="48" t="s">
        <v>1423</v>
      </c>
      <c r="F1926" s="48" t="s">
        <v>1424</v>
      </c>
      <c r="G1926" s="48" t="s">
        <v>1423</v>
      </c>
      <c r="H1926" s="47" t="s">
        <v>1425</v>
      </c>
      <c r="I1926" s="47" t="s">
        <v>1426</v>
      </c>
      <c r="J1926" s="47" t="s">
        <v>26</v>
      </c>
    </row>
    <row r="1927" ht="54" customHeight="1" spans="1:10">
      <c r="A1927" s="48" t="s">
        <v>583</v>
      </c>
      <c r="B1927" s="48" t="s">
        <v>3340</v>
      </c>
      <c r="C1927" s="47" t="s">
        <v>1097</v>
      </c>
      <c r="D1927" s="48" t="s">
        <v>1098</v>
      </c>
      <c r="E1927" s="48" t="s">
        <v>1099</v>
      </c>
      <c r="F1927" s="48" t="s">
        <v>1100</v>
      </c>
      <c r="G1927" s="48" t="s">
        <v>1101</v>
      </c>
      <c r="H1927" s="47" t="s">
        <v>1102</v>
      </c>
      <c r="I1927" s="47" t="s">
        <v>1103</v>
      </c>
      <c r="J1927" s="47" t="s">
        <v>26</v>
      </c>
    </row>
    <row r="1928" ht="54" customHeight="1" spans="1:10">
      <c r="A1928" s="48" t="s">
        <v>583</v>
      </c>
      <c r="B1928" s="48" t="s">
        <v>3341</v>
      </c>
      <c r="C1928" s="47" t="s">
        <v>1291</v>
      </c>
      <c r="D1928" s="48" t="s">
        <v>965</v>
      </c>
      <c r="E1928" s="48" t="s">
        <v>966</v>
      </c>
      <c r="F1928" s="48" t="s">
        <v>1292</v>
      </c>
      <c r="G1928" s="48" t="s">
        <v>1293</v>
      </c>
      <c r="H1928" s="47" t="s">
        <v>1294</v>
      </c>
      <c r="I1928" s="47" t="s">
        <v>1295</v>
      </c>
      <c r="J1928" s="47" t="s">
        <v>26</v>
      </c>
    </row>
    <row r="1929" ht="54" customHeight="1" spans="1:10">
      <c r="A1929" s="48" t="s">
        <v>583</v>
      </c>
      <c r="B1929" s="48" t="s">
        <v>3342</v>
      </c>
      <c r="C1929" s="47" t="s">
        <v>1145</v>
      </c>
      <c r="D1929" s="48" t="s">
        <v>1146</v>
      </c>
      <c r="E1929" s="48" t="s">
        <v>1147</v>
      </c>
      <c r="F1929" s="48" t="s">
        <v>1148</v>
      </c>
      <c r="G1929" s="48" t="s">
        <v>1149</v>
      </c>
      <c r="H1929" s="47" t="s">
        <v>1150</v>
      </c>
      <c r="I1929" s="47" t="s">
        <v>1151</v>
      </c>
      <c r="J1929" s="47" t="s">
        <v>26</v>
      </c>
    </row>
    <row r="1930" ht="54" customHeight="1" spans="1:10">
      <c r="A1930" s="48" t="s">
        <v>583</v>
      </c>
      <c r="B1930" s="48" t="s">
        <v>3343</v>
      </c>
      <c r="C1930" s="47" t="s">
        <v>1245</v>
      </c>
      <c r="D1930" s="48" t="s">
        <v>1171</v>
      </c>
      <c r="E1930" s="48" t="s">
        <v>1172</v>
      </c>
      <c r="F1930" s="48" t="s">
        <v>1246</v>
      </c>
      <c r="G1930" s="48" t="s">
        <v>1247</v>
      </c>
      <c r="H1930" s="47" t="s">
        <v>1248</v>
      </c>
      <c r="I1930" s="47" t="s">
        <v>1176</v>
      </c>
      <c r="J1930" s="47" t="s">
        <v>26</v>
      </c>
    </row>
    <row r="1931" ht="54" customHeight="1" spans="1:10">
      <c r="A1931" s="48" t="s">
        <v>583</v>
      </c>
      <c r="B1931" s="48" t="s">
        <v>3344</v>
      </c>
      <c r="C1931" s="47" t="s">
        <v>1196</v>
      </c>
      <c r="D1931" s="48" t="s">
        <v>1118</v>
      </c>
      <c r="E1931" s="48" t="s">
        <v>1119</v>
      </c>
      <c r="F1931" s="48" t="s">
        <v>1197</v>
      </c>
      <c r="G1931" s="48" t="s">
        <v>1198</v>
      </c>
      <c r="H1931" s="47" t="s">
        <v>1199</v>
      </c>
      <c r="I1931" s="47" t="s">
        <v>1200</v>
      </c>
      <c r="J1931" s="47" t="s">
        <v>26</v>
      </c>
    </row>
    <row r="1932" ht="54" customHeight="1" spans="1:10">
      <c r="A1932" s="48" t="s">
        <v>585</v>
      </c>
      <c r="B1932" s="48" t="s">
        <v>3345</v>
      </c>
      <c r="C1932" s="47" t="s">
        <v>934</v>
      </c>
      <c r="D1932" s="48" t="s">
        <v>935</v>
      </c>
      <c r="E1932" s="48" t="s">
        <v>936</v>
      </c>
      <c r="F1932" s="48" t="s">
        <v>937</v>
      </c>
      <c r="G1932" s="48" t="s">
        <v>938</v>
      </c>
      <c r="H1932" s="47" t="s">
        <v>939</v>
      </c>
      <c r="I1932" s="47" t="s">
        <v>940</v>
      </c>
      <c r="J1932" s="47" t="s">
        <v>26</v>
      </c>
    </row>
    <row r="1933" ht="54" customHeight="1" spans="1:10">
      <c r="A1933" s="48" t="s">
        <v>585</v>
      </c>
      <c r="B1933" s="48" t="s">
        <v>3346</v>
      </c>
      <c r="C1933" s="47" t="s">
        <v>1008</v>
      </c>
      <c r="D1933" s="48" t="s">
        <v>1009</v>
      </c>
      <c r="E1933" s="48" t="s">
        <v>1010</v>
      </c>
      <c r="F1933" s="48" t="s">
        <v>1011</v>
      </c>
      <c r="G1933" s="48" t="s">
        <v>1012</v>
      </c>
      <c r="H1933" s="47" t="s">
        <v>1013</v>
      </c>
      <c r="I1933" s="47" t="s">
        <v>1014</v>
      </c>
      <c r="J1933" s="47" t="s">
        <v>26</v>
      </c>
    </row>
    <row r="1934" ht="54" customHeight="1" spans="1:10">
      <c r="A1934" s="48" t="s">
        <v>585</v>
      </c>
      <c r="B1934" s="48" t="s">
        <v>3347</v>
      </c>
      <c r="C1934" s="47" t="s">
        <v>1036</v>
      </c>
      <c r="D1934" s="48" t="s">
        <v>1037</v>
      </c>
      <c r="E1934" s="48" t="s">
        <v>1038</v>
      </c>
      <c r="F1934" s="48" t="s">
        <v>1039</v>
      </c>
      <c r="G1934" s="48" t="s">
        <v>1040</v>
      </c>
      <c r="H1934" s="47" t="s">
        <v>1041</v>
      </c>
      <c r="I1934" s="47" t="s">
        <v>1042</v>
      </c>
      <c r="J1934" s="47" t="s">
        <v>26</v>
      </c>
    </row>
    <row r="1935" ht="54" customHeight="1" spans="1:10">
      <c r="A1935" s="48" t="s">
        <v>585</v>
      </c>
      <c r="B1935" s="48" t="s">
        <v>3348</v>
      </c>
      <c r="C1935" s="47" t="s">
        <v>1589</v>
      </c>
      <c r="D1935" s="48" t="s">
        <v>943</v>
      </c>
      <c r="E1935" s="48" t="s">
        <v>944</v>
      </c>
      <c r="F1935" s="48" t="s">
        <v>1590</v>
      </c>
      <c r="G1935" s="48" t="s">
        <v>1591</v>
      </c>
      <c r="H1935" s="47" t="s">
        <v>1592</v>
      </c>
      <c r="I1935" s="47" t="s">
        <v>1593</v>
      </c>
      <c r="J1935" s="47" t="s">
        <v>26</v>
      </c>
    </row>
    <row r="1936" ht="54" customHeight="1" spans="1:10">
      <c r="A1936" s="48" t="s">
        <v>585</v>
      </c>
      <c r="B1936" s="48" t="s">
        <v>3349</v>
      </c>
      <c r="C1936" s="47" t="s">
        <v>1052</v>
      </c>
      <c r="D1936" s="48" t="s">
        <v>1009</v>
      </c>
      <c r="E1936" s="48" t="s">
        <v>1010</v>
      </c>
      <c r="F1936" s="48" t="s">
        <v>1053</v>
      </c>
      <c r="G1936" s="48" t="s">
        <v>1054</v>
      </c>
      <c r="H1936" s="47" t="s">
        <v>1055</v>
      </c>
      <c r="I1936" s="47" t="s">
        <v>1056</v>
      </c>
      <c r="J1936" s="47" t="s">
        <v>26</v>
      </c>
    </row>
    <row r="1937" ht="54" customHeight="1" spans="1:10">
      <c r="A1937" s="48" t="s">
        <v>585</v>
      </c>
      <c r="B1937" s="48" t="s">
        <v>3350</v>
      </c>
      <c r="C1937" s="47" t="s">
        <v>1097</v>
      </c>
      <c r="D1937" s="48" t="s">
        <v>1098</v>
      </c>
      <c r="E1937" s="48" t="s">
        <v>1099</v>
      </c>
      <c r="F1937" s="48" t="s">
        <v>1100</v>
      </c>
      <c r="G1937" s="48" t="s">
        <v>1101</v>
      </c>
      <c r="H1937" s="47" t="s">
        <v>1102</v>
      </c>
      <c r="I1937" s="47" t="s">
        <v>1103</v>
      </c>
      <c r="J1937" s="47" t="s">
        <v>26</v>
      </c>
    </row>
    <row r="1938" ht="54" customHeight="1" spans="1:10">
      <c r="A1938" s="48" t="s">
        <v>587</v>
      </c>
      <c r="B1938" s="48" t="s">
        <v>3351</v>
      </c>
      <c r="C1938" s="47" t="s">
        <v>934</v>
      </c>
      <c r="D1938" s="48" t="s">
        <v>935</v>
      </c>
      <c r="E1938" s="48" t="s">
        <v>936</v>
      </c>
      <c r="F1938" s="48" t="s">
        <v>937</v>
      </c>
      <c r="G1938" s="48" t="s">
        <v>938</v>
      </c>
      <c r="H1938" s="47" t="s">
        <v>939</v>
      </c>
      <c r="I1938" s="47" t="s">
        <v>940</v>
      </c>
      <c r="J1938" s="47" t="s">
        <v>26</v>
      </c>
    </row>
    <row r="1939" ht="54" customHeight="1" spans="1:10">
      <c r="A1939" s="48" t="s">
        <v>587</v>
      </c>
      <c r="B1939" s="48" t="s">
        <v>3352</v>
      </c>
      <c r="C1939" s="47" t="s">
        <v>2074</v>
      </c>
      <c r="D1939" s="48" t="s">
        <v>1029</v>
      </c>
      <c r="E1939" s="48" t="s">
        <v>1030</v>
      </c>
      <c r="F1939" s="48" t="s">
        <v>2075</v>
      </c>
      <c r="G1939" s="48" t="s">
        <v>2076</v>
      </c>
      <c r="H1939" s="47" t="s">
        <v>2077</v>
      </c>
      <c r="I1939" s="47" t="s">
        <v>2078</v>
      </c>
      <c r="J1939" s="47" t="s">
        <v>26</v>
      </c>
    </row>
    <row r="1940" ht="54" customHeight="1" spans="1:10">
      <c r="A1940" s="48" t="s">
        <v>587</v>
      </c>
      <c r="B1940" s="48" t="s">
        <v>3353</v>
      </c>
      <c r="C1940" s="47" t="s">
        <v>1000</v>
      </c>
      <c r="D1940" s="48" t="s">
        <v>1001</v>
      </c>
      <c r="E1940" s="48" t="s">
        <v>1002</v>
      </c>
      <c r="F1940" s="48" t="s">
        <v>1003</v>
      </c>
      <c r="G1940" s="48" t="s">
        <v>1004</v>
      </c>
      <c r="H1940" s="47" t="s">
        <v>1005</v>
      </c>
      <c r="I1940" s="47" t="s">
        <v>1006</v>
      </c>
      <c r="J1940" s="47" t="s">
        <v>26</v>
      </c>
    </row>
    <row r="1941" ht="54" customHeight="1" spans="1:10">
      <c r="A1941" s="48" t="s">
        <v>587</v>
      </c>
      <c r="B1941" s="48" t="s">
        <v>3354</v>
      </c>
      <c r="C1941" s="47" t="s">
        <v>1105</v>
      </c>
      <c r="D1941" s="48" t="s">
        <v>1009</v>
      </c>
      <c r="E1941" s="48" t="s">
        <v>1010</v>
      </c>
      <c r="F1941" s="48" t="s">
        <v>1106</v>
      </c>
      <c r="G1941" s="48" t="s">
        <v>1107</v>
      </c>
      <c r="H1941" s="47" t="s">
        <v>1108</v>
      </c>
      <c r="I1941" s="47" t="s">
        <v>1109</v>
      </c>
      <c r="J1941" s="47" t="s">
        <v>26</v>
      </c>
    </row>
    <row r="1942" ht="54" customHeight="1" spans="1:10">
      <c r="A1942" s="48" t="s">
        <v>587</v>
      </c>
      <c r="B1942" s="48" t="s">
        <v>3355</v>
      </c>
      <c r="C1942" s="47" t="s">
        <v>1052</v>
      </c>
      <c r="D1942" s="48" t="s">
        <v>1009</v>
      </c>
      <c r="E1942" s="48" t="s">
        <v>1010</v>
      </c>
      <c r="F1942" s="48" t="s">
        <v>1053</v>
      </c>
      <c r="G1942" s="48" t="s">
        <v>1054</v>
      </c>
      <c r="H1942" s="47" t="s">
        <v>1055</v>
      </c>
      <c r="I1942" s="47" t="s">
        <v>1056</v>
      </c>
      <c r="J1942" s="47" t="s">
        <v>26</v>
      </c>
    </row>
    <row r="1943" ht="54" customHeight="1" spans="1:10">
      <c r="A1943" s="48" t="s">
        <v>587</v>
      </c>
      <c r="B1943" s="48" t="s">
        <v>3356</v>
      </c>
      <c r="C1943" s="47" t="s">
        <v>1097</v>
      </c>
      <c r="D1943" s="48" t="s">
        <v>1098</v>
      </c>
      <c r="E1943" s="48" t="s">
        <v>1099</v>
      </c>
      <c r="F1943" s="48" t="s">
        <v>1100</v>
      </c>
      <c r="G1943" s="48" t="s">
        <v>1101</v>
      </c>
      <c r="H1943" s="47" t="s">
        <v>1102</v>
      </c>
      <c r="I1943" s="47" t="s">
        <v>1103</v>
      </c>
      <c r="J1943" s="47" t="s">
        <v>26</v>
      </c>
    </row>
    <row r="1944" ht="54" customHeight="1" spans="1:10">
      <c r="A1944" s="48" t="s">
        <v>589</v>
      </c>
      <c r="B1944" s="48" t="s">
        <v>3357</v>
      </c>
      <c r="C1944" s="47" t="s">
        <v>1934</v>
      </c>
      <c r="D1944" s="48" t="s">
        <v>1184</v>
      </c>
      <c r="E1944" s="48" t="s">
        <v>1185</v>
      </c>
      <c r="F1944" s="48" t="s">
        <v>1935</v>
      </c>
      <c r="G1944" s="48" t="s">
        <v>1936</v>
      </c>
      <c r="H1944" s="47" t="s">
        <v>1937</v>
      </c>
      <c r="I1944" s="47" t="s">
        <v>1938</v>
      </c>
      <c r="J1944" s="47" t="s">
        <v>26</v>
      </c>
    </row>
    <row r="1945" ht="54" customHeight="1" spans="1:10">
      <c r="A1945" s="48" t="s">
        <v>589</v>
      </c>
      <c r="B1945" s="48" t="s">
        <v>3358</v>
      </c>
      <c r="C1945" s="47" t="s">
        <v>1767</v>
      </c>
      <c r="D1945" s="48" t="s">
        <v>957</v>
      </c>
      <c r="E1945" s="48" t="s">
        <v>958</v>
      </c>
      <c r="F1945" s="48" t="s">
        <v>1768</v>
      </c>
      <c r="G1945" s="48" t="s">
        <v>1769</v>
      </c>
      <c r="H1945" s="47" t="s">
        <v>1770</v>
      </c>
      <c r="I1945" s="47" t="s">
        <v>1771</v>
      </c>
      <c r="J1945" s="47" t="s">
        <v>26</v>
      </c>
    </row>
    <row r="1946" ht="54" customHeight="1" spans="1:10">
      <c r="A1946" s="48" t="s">
        <v>589</v>
      </c>
      <c r="B1946" s="48" t="s">
        <v>3359</v>
      </c>
      <c r="C1946" s="47" t="s">
        <v>1097</v>
      </c>
      <c r="D1946" s="48" t="s">
        <v>1098</v>
      </c>
      <c r="E1946" s="48" t="s">
        <v>1099</v>
      </c>
      <c r="F1946" s="48" t="s">
        <v>1100</v>
      </c>
      <c r="G1946" s="48" t="s">
        <v>1101</v>
      </c>
      <c r="H1946" s="47" t="s">
        <v>1102</v>
      </c>
      <c r="I1946" s="47" t="s">
        <v>1103</v>
      </c>
      <c r="J1946" s="47" t="s">
        <v>26</v>
      </c>
    </row>
    <row r="1947" ht="54" customHeight="1" spans="1:10">
      <c r="A1947" s="48" t="s">
        <v>589</v>
      </c>
      <c r="B1947" s="48" t="s">
        <v>3360</v>
      </c>
      <c r="C1947" s="47" t="s">
        <v>1117</v>
      </c>
      <c r="D1947" s="48" t="s">
        <v>1118</v>
      </c>
      <c r="E1947" s="48" t="s">
        <v>1119</v>
      </c>
      <c r="F1947" s="48" t="s">
        <v>1120</v>
      </c>
      <c r="G1947" s="48" t="s">
        <v>1121</v>
      </c>
      <c r="H1947" s="47" t="s">
        <v>1122</v>
      </c>
      <c r="I1947" s="47" t="s">
        <v>1123</v>
      </c>
      <c r="J1947" s="47" t="s">
        <v>26</v>
      </c>
    </row>
    <row r="1948" ht="54" customHeight="1" spans="1:10">
      <c r="A1948" s="48" t="s">
        <v>591</v>
      </c>
      <c r="B1948" s="48" t="s">
        <v>3361</v>
      </c>
      <c r="C1948" s="47" t="s">
        <v>956</v>
      </c>
      <c r="D1948" s="48" t="s">
        <v>957</v>
      </c>
      <c r="E1948" s="48" t="s">
        <v>958</v>
      </c>
      <c r="F1948" s="48" t="s">
        <v>959</v>
      </c>
      <c r="G1948" s="48" t="s">
        <v>960</v>
      </c>
      <c r="H1948" s="47" t="s">
        <v>961</v>
      </c>
      <c r="I1948" s="47" t="s">
        <v>962</v>
      </c>
      <c r="J1948" s="47" t="s">
        <v>26</v>
      </c>
    </row>
    <row r="1949" ht="54" customHeight="1" spans="1:10">
      <c r="A1949" s="48" t="s">
        <v>591</v>
      </c>
      <c r="B1949" s="48" t="s">
        <v>3362</v>
      </c>
      <c r="C1949" s="47" t="s">
        <v>1105</v>
      </c>
      <c r="D1949" s="48" t="s">
        <v>1009</v>
      </c>
      <c r="E1949" s="48" t="s">
        <v>1010</v>
      </c>
      <c r="F1949" s="48" t="s">
        <v>1106</v>
      </c>
      <c r="G1949" s="48" t="s">
        <v>1107</v>
      </c>
      <c r="H1949" s="47" t="s">
        <v>1108</v>
      </c>
      <c r="I1949" s="47" t="s">
        <v>1109</v>
      </c>
      <c r="J1949" s="47" t="s">
        <v>26</v>
      </c>
    </row>
    <row r="1950" ht="54" customHeight="1" spans="1:10">
      <c r="A1950" s="48" t="s">
        <v>591</v>
      </c>
      <c r="B1950" s="48" t="s">
        <v>3363</v>
      </c>
      <c r="C1950" s="47" t="s">
        <v>1052</v>
      </c>
      <c r="D1950" s="48" t="s">
        <v>1009</v>
      </c>
      <c r="E1950" s="48" t="s">
        <v>1010</v>
      </c>
      <c r="F1950" s="48" t="s">
        <v>1053</v>
      </c>
      <c r="G1950" s="48" t="s">
        <v>1054</v>
      </c>
      <c r="H1950" s="47" t="s">
        <v>1055</v>
      </c>
      <c r="I1950" s="47" t="s">
        <v>1056</v>
      </c>
      <c r="J1950" s="47" t="s">
        <v>26</v>
      </c>
    </row>
    <row r="1951" ht="54" customHeight="1" spans="1:10">
      <c r="A1951" s="48" t="s">
        <v>591</v>
      </c>
      <c r="B1951" s="48" t="s">
        <v>3364</v>
      </c>
      <c r="C1951" s="47" t="s">
        <v>1111</v>
      </c>
      <c r="D1951" s="48" t="s">
        <v>965</v>
      </c>
      <c r="E1951" s="48" t="s">
        <v>966</v>
      </c>
      <c r="F1951" s="48" t="s">
        <v>1112</v>
      </c>
      <c r="G1951" s="48" t="s">
        <v>1113</v>
      </c>
      <c r="H1951" s="47" t="s">
        <v>1114</v>
      </c>
      <c r="I1951" s="47" t="s">
        <v>1115</v>
      </c>
      <c r="J1951" s="47" t="s">
        <v>26</v>
      </c>
    </row>
    <row r="1952" ht="54" customHeight="1" spans="1:10">
      <c r="A1952" s="48" t="s">
        <v>593</v>
      </c>
      <c r="B1952" s="48" t="s">
        <v>3365</v>
      </c>
      <c r="C1952" s="47" t="s">
        <v>1516</v>
      </c>
      <c r="D1952" s="48" t="s">
        <v>1073</v>
      </c>
      <c r="E1952" s="48" t="s">
        <v>1074</v>
      </c>
      <c r="F1952" s="48" t="s">
        <v>1517</v>
      </c>
      <c r="G1952" s="48" t="s">
        <v>1518</v>
      </c>
      <c r="H1952" s="47" t="s">
        <v>1519</v>
      </c>
      <c r="I1952" s="47" t="s">
        <v>1520</v>
      </c>
      <c r="J1952" s="47" t="s">
        <v>26</v>
      </c>
    </row>
    <row r="1953" ht="54" customHeight="1" spans="1:10">
      <c r="A1953" s="48" t="s">
        <v>593</v>
      </c>
      <c r="B1953" s="48" t="s">
        <v>3366</v>
      </c>
      <c r="C1953" s="47" t="s">
        <v>1072</v>
      </c>
      <c r="D1953" s="48" t="s">
        <v>1073</v>
      </c>
      <c r="E1953" s="48" t="s">
        <v>1074</v>
      </c>
      <c r="F1953" s="48" t="s">
        <v>1075</v>
      </c>
      <c r="G1953" s="48" t="s">
        <v>1076</v>
      </c>
      <c r="H1953" s="47" t="s">
        <v>1077</v>
      </c>
      <c r="I1953" s="47" t="s">
        <v>1078</v>
      </c>
      <c r="J1953" s="47" t="s">
        <v>26</v>
      </c>
    </row>
    <row r="1954" ht="54" customHeight="1" spans="1:10">
      <c r="A1954" s="48" t="s">
        <v>593</v>
      </c>
      <c r="B1954" s="48" t="s">
        <v>3367</v>
      </c>
      <c r="C1954" s="47" t="s">
        <v>1610</v>
      </c>
      <c r="D1954" s="48" t="s">
        <v>1098</v>
      </c>
      <c r="E1954" s="48" t="s">
        <v>1099</v>
      </c>
      <c r="F1954" s="48" t="s">
        <v>1611</v>
      </c>
      <c r="G1954" s="48" t="s">
        <v>1612</v>
      </c>
      <c r="H1954" s="47" t="s">
        <v>1613</v>
      </c>
      <c r="I1954" s="47" t="s">
        <v>1614</v>
      </c>
      <c r="J1954" s="47" t="s">
        <v>26</v>
      </c>
    </row>
    <row r="1955" ht="54" customHeight="1" spans="1:10">
      <c r="A1955" s="48" t="s">
        <v>593</v>
      </c>
      <c r="B1955" s="48" t="s">
        <v>3368</v>
      </c>
      <c r="C1955" s="47" t="s">
        <v>1388</v>
      </c>
      <c r="D1955" s="48" t="s">
        <v>1037</v>
      </c>
      <c r="E1955" s="48" t="s">
        <v>1038</v>
      </c>
      <c r="F1955" s="48" t="s">
        <v>1389</v>
      </c>
      <c r="G1955" s="48" t="s">
        <v>1390</v>
      </c>
      <c r="H1955" s="47" t="s">
        <v>1391</v>
      </c>
      <c r="I1955" s="47" t="s">
        <v>1392</v>
      </c>
      <c r="J1955" s="47" t="s">
        <v>26</v>
      </c>
    </row>
    <row r="1956" ht="54" customHeight="1" spans="1:10">
      <c r="A1956" s="48" t="s">
        <v>593</v>
      </c>
      <c r="B1956" s="48" t="s">
        <v>3369</v>
      </c>
      <c r="C1956" s="47" t="s">
        <v>971</v>
      </c>
      <c r="D1956" s="48" t="s">
        <v>965</v>
      </c>
      <c r="E1956" s="48" t="s">
        <v>966</v>
      </c>
      <c r="F1956" s="48" t="s">
        <v>972</v>
      </c>
      <c r="G1956" s="48" t="s">
        <v>973</v>
      </c>
      <c r="H1956" s="47" t="s">
        <v>974</v>
      </c>
      <c r="I1956" s="47" t="s">
        <v>975</v>
      </c>
      <c r="J1956" s="47" t="s">
        <v>26</v>
      </c>
    </row>
    <row r="1957" ht="54" customHeight="1" spans="1:10">
      <c r="A1957" s="48" t="s">
        <v>593</v>
      </c>
      <c r="B1957" s="48" t="s">
        <v>3370</v>
      </c>
      <c r="C1957" s="47" t="s">
        <v>1145</v>
      </c>
      <c r="D1957" s="48" t="s">
        <v>1146</v>
      </c>
      <c r="E1957" s="48" t="s">
        <v>1147</v>
      </c>
      <c r="F1957" s="48" t="s">
        <v>1148</v>
      </c>
      <c r="G1957" s="48" t="s">
        <v>1149</v>
      </c>
      <c r="H1957" s="47" t="s">
        <v>1150</v>
      </c>
      <c r="I1957" s="47" t="s">
        <v>1151</v>
      </c>
      <c r="J1957" s="47" t="s">
        <v>26</v>
      </c>
    </row>
    <row r="1958" ht="54" customHeight="1" spans="1:10">
      <c r="A1958" s="48" t="s">
        <v>595</v>
      </c>
      <c r="B1958" s="48" t="s">
        <v>3371</v>
      </c>
      <c r="C1958" s="47" t="s">
        <v>1421</v>
      </c>
      <c r="D1958" s="48" t="s">
        <v>1422</v>
      </c>
      <c r="E1958" s="48" t="s">
        <v>1423</v>
      </c>
      <c r="F1958" s="48" t="s">
        <v>1424</v>
      </c>
      <c r="G1958" s="48" t="s">
        <v>1423</v>
      </c>
      <c r="H1958" s="47" t="s">
        <v>1425</v>
      </c>
      <c r="I1958" s="47" t="s">
        <v>1426</v>
      </c>
      <c r="J1958" s="47" t="s">
        <v>26</v>
      </c>
    </row>
    <row r="1959" ht="54" customHeight="1" spans="1:10">
      <c r="A1959" s="48" t="s">
        <v>595</v>
      </c>
      <c r="B1959" s="48" t="s">
        <v>3372</v>
      </c>
      <c r="C1959" s="47" t="s">
        <v>1105</v>
      </c>
      <c r="D1959" s="48" t="s">
        <v>1009</v>
      </c>
      <c r="E1959" s="48" t="s">
        <v>1010</v>
      </c>
      <c r="F1959" s="48" t="s">
        <v>1106</v>
      </c>
      <c r="G1959" s="48" t="s">
        <v>1107</v>
      </c>
      <c r="H1959" s="47" t="s">
        <v>1108</v>
      </c>
      <c r="I1959" s="47" t="s">
        <v>1109</v>
      </c>
      <c r="J1959" s="47" t="s">
        <v>26</v>
      </c>
    </row>
    <row r="1960" ht="54" customHeight="1" spans="1:10">
      <c r="A1960" s="48" t="s">
        <v>595</v>
      </c>
      <c r="B1960" s="48" t="s">
        <v>3373</v>
      </c>
      <c r="C1960" s="47" t="s">
        <v>1097</v>
      </c>
      <c r="D1960" s="48" t="s">
        <v>1098</v>
      </c>
      <c r="E1960" s="48" t="s">
        <v>1099</v>
      </c>
      <c r="F1960" s="48" t="s">
        <v>1100</v>
      </c>
      <c r="G1960" s="48" t="s">
        <v>1101</v>
      </c>
      <c r="H1960" s="47" t="s">
        <v>1102</v>
      </c>
      <c r="I1960" s="47" t="s">
        <v>1103</v>
      </c>
      <c r="J1960" s="47" t="s">
        <v>26</v>
      </c>
    </row>
    <row r="1961" ht="54" customHeight="1" spans="1:10">
      <c r="A1961" s="48" t="s">
        <v>595</v>
      </c>
      <c r="B1961" s="48" t="s">
        <v>3374</v>
      </c>
      <c r="C1961" s="47" t="s">
        <v>1145</v>
      </c>
      <c r="D1961" s="48" t="s">
        <v>1146</v>
      </c>
      <c r="E1961" s="48" t="s">
        <v>1147</v>
      </c>
      <c r="F1961" s="48" t="s">
        <v>1148</v>
      </c>
      <c r="G1961" s="48" t="s">
        <v>1149</v>
      </c>
      <c r="H1961" s="47" t="s">
        <v>1150</v>
      </c>
      <c r="I1961" s="47" t="s">
        <v>1151</v>
      </c>
      <c r="J1961" s="47" t="s">
        <v>26</v>
      </c>
    </row>
    <row r="1962" ht="54" customHeight="1" spans="1:10">
      <c r="A1962" s="48" t="s">
        <v>595</v>
      </c>
      <c r="B1962" s="48" t="s">
        <v>3375</v>
      </c>
      <c r="C1962" s="47" t="s">
        <v>1196</v>
      </c>
      <c r="D1962" s="48" t="s">
        <v>1118</v>
      </c>
      <c r="E1962" s="48" t="s">
        <v>1119</v>
      </c>
      <c r="F1962" s="48" t="s">
        <v>1197</v>
      </c>
      <c r="G1962" s="48" t="s">
        <v>1198</v>
      </c>
      <c r="H1962" s="47" t="s">
        <v>1199</v>
      </c>
      <c r="I1962" s="47" t="s">
        <v>1200</v>
      </c>
      <c r="J1962" s="47" t="s">
        <v>26</v>
      </c>
    </row>
    <row r="1963" ht="54" customHeight="1" spans="1:10">
      <c r="A1963" s="48" t="s">
        <v>597</v>
      </c>
      <c r="B1963" s="48" t="s">
        <v>3376</v>
      </c>
      <c r="C1963" s="47" t="s">
        <v>942</v>
      </c>
      <c r="D1963" s="48" t="s">
        <v>943</v>
      </c>
      <c r="E1963" s="48" t="s">
        <v>944</v>
      </c>
      <c r="F1963" s="48" t="s">
        <v>945</v>
      </c>
      <c r="G1963" s="48" t="s">
        <v>946</v>
      </c>
      <c r="H1963" s="47" t="s">
        <v>947</v>
      </c>
      <c r="I1963" s="47" t="s">
        <v>948</v>
      </c>
      <c r="J1963" s="47" t="s">
        <v>26</v>
      </c>
    </row>
    <row r="1964" ht="54" customHeight="1" spans="1:10">
      <c r="A1964" s="48" t="s">
        <v>597</v>
      </c>
      <c r="B1964" s="48" t="s">
        <v>3377</v>
      </c>
      <c r="C1964" s="47" t="s">
        <v>1105</v>
      </c>
      <c r="D1964" s="48" t="s">
        <v>1009</v>
      </c>
      <c r="E1964" s="48" t="s">
        <v>1010</v>
      </c>
      <c r="F1964" s="48" t="s">
        <v>1106</v>
      </c>
      <c r="G1964" s="48" t="s">
        <v>1107</v>
      </c>
      <c r="H1964" s="47" t="s">
        <v>1108</v>
      </c>
      <c r="I1964" s="47" t="s">
        <v>1109</v>
      </c>
      <c r="J1964" s="47" t="s">
        <v>26</v>
      </c>
    </row>
    <row r="1965" ht="54" customHeight="1" spans="1:10">
      <c r="A1965" s="48" t="s">
        <v>597</v>
      </c>
      <c r="B1965" s="48" t="s">
        <v>3378</v>
      </c>
      <c r="C1965" s="47" t="s">
        <v>1967</v>
      </c>
      <c r="D1965" s="48" t="s">
        <v>965</v>
      </c>
      <c r="E1965" s="48" t="s">
        <v>966</v>
      </c>
      <c r="F1965" s="48" t="s">
        <v>1968</v>
      </c>
      <c r="G1965" s="48" t="s">
        <v>1969</v>
      </c>
      <c r="H1965" s="47" t="s">
        <v>1970</v>
      </c>
      <c r="I1965" s="47" t="s">
        <v>940</v>
      </c>
      <c r="J1965" s="47" t="s">
        <v>26</v>
      </c>
    </row>
    <row r="1966" ht="54" customHeight="1" spans="1:10">
      <c r="A1966" s="48" t="s">
        <v>597</v>
      </c>
      <c r="B1966" s="48" t="s">
        <v>3379</v>
      </c>
      <c r="C1966" s="47" t="s">
        <v>1252</v>
      </c>
      <c r="D1966" s="48" t="s">
        <v>1001</v>
      </c>
      <c r="E1966" s="48" t="s">
        <v>1002</v>
      </c>
      <c r="F1966" s="48" t="s">
        <v>1253</v>
      </c>
      <c r="G1966" s="48" t="s">
        <v>1254</v>
      </c>
      <c r="H1966" s="47" t="s">
        <v>1255</v>
      </c>
      <c r="I1966" s="47" t="s">
        <v>1256</v>
      </c>
      <c r="J1966" s="47" t="s">
        <v>26</v>
      </c>
    </row>
    <row r="1967" ht="54" customHeight="1" spans="1:10">
      <c r="A1967" s="48" t="s">
        <v>597</v>
      </c>
      <c r="B1967" s="48" t="s">
        <v>3380</v>
      </c>
      <c r="C1967" s="47" t="s">
        <v>1291</v>
      </c>
      <c r="D1967" s="48" t="s">
        <v>965</v>
      </c>
      <c r="E1967" s="48" t="s">
        <v>966</v>
      </c>
      <c r="F1967" s="48" t="s">
        <v>1292</v>
      </c>
      <c r="G1967" s="48" t="s">
        <v>1293</v>
      </c>
      <c r="H1967" s="47" t="s">
        <v>1294</v>
      </c>
      <c r="I1967" s="47" t="s">
        <v>1295</v>
      </c>
      <c r="J1967" s="47" t="s">
        <v>26</v>
      </c>
    </row>
    <row r="1968" ht="54" customHeight="1" spans="1:10">
      <c r="A1968" s="48" t="s">
        <v>599</v>
      </c>
      <c r="B1968" s="48" t="s">
        <v>3381</v>
      </c>
      <c r="C1968" s="47" t="s">
        <v>934</v>
      </c>
      <c r="D1968" s="48" t="s">
        <v>935</v>
      </c>
      <c r="E1968" s="48" t="s">
        <v>936</v>
      </c>
      <c r="F1968" s="48" t="s">
        <v>937</v>
      </c>
      <c r="G1968" s="48" t="s">
        <v>938</v>
      </c>
      <c r="H1968" s="47" t="s">
        <v>939</v>
      </c>
      <c r="I1968" s="47" t="s">
        <v>940</v>
      </c>
      <c r="J1968" s="47" t="s">
        <v>26</v>
      </c>
    </row>
    <row r="1969" ht="54" customHeight="1" spans="1:10">
      <c r="A1969" s="48" t="s">
        <v>599</v>
      </c>
      <c r="B1969" s="48" t="s">
        <v>3382</v>
      </c>
      <c r="C1969" s="47" t="s">
        <v>1058</v>
      </c>
      <c r="D1969" s="48" t="s">
        <v>1059</v>
      </c>
      <c r="E1969" s="48" t="s">
        <v>1060</v>
      </c>
      <c r="F1969" s="48" t="s">
        <v>1061</v>
      </c>
      <c r="G1969" s="48" t="s">
        <v>1062</v>
      </c>
      <c r="H1969" s="47" t="s">
        <v>1063</v>
      </c>
      <c r="I1969" s="47" t="s">
        <v>1064</v>
      </c>
      <c r="J1969" s="47" t="s">
        <v>26</v>
      </c>
    </row>
    <row r="1970" ht="54" customHeight="1" spans="1:10">
      <c r="A1970" s="48" t="s">
        <v>599</v>
      </c>
      <c r="B1970" s="48" t="s">
        <v>3383</v>
      </c>
      <c r="C1970" s="47" t="s">
        <v>1097</v>
      </c>
      <c r="D1970" s="48" t="s">
        <v>1098</v>
      </c>
      <c r="E1970" s="48" t="s">
        <v>1099</v>
      </c>
      <c r="F1970" s="48" t="s">
        <v>1100</v>
      </c>
      <c r="G1970" s="48" t="s">
        <v>1101</v>
      </c>
      <c r="H1970" s="47" t="s">
        <v>1102</v>
      </c>
      <c r="I1970" s="47" t="s">
        <v>1103</v>
      </c>
      <c r="J1970" s="47" t="s">
        <v>26</v>
      </c>
    </row>
    <row r="1971" ht="54" customHeight="1" spans="1:10">
      <c r="A1971" s="48" t="s">
        <v>599</v>
      </c>
      <c r="B1971" s="48" t="s">
        <v>3384</v>
      </c>
      <c r="C1971" s="47" t="s">
        <v>1117</v>
      </c>
      <c r="D1971" s="48" t="s">
        <v>1118</v>
      </c>
      <c r="E1971" s="48" t="s">
        <v>1119</v>
      </c>
      <c r="F1971" s="48" t="s">
        <v>1120</v>
      </c>
      <c r="G1971" s="48" t="s">
        <v>1121</v>
      </c>
      <c r="H1971" s="47" t="s">
        <v>1122</v>
      </c>
      <c r="I1971" s="47" t="s">
        <v>1123</v>
      </c>
      <c r="J1971" s="47" t="s">
        <v>26</v>
      </c>
    </row>
    <row r="1972" ht="54" customHeight="1" spans="1:10">
      <c r="A1972" s="48" t="s">
        <v>599</v>
      </c>
      <c r="B1972" s="48" t="s">
        <v>3385</v>
      </c>
      <c r="C1972" s="47" t="s">
        <v>1291</v>
      </c>
      <c r="D1972" s="48" t="s">
        <v>965</v>
      </c>
      <c r="E1972" s="48" t="s">
        <v>966</v>
      </c>
      <c r="F1972" s="48" t="s">
        <v>1292</v>
      </c>
      <c r="G1972" s="48" t="s">
        <v>1293</v>
      </c>
      <c r="H1972" s="47" t="s">
        <v>1294</v>
      </c>
      <c r="I1972" s="47" t="s">
        <v>1295</v>
      </c>
      <c r="J1972" s="47" t="s">
        <v>26</v>
      </c>
    </row>
    <row r="1973" ht="54" customHeight="1" spans="1:10">
      <c r="A1973" s="48" t="s">
        <v>599</v>
      </c>
      <c r="B1973" s="48" t="s">
        <v>3386</v>
      </c>
      <c r="C1973" s="47" t="s">
        <v>1205</v>
      </c>
      <c r="D1973" s="48" t="s">
        <v>978</v>
      </c>
      <c r="E1973" s="48" t="s">
        <v>979</v>
      </c>
      <c r="F1973" s="48" t="s">
        <v>1206</v>
      </c>
      <c r="G1973" s="48" t="s">
        <v>1207</v>
      </c>
      <c r="H1973" s="47" t="s">
        <v>1208</v>
      </c>
      <c r="I1973" s="47" t="s">
        <v>1209</v>
      </c>
      <c r="J1973" s="47" t="s">
        <v>26</v>
      </c>
    </row>
    <row r="1974" ht="54" customHeight="1" spans="1:10">
      <c r="A1974" s="48" t="s">
        <v>601</v>
      </c>
      <c r="B1974" s="48" t="s">
        <v>3387</v>
      </c>
      <c r="C1974" s="47" t="s">
        <v>992</v>
      </c>
      <c r="D1974" s="48" t="s">
        <v>993</v>
      </c>
      <c r="E1974" s="48" t="s">
        <v>994</v>
      </c>
      <c r="F1974" s="48" t="s">
        <v>995</v>
      </c>
      <c r="G1974" s="48" t="s">
        <v>996</v>
      </c>
      <c r="H1974" s="47" t="s">
        <v>997</v>
      </c>
      <c r="I1974" s="47" t="s">
        <v>998</v>
      </c>
      <c r="J1974" s="47" t="s">
        <v>26</v>
      </c>
    </row>
    <row r="1975" ht="54" customHeight="1" spans="1:10">
      <c r="A1975" s="48" t="s">
        <v>601</v>
      </c>
      <c r="B1975" s="48" t="s">
        <v>3388</v>
      </c>
      <c r="C1975" s="47" t="s">
        <v>1022</v>
      </c>
      <c r="D1975" s="48" t="s">
        <v>957</v>
      </c>
      <c r="E1975" s="48" t="s">
        <v>958</v>
      </c>
      <c r="F1975" s="48" t="s">
        <v>1023</v>
      </c>
      <c r="G1975" s="48" t="s">
        <v>1024</v>
      </c>
      <c r="H1975" s="47" t="s">
        <v>1025</v>
      </c>
      <c r="I1975" s="47" t="s">
        <v>1026</v>
      </c>
      <c r="J1975" s="47" t="s">
        <v>26</v>
      </c>
    </row>
    <row r="1976" ht="54" customHeight="1" spans="1:10">
      <c r="A1976" s="48" t="s">
        <v>601</v>
      </c>
      <c r="B1976" s="48" t="s">
        <v>3389</v>
      </c>
      <c r="C1976" s="47" t="s">
        <v>971</v>
      </c>
      <c r="D1976" s="48" t="s">
        <v>965</v>
      </c>
      <c r="E1976" s="48" t="s">
        <v>966</v>
      </c>
      <c r="F1976" s="48" t="s">
        <v>972</v>
      </c>
      <c r="G1976" s="48" t="s">
        <v>973</v>
      </c>
      <c r="H1976" s="47" t="s">
        <v>974</v>
      </c>
      <c r="I1976" s="47" t="s">
        <v>975</v>
      </c>
      <c r="J1976" s="47" t="s">
        <v>26</v>
      </c>
    </row>
    <row r="1977" ht="54" customHeight="1" spans="1:10">
      <c r="A1977" s="48" t="s">
        <v>601</v>
      </c>
      <c r="B1977" s="48" t="s">
        <v>3390</v>
      </c>
      <c r="C1977" s="47" t="s">
        <v>1245</v>
      </c>
      <c r="D1977" s="48" t="s">
        <v>1171</v>
      </c>
      <c r="E1977" s="48" t="s">
        <v>1172</v>
      </c>
      <c r="F1977" s="48" t="s">
        <v>1246</v>
      </c>
      <c r="G1977" s="48" t="s">
        <v>1247</v>
      </c>
      <c r="H1977" s="47" t="s">
        <v>1248</v>
      </c>
      <c r="I1977" s="47" t="s">
        <v>1176</v>
      </c>
      <c r="J1977" s="47" t="s">
        <v>26</v>
      </c>
    </row>
    <row r="1978" ht="54" customHeight="1" spans="1:10">
      <c r="A1978" s="48" t="s">
        <v>603</v>
      </c>
      <c r="B1978" s="48" t="s">
        <v>3391</v>
      </c>
      <c r="C1978" s="47" t="s">
        <v>1388</v>
      </c>
      <c r="D1978" s="48" t="s">
        <v>1037</v>
      </c>
      <c r="E1978" s="48" t="s">
        <v>1038</v>
      </c>
      <c r="F1978" s="48" t="s">
        <v>1389</v>
      </c>
      <c r="G1978" s="48" t="s">
        <v>1390</v>
      </c>
      <c r="H1978" s="47" t="s">
        <v>1391</v>
      </c>
      <c r="I1978" s="47" t="s">
        <v>1392</v>
      </c>
      <c r="J1978" s="47" t="s">
        <v>26</v>
      </c>
    </row>
    <row r="1979" ht="54" customHeight="1" spans="1:10">
      <c r="A1979" s="48" t="s">
        <v>603</v>
      </c>
      <c r="B1979" s="48" t="s">
        <v>3392</v>
      </c>
      <c r="C1979" s="47" t="s">
        <v>1252</v>
      </c>
      <c r="D1979" s="48" t="s">
        <v>1001</v>
      </c>
      <c r="E1979" s="48" t="s">
        <v>1002</v>
      </c>
      <c r="F1979" s="48" t="s">
        <v>1253</v>
      </c>
      <c r="G1979" s="48" t="s">
        <v>1254</v>
      </c>
      <c r="H1979" s="47" t="s">
        <v>1255</v>
      </c>
      <c r="I1979" s="47" t="s">
        <v>1256</v>
      </c>
      <c r="J1979" s="47" t="s">
        <v>26</v>
      </c>
    </row>
    <row r="1980" ht="54" customHeight="1" spans="1:10">
      <c r="A1980" s="48" t="s">
        <v>603</v>
      </c>
      <c r="B1980" s="48" t="s">
        <v>3393</v>
      </c>
      <c r="C1980" s="47" t="s">
        <v>971</v>
      </c>
      <c r="D1980" s="48" t="s">
        <v>965</v>
      </c>
      <c r="E1980" s="48" t="s">
        <v>966</v>
      </c>
      <c r="F1980" s="48" t="s">
        <v>972</v>
      </c>
      <c r="G1980" s="48" t="s">
        <v>973</v>
      </c>
      <c r="H1980" s="47" t="s">
        <v>974</v>
      </c>
      <c r="I1980" s="47" t="s">
        <v>975</v>
      </c>
      <c r="J1980" s="47" t="s">
        <v>26</v>
      </c>
    </row>
    <row r="1981" ht="54" customHeight="1" spans="1:10">
      <c r="A1981" s="48" t="s">
        <v>603</v>
      </c>
      <c r="B1981" s="48" t="s">
        <v>3394</v>
      </c>
      <c r="C1981" s="47" t="s">
        <v>1313</v>
      </c>
      <c r="D1981" s="48" t="s">
        <v>1037</v>
      </c>
      <c r="E1981" s="48" t="s">
        <v>1038</v>
      </c>
      <c r="F1981" s="48" t="s">
        <v>1314</v>
      </c>
      <c r="G1981" s="48" t="s">
        <v>1315</v>
      </c>
      <c r="H1981" s="47" t="s">
        <v>1316</v>
      </c>
      <c r="I1981" s="47" t="s">
        <v>1317</v>
      </c>
      <c r="J1981" s="47" t="s">
        <v>26</v>
      </c>
    </row>
    <row r="1982" ht="54" customHeight="1" spans="1:10">
      <c r="A1982" s="48" t="s">
        <v>603</v>
      </c>
      <c r="B1982" s="48" t="s">
        <v>3395</v>
      </c>
      <c r="C1982" s="47" t="s">
        <v>3396</v>
      </c>
      <c r="D1982" s="48" t="s">
        <v>1306</v>
      </c>
      <c r="E1982" s="48" t="s">
        <v>1307</v>
      </c>
      <c r="F1982" s="48" t="s">
        <v>3397</v>
      </c>
      <c r="G1982" s="48" t="s">
        <v>3398</v>
      </c>
      <c r="H1982" s="47" t="s">
        <v>3399</v>
      </c>
      <c r="I1982" s="47" t="s">
        <v>3400</v>
      </c>
      <c r="J1982" s="47" t="s">
        <v>26</v>
      </c>
    </row>
    <row r="1983" ht="54" customHeight="1" spans="1:10">
      <c r="A1983" s="48" t="s">
        <v>603</v>
      </c>
      <c r="B1983" s="48" t="s">
        <v>3401</v>
      </c>
      <c r="C1983" s="47" t="s">
        <v>1235</v>
      </c>
      <c r="D1983" s="48" t="s">
        <v>1118</v>
      </c>
      <c r="E1983" s="48" t="s">
        <v>1119</v>
      </c>
      <c r="F1983" s="48" t="s">
        <v>1236</v>
      </c>
      <c r="G1983" s="48" t="s">
        <v>1237</v>
      </c>
      <c r="H1983" s="47" t="s">
        <v>1238</v>
      </c>
      <c r="I1983" s="47" t="s">
        <v>1239</v>
      </c>
      <c r="J1983" s="47" t="s">
        <v>26</v>
      </c>
    </row>
    <row r="1984" ht="54" customHeight="1" spans="1:10">
      <c r="A1984" s="48" t="s">
        <v>605</v>
      </c>
      <c r="B1984" s="48" t="s">
        <v>3402</v>
      </c>
      <c r="C1984" s="47" t="s">
        <v>1066</v>
      </c>
      <c r="D1984" s="48" t="s">
        <v>935</v>
      </c>
      <c r="E1984" s="48" t="s">
        <v>936</v>
      </c>
      <c r="F1984" s="48" t="s">
        <v>1067</v>
      </c>
      <c r="G1984" s="48" t="s">
        <v>1068</v>
      </c>
      <c r="H1984" s="47" t="s">
        <v>1069</v>
      </c>
      <c r="I1984" s="47" t="s">
        <v>940</v>
      </c>
      <c r="J1984" s="47" t="s">
        <v>26</v>
      </c>
    </row>
    <row r="1985" ht="54" customHeight="1" spans="1:10">
      <c r="A1985" s="48" t="s">
        <v>605</v>
      </c>
      <c r="B1985" s="48" t="s">
        <v>3403</v>
      </c>
      <c r="C1985" s="47" t="s">
        <v>1388</v>
      </c>
      <c r="D1985" s="48" t="s">
        <v>1037</v>
      </c>
      <c r="E1985" s="48" t="s">
        <v>1038</v>
      </c>
      <c r="F1985" s="48" t="s">
        <v>1389</v>
      </c>
      <c r="G1985" s="48" t="s">
        <v>1390</v>
      </c>
      <c r="H1985" s="47" t="s">
        <v>1391</v>
      </c>
      <c r="I1985" s="47" t="s">
        <v>1392</v>
      </c>
      <c r="J1985" s="47" t="s">
        <v>26</v>
      </c>
    </row>
    <row r="1986" ht="54" customHeight="1" spans="1:10">
      <c r="A1986" s="48" t="s">
        <v>605</v>
      </c>
      <c r="B1986" s="48" t="s">
        <v>3404</v>
      </c>
      <c r="C1986" s="47" t="s">
        <v>971</v>
      </c>
      <c r="D1986" s="48" t="s">
        <v>965</v>
      </c>
      <c r="E1986" s="48" t="s">
        <v>966</v>
      </c>
      <c r="F1986" s="48" t="s">
        <v>972</v>
      </c>
      <c r="G1986" s="48" t="s">
        <v>973</v>
      </c>
      <c r="H1986" s="47" t="s">
        <v>974</v>
      </c>
      <c r="I1986" s="47" t="s">
        <v>975</v>
      </c>
      <c r="J1986" s="47" t="s">
        <v>26</v>
      </c>
    </row>
    <row r="1987" ht="54" customHeight="1" spans="1:10">
      <c r="A1987" s="48" t="s">
        <v>605</v>
      </c>
      <c r="B1987" s="48" t="s">
        <v>3405</v>
      </c>
      <c r="C1987" s="47" t="s">
        <v>1291</v>
      </c>
      <c r="D1987" s="48" t="s">
        <v>965</v>
      </c>
      <c r="E1987" s="48" t="s">
        <v>966</v>
      </c>
      <c r="F1987" s="48" t="s">
        <v>1292</v>
      </c>
      <c r="G1987" s="48" t="s">
        <v>1293</v>
      </c>
      <c r="H1987" s="47" t="s">
        <v>1294</v>
      </c>
      <c r="I1987" s="47" t="s">
        <v>1295</v>
      </c>
      <c r="J1987" s="47" t="s">
        <v>26</v>
      </c>
    </row>
    <row r="1988" ht="54" customHeight="1" spans="1:10">
      <c r="A1988" s="48" t="s">
        <v>605</v>
      </c>
      <c r="B1988" s="48" t="s">
        <v>3406</v>
      </c>
      <c r="C1988" s="47" t="s">
        <v>1313</v>
      </c>
      <c r="D1988" s="48" t="s">
        <v>1037</v>
      </c>
      <c r="E1988" s="48" t="s">
        <v>1038</v>
      </c>
      <c r="F1988" s="48" t="s">
        <v>1314</v>
      </c>
      <c r="G1988" s="48" t="s">
        <v>1315</v>
      </c>
      <c r="H1988" s="47" t="s">
        <v>1316</v>
      </c>
      <c r="I1988" s="47" t="s">
        <v>1317</v>
      </c>
      <c r="J1988" s="47" t="s">
        <v>26</v>
      </c>
    </row>
    <row r="1989" ht="54" customHeight="1" spans="1:10">
      <c r="A1989" s="48" t="s">
        <v>607</v>
      </c>
      <c r="B1989" s="48" t="s">
        <v>3407</v>
      </c>
      <c r="C1989" s="47" t="s">
        <v>1975</v>
      </c>
      <c r="D1989" s="48" t="s">
        <v>1009</v>
      </c>
      <c r="E1989" s="48" t="s">
        <v>1010</v>
      </c>
      <c r="F1989" s="48" t="s">
        <v>1976</v>
      </c>
      <c r="G1989" s="48" t="s">
        <v>1977</v>
      </c>
      <c r="H1989" s="47" t="s">
        <v>1978</v>
      </c>
      <c r="I1989" s="47" t="s">
        <v>1979</v>
      </c>
      <c r="J1989" s="47" t="s">
        <v>26</v>
      </c>
    </row>
    <row r="1990" ht="54" customHeight="1" spans="1:10">
      <c r="A1990" s="48" t="s">
        <v>607</v>
      </c>
      <c r="B1990" s="48" t="s">
        <v>3408</v>
      </c>
      <c r="C1990" s="47" t="s">
        <v>1421</v>
      </c>
      <c r="D1990" s="48" t="s">
        <v>1422</v>
      </c>
      <c r="E1990" s="48" t="s">
        <v>1423</v>
      </c>
      <c r="F1990" s="48" t="s">
        <v>1424</v>
      </c>
      <c r="G1990" s="48" t="s">
        <v>1423</v>
      </c>
      <c r="H1990" s="47" t="s">
        <v>1425</v>
      </c>
      <c r="I1990" s="47" t="s">
        <v>1426</v>
      </c>
      <c r="J1990" s="47" t="s">
        <v>26</v>
      </c>
    </row>
    <row r="1991" ht="54" customHeight="1" spans="1:10">
      <c r="A1991" s="48" t="s">
        <v>607</v>
      </c>
      <c r="B1991" s="48" t="s">
        <v>3409</v>
      </c>
      <c r="C1991" s="47" t="s">
        <v>1008</v>
      </c>
      <c r="D1991" s="48" t="s">
        <v>1009</v>
      </c>
      <c r="E1991" s="48" t="s">
        <v>1010</v>
      </c>
      <c r="F1991" s="48" t="s">
        <v>1011</v>
      </c>
      <c r="G1991" s="48" t="s">
        <v>1012</v>
      </c>
      <c r="H1991" s="47" t="s">
        <v>1013</v>
      </c>
      <c r="I1991" s="47" t="s">
        <v>1014</v>
      </c>
      <c r="J1991" s="47" t="s">
        <v>26</v>
      </c>
    </row>
    <row r="1992" ht="54" customHeight="1" spans="1:10">
      <c r="A1992" s="48" t="s">
        <v>607</v>
      </c>
      <c r="B1992" s="48" t="s">
        <v>3410</v>
      </c>
      <c r="C1992" s="47" t="s">
        <v>1459</v>
      </c>
      <c r="D1992" s="48" t="s">
        <v>957</v>
      </c>
      <c r="E1992" s="48" t="s">
        <v>958</v>
      </c>
      <c r="F1992" s="48" t="s">
        <v>1460</v>
      </c>
      <c r="G1992" s="48" t="s">
        <v>1461</v>
      </c>
      <c r="H1992" s="47" t="s">
        <v>1462</v>
      </c>
      <c r="I1992" s="47" t="s">
        <v>1463</v>
      </c>
      <c r="J1992" s="47" t="s">
        <v>26</v>
      </c>
    </row>
    <row r="1993" ht="54" customHeight="1" spans="1:10">
      <c r="A1993" s="48" t="s">
        <v>607</v>
      </c>
      <c r="B1993" s="48" t="s">
        <v>3411</v>
      </c>
      <c r="C1993" s="47" t="s">
        <v>956</v>
      </c>
      <c r="D1993" s="48" t="s">
        <v>957</v>
      </c>
      <c r="E1993" s="48" t="s">
        <v>958</v>
      </c>
      <c r="F1993" s="48" t="s">
        <v>959</v>
      </c>
      <c r="G1993" s="48" t="s">
        <v>960</v>
      </c>
      <c r="H1993" s="47" t="s">
        <v>961</v>
      </c>
      <c r="I1993" s="47" t="s">
        <v>962</v>
      </c>
      <c r="J1993" s="47" t="s">
        <v>26</v>
      </c>
    </row>
    <row r="1994" ht="54" customHeight="1" spans="1:10">
      <c r="A1994" s="48" t="s">
        <v>607</v>
      </c>
      <c r="B1994" s="48" t="s">
        <v>3412</v>
      </c>
      <c r="C1994" s="47" t="s">
        <v>1052</v>
      </c>
      <c r="D1994" s="48" t="s">
        <v>1009</v>
      </c>
      <c r="E1994" s="48" t="s">
        <v>1010</v>
      </c>
      <c r="F1994" s="48" t="s">
        <v>1053</v>
      </c>
      <c r="G1994" s="48" t="s">
        <v>1054</v>
      </c>
      <c r="H1994" s="47" t="s">
        <v>1055</v>
      </c>
      <c r="I1994" s="47" t="s">
        <v>1056</v>
      </c>
      <c r="J1994" s="47" t="s">
        <v>26</v>
      </c>
    </row>
    <row r="1995" ht="54" customHeight="1" spans="1:10">
      <c r="A1995" s="48" t="s">
        <v>607</v>
      </c>
      <c r="B1995" s="48" t="s">
        <v>3413</v>
      </c>
      <c r="C1995" s="47" t="s">
        <v>1058</v>
      </c>
      <c r="D1995" s="48" t="s">
        <v>1059</v>
      </c>
      <c r="E1995" s="48" t="s">
        <v>1060</v>
      </c>
      <c r="F1995" s="48" t="s">
        <v>1061</v>
      </c>
      <c r="G1995" s="48" t="s">
        <v>1062</v>
      </c>
      <c r="H1995" s="47" t="s">
        <v>1063</v>
      </c>
      <c r="I1995" s="47" t="s">
        <v>1064</v>
      </c>
      <c r="J1995" s="47" t="s">
        <v>26</v>
      </c>
    </row>
    <row r="1996" ht="54" customHeight="1" spans="1:10">
      <c r="A1996" s="48" t="s">
        <v>607</v>
      </c>
      <c r="B1996" s="48" t="s">
        <v>3414</v>
      </c>
      <c r="C1996" s="47" t="s">
        <v>1718</v>
      </c>
      <c r="D1996" s="48" t="s">
        <v>1719</v>
      </c>
      <c r="E1996" s="48" t="s">
        <v>1720</v>
      </c>
      <c r="F1996" s="48" t="s">
        <v>1721</v>
      </c>
      <c r="G1996" s="48" t="s">
        <v>1722</v>
      </c>
      <c r="H1996" s="47" t="s">
        <v>1723</v>
      </c>
      <c r="I1996" s="47" t="s">
        <v>1724</v>
      </c>
      <c r="J1996" s="47" t="s">
        <v>26</v>
      </c>
    </row>
    <row r="1997" ht="54" customHeight="1" spans="1:10">
      <c r="A1997" s="48" t="s">
        <v>609</v>
      </c>
      <c r="B1997" s="48" t="s">
        <v>3415</v>
      </c>
      <c r="C1997" s="47" t="s">
        <v>934</v>
      </c>
      <c r="D1997" s="48" t="s">
        <v>935</v>
      </c>
      <c r="E1997" s="48" t="s">
        <v>936</v>
      </c>
      <c r="F1997" s="48" t="s">
        <v>937</v>
      </c>
      <c r="G1997" s="48" t="s">
        <v>938</v>
      </c>
      <c r="H1997" s="47" t="s">
        <v>939</v>
      </c>
      <c r="I1997" s="47" t="s">
        <v>940</v>
      </c>
      <c r="J1997" s="47" t="s">
        <v>26</v>
      </c>
    </row>
    <row r="1998" ht="54" customHeight="1" spans="1:10">
      <c r="A1998" s="48" t="s">
        <v>609</v>
      </c>
      <c r="B1998" s="48" t="s">
        <v>3416</v>
      </c>
      <c r="C1998" s="47" t="s">
        <v>956</v>
      </c>
      <c r="D1998" s="48" t="s">
        <v>957</v>
      </c>
      <c r="E1998" s="48" t="s">
        <v>958</v>
      </c>
      <c r="F1998" s="48" t="s">
        <v>959</v>
      </c>
      <c r="G1998" s="48" t="s">
        <v>960</v>
      </c>
      <c r="H1998" s="47" t="s">
        <v>961</v>
      </c>
      <c r="I1998" s="47" t="s">
        <v>962</v>
      </c>
      <c r="J1998" s="47" t="s">
        <v>26</v>
      </c>
    </row>
    <row r="1999" ht="54" customHeight="1" spans="1:10">
      <c r="A1999" s="48" t="s">
        <v>609</v>
      </c>
      <c r="B1999" s="48" t="s">
        <v>3417</v>
      </c>
      <c r="C1999" s="47" t="s">
        <v>971</v>
      </c>
      <c r="D1999" s="48" t="s">
        <v>965</v>
      </c>
      <c r="E1999" s="48" t="s">
        <v>966</v>
      </c>
      <c r="F1999" s="48" t="s">
        <v>972</v>
      </c>
      <c r="G1999" s="48" t="s">
        <v>973</v>
      </c>
      <c r="H1999" s="47" t="s">
        <v>974</v>
      </c>
      <c r="I1999" s="47" t="s">
        <v>975</v>
      </c>
      <c r="J1999" s="47" t="s">
        <v>26</v>
      </c>
    </row>
    <row r="2000" ht="54" customHeight="1" spans="1:10">
      <c r="A2000" s="48" t="s">
        <v>609</v>
      </c>
      <c r="B2000" s="48" t="s">
        <v>3418</v>
      </c>
      <c r="C2000" s="47" t="s">
        <v>977</v>
      </c>
      <c r="D2000" s="48" t="s">
        <v>978</v>
      </c>
      <c r="E2000" s="48" t="s">
        <v>979</v>
      </c>
      <c r="F2000" s="48" t="s">
        <v>980</v>
      </c>
      <c r="G2000" s="48" t="s">
        <v>981</v>
      </c>
      <c r="H2000" s="47" t="s">
        <v>982</v>
      </c>
      <c r="I2000" s="47" t="s">
        <v>983</v>
      </c>
      <c r="J2000" s="47" t="s">
        <v>26</v>
      </c>
    </row>
    <row r="2001" ht="54" customHeight="1" spans="1:10">
      <c r="A2001" s="48" t="s">
        <v>611</v>
      </c>
      <c r="B2001" s="48" t="s">
        <v>3419</v>
      </c>
      <c r="C2001" s="47" t="s">
        <v>1105</v>
      </c>
      <c r="D2001" s="48" t="s">
        <v>1009</v>
      </c>
      <c r="E2001" s="48" t="s">
        <v>1010</v>
      </c>
      <c r="F2001" s="48" t="s">
        <v>1106</v>
      </c>
      <c r="G2001" s="48" t="s">
        <v>1107</v>
      </c>
      <c r="H2001" s="47" t="s">
        <v>1108</v>
      </c>
      <c r="I2001" s="47" t="s">
        <v>1109</v>
      </c>
      <c r="J2001" s="47" t="s">
        <v>26</v>
      </c>
    </row>
    <row r="2002" ht="54" customHeight="1" spans="1:10">
      <c r="A2002" s="48" t="s">
        <v>611</v>
      </c>
      <c r="B2002" s="48" t="s">
        <v>3420</v>
      </c>
      <c r="C2002" s="47" t="s">
        <v>1111</v>
      </c>
      <c r="D2002" s="48" t="s">
        <v>965</v>
      </c>
      <c r="E2002" s="48" t="s">
        <v>966</v>
      </c>
      <c r="F2002" s="48" t="s">
        <v>1112</v>
      </c>
      <c r="G2002" s="48" t="s">
        <v>1113</v>
      </c>
      <c r="H2002" s="47" t="s">
        <v>1114</v>
      </c>
      <c r="I2002" s="47" t="s">
        <v>1115</v>
      </c>
      <c r="J2002" s="47" t="s">
        <v>26</v>
      </c>
    </row>
    <row r="2003" ht="54" customHeight="1" spans="1:10">
      <c r="A2003" s="48" t="s">
        <v>611</v>
      </c>
      <c r="B2003" s="48" t="s">
        <v>3421</v>
      </c>
      <c r="C2003" s="47" t="s">
        <v>1211</v>
      </c>
      <c r="D2003" s="48" t="s">
        <v>965</v>
      </c>
      <c r="E2003" s="48" t="s">
        <v>966</v>
      </c>
      <c r="F2003" s="48" t="s">
        <v>1212</v>
      </c>
      <c r="G2003" s="48" t="s">
        <v>1213</v>
      </c>
      <c r="H2003" s="47" t="s">
        <v>1214</v>
      </c>
      <c r="I2003" s="47" t="s">
        <v>940</v>
      </c>
      <c r="J2003" s="47" t="s">
        <v>26</v>
      </c>
    </row>
    <row r="2004" ht="54" customHeight="1" spans="1:10">
      <c r="A2004" s="48" t="s">
        <v>613</v>
      </c>
      <c r="B2004" s="48" t="s">
        <v>3422</v>
      </c>
      <c r="C2004" s="47" t="s">
        <v>1516</v>
      </c>
      <c r="D2004" s="48" t="s">
        <v>1073</v>
      </c>
      <c r="E2004" s="48" t="s">
        <v>1074</v>
      </c>
      <c r="F2004" s="48" t="s">
        <v>1517</v>
      </c>
      <c r="G2004" s="48" t="s">
        <v>1518</v>
      </c>
      <c r="H2004" s="47" t="s">
        <v>1519</v>
      </c>
      <c r="I2004" s="47" t="s">
        <v>1520</v>
      </c>
      <c r="J2004" s="47" t="s">
        <v>26</v>
      </c>
    </row>
    <row r="2005" ht="54" customHeight="1" spans="1:10">
      <c r="A2005" s="48" t="s">
        <v>613</v>
      </c>
      <c r="B2005" s="48" t="s">
        <v>3423</v>
      </c>
      <c r="C2005" s="47" t="s">
        <v>934</v>
      </c>
      <c r="D2005" s="48" t="s">
        <v>935</v>
      </c>
      <c r="E2005" s="48" t="s">
        <v>936</v>
      </c>
      <c r="F2005" s="48" t="s">
        <v>937</v>
      </c>
      <c r="G2005" s="48" t="s">
        <v>938</v>
      </c>
      <c r="H2005" s="47" t="s">
        <v>939</v>
      </c>
      <c r="I2005" s="47" t="s">
        <v>940</v>
      </c>
      <c r="J2005" s="47" t="s">
        <v>26</v>
      </c>
    </row>
    <row r="2006" ht="54" customHeight="1" spans="1:10">
      <c r="A2006" s="48" t="s">
        <v>613</v>
      </c>
      <c r="B2006" s="48" t="s">
        <v>3424</v>
      </c>
      <c r="C2006" s="47" t="s">
        <v>1105</v>
      </c>
      <c r="D2006" s="48" t="s">
        <v>1009</v>
      </c>
      <c r="E2006" s="48" t="s">
        <v>1010</v>
      </c>
      <c r="F2006" s="48" t="s">
        <v>1106</v>
      </c>
      <c r="G2006" s="48" t="s">
        <v>1107</v>
      </c>
      <c r="H2006" s="47" t="s">
        <v>1108</v>
      </c>
      <c r="I2006" s="47" t="s">
        <v>1109</v>
      </c>
      <c r="J2006" s="47" t="s">
        <v>26</v>
      </c>
    </row>
    <row r="2007" ht="54" customHeight="1" spans="1:10">
      <c r="A2007" s="48" t="s">
        <v>613</v>
      </c>
      <c r="B2007" s="48" t="s">
        <v>3425</v>
      </c>
      <c r="C2007" s="47" t="s">
        <v>1097</v>
      </c>
      <c r="D2007" s="48" t="s">
        <v>1098</v>
      </c>
      <c r="E2007" s="48" t="s">
        <v>1099</v>
      </c>
      <c r="F2007" s="48" t="s">
        <v>1100</v>
      </c>
      <c r="G2007" s="48" t="s">
        <v>1101</v>
      </c>
      <c r="H2007" s="47" t="s">
        <v>1102</v>
      </c>
      <c r="I2007" s="47" t="s">
        <v>1103</v>
      </c>
      <c r="J2007" s="47" t="s">
        <v>26</v>
      </c>
    </row>
    <row r="2008" ht="54" customHeight="1" spans="1:10">
      <c r="A2008" s="48" t="s">
        <v>613</v>
      </c>
      <c r="B2008" s="48" t="s">
        <v>3426</v>
      </c>
      <c r="C2008" s="47" t="s">
        <v>1111</v>
      </c>
      <c r="D2008" s="48" t="s">
        <v>965</v>
      </c>
      <c r="E2008" s="48" t="s">
        <v>966</v>
      </c>
      <c r="F2008" s="48" t="s">
        <v>1112</v>
      </c>
      <c r="G2008" s="48" t="s">
        <v>1113</v>
      </c>
      <c r="H2008" s="47" t="s">
        <v>1114</v>
      </c>
      <c r="I2008" s="47" t="s">
        <v>1115</v>
      </c>
      <c r="J2008" s="47" t="s">
        <v>26</v>
      </c>
    </row>
    <row r="2009" ht="54" customHeight="1" spans="1:10">
      <c r="A2009" s="48" t="s">
        <v>613</v>
      </c>
      <c r="B2009" s="48" t="s">
        <v>3427</v>
      </c>
      <c r="C2009" s="47" t="s">
        <v>1291</v>
      </c>
      <c r="D2009" s="48" t="s">
        <v>965</v>
      </c>
      <c r="E2009" s="48" t="s">
        <v>966</v>
      </c>
      <c r="F2009" s="48" t="s">
        <v>1292</v>
      </c>
      <c r="G2009" s="48" t="s">
        <v>1293</v>
      </c>
      <c r="H2009" s="47" t="s">
        <v>1294</v>
      </c>
      <c r="I2009" s="47" t="s">
        <v>1295</v>
      </c>
      <c r="J2009" s="47" t="s">
        <v>26</v>
      </c>
    </row>
    <row r="2010" ht="54" customHeight="1" spans="1:10">
      <c r="A2010" s="48" t="s">
        <v>615</v>
      </c>
      <c r="B2010" s="48" t="s">
        <v>3428</v>
      </c>
      <c r="C2010" s="47" t="s">
        <v>2797</v>
      </c>
      <c r="D2010" s="48" t="s">
        <v>1073</v>
      </c>
      <c r="E2010" s="48" t="s">
        <v>1074</v>
      </c>
      <c r="F2010" s="48" t="s">
        <v>2798</v>
      </c>
      <c r="G2010" s="48" t="s">
        <v>2799</v>
      </c>
      <c r="H2010" s="47" t="s">
        <v>2800</v>
      </c>
      <c r="I2010" s="47" t="s">
        <v>2801</v>
      </c>
      <c r="J2010" s="47" t="s">
        <v>26</v>
      </c>
    </row>
    <row r="2011" ht="54" customHeight="1" spans="1:10">
      <c r="A2011" s="48" t="s">
        <v>615</v>
      </c>
      <c r="B2011" s="48" t="s">
        <v>3429</v>
      </c>
      <c r="C2011" s="47" t="s">
        <v>1072</v>
      </c>
      <c r="D2011" s="48" t="s">
        <v>1073</v>
      </c>
      <c r="E2011" s="48" t="s">
        <v>1074</v>
      </c>
      <c r="F2011" s="48" t="s">
        <v>1075</v>
      </c>
      <c r="G2011" s="48" t="s">
        <v>1076</v>
      </c>
      <c r="H2011" s="47" t="s">
        <v>1077</v>
      </c>
      <c r="I2011" s="47" t="s">
        <v>1078</v>
      </c>
      <c r="J2011" s="47" t="s">
        <v>26</v>
      </c>
    </row>
    <row r="2012" ht="54" customHeight="1" spans="1:10">
      <c r="A2012" s="48" t="s">
        <v>615</v>
      </c>
      <c r="B2012" s="48" t="s">
        <v>3430</v>
      </c>
      <c r="C2012" s="47" t="s">
        <v>1480</v>
      </c>
      <c r="D2012" s="48" t="s">
        <v>1001</v>
      </c>
      <c r="E2012" s="48" t="s">
        <v>1002</v>
      </c>
      <c r="F2012" s="48" t="s">
        <v>1481</v>
      </c>
      <c r="G2012" s="48" t="s">
        <v>1482</v>
      </c>
      <c r="H2012" s="47" t="s">
        <v>1483</v>
      </c>
      <c r="I2012" s="47" t="s">
        <v>1484</v>
      </c>
      <c r="J2012" s="47" t="s">
        <v>26</v>
      </c>
    </row>
    <row r="2013" ht="54" customHeight="1" spans="1:10">
      <c r="A2013" s="48" t="s">
        <v>615</v>
      </c>
      <c r="B2013" s="48" t="s">
        <v>3431</v>
      </c>
      <c r="C2013" s="47" t="s">
        <v>1081</v>
      </c>
      <c r="D2013" s="48" t="s">
        <v>1082</v>
      </c>
      <c r="E2013" s="48" t="s">
        <v>1083</v>
      </c>
      <c r="F2013" s="48" t="s">
        <v>1084</v>
      </c>
      <c r="G2013" s="48" t="s">
        <v>1085</v>
      </c>
      <c r="H2013" s="47" t="s">
        <v>1086</v>
      </c>
      <c r="I2013" s="47" t="s">
        <v>1087</v>
      </c>
      <c r="J2013" s="47" t="s">
        <v>26</v>
      </c>
    </row>
    <row r="2014" ht="54" customHeight="1" spans="1:10">
      <c r="A2014" s="48" t="s">
        <v>615</v>
      </c>
      <c r="B2014" s="48" t="s">
        <v>3432</v>
      </c>
      <c r="C2014" s="47" t="s">
        <v>1097</v>
      </c>
      <c r="D2014" s="48" t="s">
        <v>1098</v>
      </c>
      <c r="E2014" s="48" t="s">
        <v>1099</v>
      </c>
      <c r="F2014" s="48" t="s">
        <v>1100</v>
      </c>
      <c r="G2014" s="48" t="s">
        <v>1101</v>
      </c>
      <c r="H2014" s="47" t="s">
        <v>1102</v>
      </c>
      <c r="I2014" s="47" t="s">
        <v>1103</v>
      </c>
      <c r="J2014" s="47" t="s">
        <v>26</v>
      </c>
    </row>
    <row r="2015" ht="54" customHeight="1" spans="1:10">
      <c r="A2015" s="48" t="s">
        <v>615</v>
      </c>
      <c r="B2015" s="48" t="s">
        <v>3433</v>
      </c>
      <c r="C2015" s="47" t="s">
        <v>1111</v>
      </c>
      <c r="D2015" s="48" t="s">
        <v>965</v>
      </c>
      <c r="E2015" s="48" t="s">
        <v>966</v>
      </c>
      <c r="F2015" s="48" t="s">
        <v>1112</v>
      </c>
      <c r="G2015" s="48" t="s">
        <v>1113</v>
      </c>
      <c r="H2015" s="47" t="s">
        <v>1114</v>
      </c>
      <c r="I2015" s="47" t="s">
        <v>1115</v>
      </c>
      <c r="J2015" s="47" t="s">
        <v>26</v>
      </c>
    </row>
    <row r="2016" ht="54" customHeight="1" spans="1:10">
      <c r="A2016" s="48" t="s">
        <v>615</v>
      </c>
      <c r="B2016" s="48" t="s">
        <v>3434</v>
      </c>
      <c r="C2016" s="47" t="s">
        <v>1137</v>
      </c>
      <c r="D2016" s="48" t="s">
        <v>1138</v>
      </c>
      <c r="E2016" s="48" t="s">
        <v>1139</v>
      </c>
      <c r="F2016" s="48" t="s">
        <v>1140</v>
      </c>
      <c r="G2016" s="48" t="s">
        <v>1141</v>
      </c>
      <c r="H2016" s="47" t="s">
        <v>1142</v>
      </c>
      <c r="I2016" s="47" t="s">
        <v>940</v>
      </c>
      <c r="J2016" s="47" t="s">
        <v>26</v>
      </c>
    </row>
    <row r="2017" ht="54" customHeight="1" spans="1:10">
      <c r="A2017" s="48" t="s">
        <v>615</v>
      </c>
      <c r="B2017" s="48" t="s">
        <v>3435</v>
      </c>
      <c r="C2017" s="47" t="s">
        <v>1205</v>
      </c>
      <c r="D2017" s="48" t="s">
        <v>978</v>
      </c>
      <c r="E2017" s="48" t="s">
        <v>979</v>
      </c>
      <c r="F2017" s="48" t="s">
        <v>1206</v>
      </c>
      <c r="G2017" s="48" t="s">
        <v>1207</v>
      </c>
      <c r="H2017" s="47" t="s">
        <v>1208</v>
      </c>
      <c r="I2017" s="47" t="s">
        <v>1209</v>
      </c>
      <c r="J2017" s="47" t="s">
        <v>26</v>
      </c>
    </row>
    <row r="2018" ht="54" customHeight="1" spans="1:10">
      <c r="A2018" s="48" t="s">
        <v>615</v>
      </c>
      <c r="B2018" s="48" t="s">
        <v>3436</v>
      </c>
      <c r="C2018" s="47" t="s">
        <v>1170</v>
      </c>
      <c r="D2018" s="48" t="s">
        <v>1171</v>
      </c>
      <c r="E2018" s="48" t="s">
        <v>1172</v>
      </c>
      <c r="F2018" s="48" t="s">
        <v>1173</v>
      </c>
      <c r="G2018" s="48" t="s">
        <v>1174</v>
      </c>
      <c r="H2018" s="47" t="s">
        <v>1175</v>
      </c>
      <c r="I2018" s="47" t="s">
        <v>1176</v>
      </c>
      <c r="J2018" s="47" t="s">
        <v>26</v>
      </c>
    </row>
    <row r="2019" ht="54" customHeight="1" spans="1:10">
      <c r="A2019" s="48" t="s">
        <v>617</v>
      </c>
      <c r="B2019" s="48" t="s">
        <v>3437</v>
      </c>
      <c r="C2019" s="47" t="s">
        <v>934</v>
      </c>
      <c r="D2019" s="48" t="s">
        <v>935</v>
      </c>
      <c r="E2019" s="48" t="s">
        <v>936</v>
      </c>
      <c r="F2019" s="48" t="s">
        <v>937</v>
      </c>
      <c r="G2019" s="48" t="s">
        <v>938</v>
      </c>
      <c r="H2019" s="47" t="s">
        <v>939</v>
      </c>
      <c r="I2019" s="47" t="s">
        <v>940</v>
      </c>
      <c r="J2019" s="47" t="s">
        <v>26</v>
      </c>
    </row>
    <row r="2020" ht="54" customHeight="1" spans="1:10">
      <c r="A2020" s="48" t="s">
        <v>617</v>
      </c>
      <c r="B2020" s="48" t="s">
        <v>3438</v>
      </c>
      <c r="C2020" s="47" t="s">
        <v>1072</v>
      </c>
      <c r="D2020" s="48" t="s">
        <v>1073</v>
      </c>
      <c r="E2020" s="48" t="s">
        <v>1074</v>
      </c>
      <c r="F2020" s="48" t="s">
        <v>1075</v>
      </c>
      <c r="G2020" s="48" t="s">
        <v>1076</v>
      </c>
      <c r="H2020" s="47" t="s">
        <v>1077</v>
      </c>
      <c r="I2020" s="47" t="s">
        <v>1078</v>
      </c>
      <c r="J2020" s="47" t="s">
        <v>26</v>
      </c>
    </row>
    <row r="2021" ht="54" customHeight="1" spans="1:10">
      <c r="A2021" s="48" t="s">
        <v>617</v>
      </c>
      <c r="B2021" s="48" t="s">
        <v>3439</v>
      </c>
      <c r="C2021" s="47" t="s">
        <v>1388</v>
      </c>
      <c r="D2021" s="48" t="s">
        <v>1037</v>
      </c>
      <c r="E2021" s="48" t="s">
        <v>1038</v>
      </c>
      <c r="F2021" s="48" t="s">
        <v>1389</v>
      </c>
      <c r="G2021" s="48" t="s">
        <v>1390</v>
      </c>
      <c r="H2021" s="47" t="s">
        <v>1391</v>
      </c>
      <c r="I2021" s="47" t="s">
        <v>1392</v>
      </c>
      <c r="J2021" s="47" t="s">
        <v>26</v>
      </c>
    </row>
    <row r="2022" ht="54" customHeight="1" spans="1:10">
      <c r="A2022" s="48" t="s">
        <v>617</v>
      </c>
      <c r="B2022" s="48" t="s">
        <v>3440</v>
      </c>
      <c r="C2022" s="47" t="s">
        <v>971</v>
      </c>
      <c r="D2022" s="48" t="s">
        <v>965</v>
      </c>
      <c r="E2022" s="48" t="s">
        <v>966</v>
      </c>
      <c r="F2022" s="48" t="s">
        <v>972</v>
      </c>
      <c r="G2022" s="48" t="s">
        <v>973</v>
      </c>
      <c r="H2022" s="47" t="s">
        <v>974</v>
      </c>
      <c r="I2022" s="47" t="s">
        <v>975</v>
      </c>
      <c r="J2022" s="47" t="s">
        <v>26</v>
      </c>
    </row>
    <row r="2023" ht="54" customHeight="1" spans="1:10">
      <c r="A2023" s="48" t="s">
        <v>617</v>
      </c>
      <c r="B2023" s="48" t="s">
        <v>3441</v>
      </c>
      <c r="C2023" s="47" t="s">
        <v>1313</v>
      </c>
      <c r="D2023" s="48" t="s">
        <v>1037</v>
      </c>
      <c r="E2023" s="48" t="s">
        <v>1038</v>
      </c>
      <c r="F2023" s="48" t="s">
        <v>1314</v>
      </c>
      <c r="G2023" s="48" t="s">
        <v>1315</v>
      </c>
      <c r="H2023" s="47" t="s">
        <v>1316</v>
      </c>
      <c r="I2023" s="47" t="s">
        <v>1317</v>
      </c>
      <c r="J2023" s="47" t="s">
        <v>26</v>
      </c>
    </row>
    <row r="2024" ht="54" customHeight="1" spans="1:10">
      <c r="A2024" s="48" t="s">
        <v>617</v>
      </c>
      <c r="B2024" s="48" t="s">
        <v>3442</v>
      </c>
      <c r="C2024" s="47" t="s">
        <v>1211</v>
      </c>
      <c r="D2024" s="48" t="s">
        <v>965</v>
      </c>
      <c r="E2024" s="48" t="s">
        <v>966</v>
      </c>
      <c r="F2024" s="48" t="s">
        <v>1212</v>
      </c>
      <c r="G2024" s="48" t="s">
        <v>1213</v>
      </c>
      <c r="H2024" s="47" t="s">
        <v>1214</v>
      </c>
      <c r="I2024" s="47" t="s">
        <v>940</v>
      </c>
      <c r="J2024" s="47" t="s">
        <v>26</v>
      </c>
    </row>
    <row r="2025" ht="54" customHeight="1" spans="1:10">
      <c r="A2025" s="48" t="s">
        <v>619</v>
      </c>
      <c r="B2025" s="48" t="s">
        <v>3443</v>
      </c>
      <c r="C2025" s="47" t="s">
        <v>942</v>
      </c>
      <c r="D2025" s="48" t="s">
        <v>943</v>
      </c>
      <c r="E2025" s="48" t="s">
        <v>944</v>
      </c>
      <c r="F2025" s="48" t="s">
        <v>945</v>
      </c>
      <c r="G2025" s="48" t="s">
        <v>946</v>
      </c>
      <c r="H2025" s="47" t="s">
        <v>947</v>
      </c>
      <c r="I2025" s="47" t="s">
        <v>948</v>
      </c>
      <c r="J2025" s="47" t="s">
        <v>26</v>
      </c>
    </row>
    <row r="2026" ht="54" customHeight="1" spans="1:10">
      <c r="A2026" s="48" t="s">
        <v>619</v>
      </c>
      <c r="B2026" s="48" t="s">
        <v>3444</v>
      </c>
      <c r="C2026" s="47" t="s">
        <v>956</v>
      </c>
      <c r="D2026" s="48" t="s">
        <v>957</v>
      </c>
      <c r="E2026" s="48" t="s">
        <v>958</v>
      </c>
      <c r="F2026" s="48" t="s">
        <v>959</v>
      </c>
      <c r="G2026" s="48" t="s">
        <v>960</v>
      </c>
      <c r="H2026" s="47" t="s">
        <v>961</v>
      </c>
      <c r="I2026" s="47" t="s">
        <v>962</v>
      </c>
      <c r="J2026" s="47" t="s">
        <v>26</v>
      </c>
    </row>
    <row r="2027" ht="54" customHeight="1" spans="1:10">
      <c r="A2027" s="48" t="s">
        <v>619</v>
      </c>
      <c r="B2027" s="48" t="s">
        <v>3445</v>
      </c>
      <c r="C2027" s="47" t="s">
        <v>1097</v>
      </c>
      <c r="D2027" s="48" t="s">
        <v>1098</v>
      </c>
      <c r="E2027" s="48" t="s">
        <v>1099</v>
      </c>
      <c r="F2027" s="48" t="s">
        <v>1100</v>
      </c>
      <c r="G2027" s="48" t="s">
        <v>1101</v>
      </c>
      <c r="H2027" s="47" t="s">
        <v>1102</v>
      </c>
      <c r="I2027" s="47" t="s">
        <v>1103</v>
      </c>
      <c r="J2027" s="47" t="s">
        <v>26</v>
      </c>
    </row>
    <row r="2028" ht="54" customHeight="1" spans="1:10">
      <c r="A2028" s="48" t="s">
        <v>619</v>
      </c>
      <c r="B2028" s="48" t="s">
        <v>3446</v>
      </c>
      <c r="C2028" s="47" t="s">
        <v>1137</v>
      </c>
      <c r="D2028" s="48" t="s">
        <v>1138</v>
      </c>
      <c r="E2028" s="48" t="s">
        <v>1139</v>
      </c>
      <c r="F2028" s="48" t="s">
        <v>1140</v>
      </c>
      <c r="G2028" s="48" t="s">
        <v>1141</v>
      </c>
      <c r="H2028" s="47" t="s">
        <v>1142</v>
      </c>
      <c r="I2028" s="47" t="s">
        <v>940</v>
      </c>
      <c r="J2028" s="47" t="s">
        <v>26</v>
      </c>
    </row>
    <row r="2029" ht="54" customHeight="1" spans="1:10">
      <c r="A2029" s="48" t="s">
        <v>619</v>
      </c>
      <c r="B2029" s="48" t="s">
        <v>3447</v>
      </c>
      <c r="C2029" s="47" t="s">
        <v>1211</v>
      </c>
      <c r="D2029" s="48" t="s">
        <v>965</v>
      </c>
      <c r="E2029" s="48" t="s">
        <v>966</v>
      </c>
      <c r="F2029" s="48" t="s">
        <v>1212</v>
      </c>
      <c r="G2029" s="48" t="s">
        <v>1213</v>
      </c>
      <c r="H2029" s="47" t="s">
        <v>1214</v>
      </c>
      <c r="I2029" s="47" t="s">
        <v>940</v>
      </c>
      <c r="J2029" s="47" t="s">
        <v>26</v>
      </c>
    </row>
    <row r="2030" ht="54" customHeight="1" spans="1:10">
      <c r="A2030" s="48" t="s">
        <v>619</v>
      </c>
      <c r="B2030" s="48" t="s">
        <v>3448</v>
      </c>
      <c r="C2030" s="47" t="s">
        <v>1170</v>
      </c>
      <c r="D2030" s="48" t="s">
        <v>1171</v>
      </c>
      <c r="E2030" s="48" t="s">
        <v>1172</v>
      </c>
      <c r="F2030" s="48" t="s">
        <v>1173</v>
      </c>
      <c r="G2030" s="48" t="s">
        <v>1174</v>
      </c>
      <c r="H2030" s="47" t="s">
        <v>1175</v>
      </c>
      <c r="I2030" s="47" t="s">
        <v>1176</v>
      </c>
      <c r="J2030" s="47" t="s">
        <v>26</v>
      </c>
    </row>
    <row r="2031" ht="54" customHeight="1" spans="1:10">
      <c r="A2031" s="48" t="s">
        <v>621</v>
      </c>
      <c r="B2031" s="48" t="s">
        <v>3449</v>
      </c>
      <c r="C2031" s="47" t="s">
        <v>1022</v>
      </c>
      <c r="D2031" s="48" t="s">
        <v>957</v>
      </c>
      <c r="E2031" s="48" t="s">
        <v>958</v>
      </c>
      <c r="F2031" s="48" t="s">
        <v>1023</v>
      </c>
      <c r="G2031" s="48" t="s">
        <v>1024</v>
      </c>
      <c r="H2031" s="47" t="s">
        <v>1025</v>
      </c>
      <c r="I2031" s="47" t="s">
        <v>1026</v>
      </c>
      <c r="J2031" s="47" t="s">
        <v>26</v>
      </c>
    </row>
    <row r="2032" ht="54" customHeight="1" spans="1:10">
      <c r="A2032" s="48" t="s">
        <v>621</v>
      </c>
      <c r="B2032" s="48" t="s">
        <v>3450</v>
      </c>
      <c r="C2032" s="47" t="s">
        <v>1089</v>
      </c>
      <c r="D2032" s="48" t="s">
        <v>957</v>
      </c>
      <c r="E2032" s="48" t="s">
        <v>958</v>
      </c>
      <c r="F2032" s="48" t="s">
        <v>1090</v>
      </c>
      <c r="G2032" s="48" t="s">
        <v>1091</v>
      </c>
      <c r="H2032" s="47" t="s">
        <v>1092</v>
      </c>
      <c r="I2032" s="47" t="s">
        <v>1093</v>
      </c>
      <c r="J2032" s="47" t="s">
        <v>26</v>
      </c>
    </row>
    <row r="2033" ht="54" customHeight="1" spans="1:10">
      <c r="A2033" s="48" t="s">
        <v>621</v>
      </c>
      <c r="B2033" s="48" t="s">
        <v>3451</v>
      </c>
      <c r="C2033" s="47" t="s">
        <v>1589</v>
      </c>
      <c r="D2033" s="48" t="s">
        <v>943</v>
      </c>
      <c r="E2033" s="48" t="s">
        <v>944</v>
      </c>
      <c r="F2033" s="48" t="s">
        <v>1590</v>
      </c>
      <c r="G2033" s="48" t="s">
        <v>1591</v>
      </c>
      <c r="H2033" s="47" t="s">
        <v>1592</v>
      </c>
      <c r="I2033" s="47" t="s">
        <v>1593</v>
      </c>
      <c r="J2033" s="47" t="s">
        <v>26</v>
      </c>
    </row>
    <row r="2034" ht="54" customHeight="1" spans="1:10">
      <c r="A2034" s="48" t="s">
        <v>621</v>
      </c>
      <c r="B2034" s="48" t="s">
        <v>3452</v>
      </c>
      <c r="C2034" s="47" t="s">
        <v>1097</v>
      </c>
      <c r="D2034" s="48" t="s">
        <v>1098</v>
      </c>
      <c r="E2034" s="48" t="s">
        <v>1099</v>
      </c>
      <c r="F2034" s="48" t="s">
        <v>1100</v>
      </c>
      <c r="G2034" s="48" t="s">
        <v>1101</v>
      </c>
      <c r="H2034" s="47" t="s">
        <v>1102</v>
      </c>
      <c r="I2034" s="47" t="s">
        <v>1103</v>
      </c>
      <c r="J2034" s="47" t="s">
        <v>26</v>
      </c>
    </row>
    <row r="2035" ht="54" customHeight="1" spans="1:10">
      <c r="A2035" s="48" t="s">
        <v>623</v>
      </c>
      <c r="B2035" s="48" t="s">
        <v>3453</v>
      </c>
      <c r="C2035" s="47" t="s">
        <v>934</v>
      </c>
      <c r="D2035" s="48" t="s">
        <v>935</v>
      </c>
      <c r="E2035" s="48" t="s">
        <v>936</v>
      </c>
      <c r="F2035" s="48" t="s">
        <v>937</v>
      </c>
      <c r="G2035" s="48" t="s">
        <v>938</v>
      </c>
      <c r="H2035" s="47" t="s">
        <v>939</v>
      </c>
      <c r="I2035" s="47" t="s">
        <v>940</v>
      </c>
      <c r="J2035" s="47" t="s">
        <v>26</v>
      </c>
    </row>
    <row r="2036" ht="54" customHeight="1" spans="1:10">
      <c r="A2036" s="48" t="s">
        <v>623</v>
      </c>
      <c r="B2036" s="48" t="s">
        <v>3454</v>
      </c>
      <c r="C2036" s="47" t="s">
        <v>1421</v>
      </c>
      <c r="D2036" s="48" t="s">
        <v>1422</v>
      </c>
      <c r="E2036" s="48" t="s">
        <v>1423</v>
      </c>
      <c r="F2036" s="48" t="s">
        <v>1424</v>
      </c>
      <c r="G2036" s="48" t="s">
        <v>1423</v>
      </c>
      <c r="H2036" s="47" t="s">
        <v>1425</v>
      </c>
      <c r="I2036" s="47" t="s">
        <v>1426</v>
      </c>
      <c r="J2036" s="47" t="s">
        <v>26</v>
      </c>
    </row>
    <row r="2037" ht="54" customHeight="1" spans="1:10">
      <c r="A2037" s="48" t="s">
        <v>623</v>
      </c>
      <c r="B2037" s="48" t="s">
        <v>3455</v>
      </c>
      <c r="C2037" s="47" t="s">
        <v>956</v>
      </c>
      <c r="D2037" s="48" t="s">
        <v>957</v>
      </c>
      <c r="E2037" s="48" t="s">
        <v>958</v>
      </c>
      <c r="F2037" s="48" t="s">
        <v>959</v>
      </c>
      <c r="G2037" s="48" t="s">
        <v>960</v>
      </c>
      <c r="H2037" s="47" t="s">
        <v>961</v>
      </c>
      <c r="I2037" s="47" t="s">
        <v>962</v>
      </c>
      <c r="J2037" s="47" t="s">
        <v>26</v>
      </c>
    </row>
    <row r="2038" ht="54" customHeight="1" spans="1:10">
      <c r="A2038" s="48" t="s">
        <v>623</v>
      </c>
      <c r="B2038" s="48" t="s">
        <v>3456</v>
      </c>
      <c r="C2038" s="47" t="s">
        <v>1036</v>
      </c>
      <c r="D2038" s="48" t="s">
        <v>1037</v>
      </c>
      <c r="E2038" s="48" t="s">
        <v>1038</v>
      </c>
      <c r="F2038" s="48" t="s">
        <v>1039</v>
      </c>
      <c r="G2038" s="48" t="s">
        <v>1040</v>
      </c>
      <c r="H2038" s="47" t="s">
        <v>1041</v>
      </c>
      <c r="I2038" s="47" t="s">
        <v>1042</v>
      </c>
      <c r="J2038" s="47" t="s">
        <v>26</v>
      </c>
    </row>
    <row r="2039" ht="54" customHeight="1" spans="1:10">
      <c r="A2039" s="48" t="s">
        <v>623</v>
      </c>
      <c r="B2039" s="48" t="s">
        <v>3457</v>
      </c>
      <c r="C2039" s="47" t="s">
        <v>1097</v>
      </c>
      <c r="D2039" s="48" t="s">
        <v>1098</v>
      </c>
      <c r="E2039" s="48" t="s">
        <v>1099</v>
      </c>
      <c r="F2039" s="48" t="s">
        <v>1100</v>
      </c>
      <c r="G2039" s="48" t="s">
        <v>1101</v>
      </c>
      <c r="H2039" s="47" t="s">
        <v>1102</v>
      </c>
      <c r="I2039" s="47" t="s">
        <v>1103</v>
      </c>
      <c r="J2039" s="47" t="s">
        <v>26</v>
      </c>
    </row>
    <row r="2040" ht="54" customHeight="1" spans="1:10">
      <c r="A2040" s="48" t="s">
        <v>623</v>
      </c>
      <c r="B2040" s="48" t="s">
        <v>3458</v>
      </c>
      <c r="C2040" s="47" t="s">
        <v>1066</v>
      </c>
      <c r="D2040" s="48" t="s">
        <v>935</v>
      </c>
      <c r="E2040" s="48" t="s">
        <v>936</v>
      </c>
      <c r="F2040" s="48" t="s">
        <v>1067</v>
      </c>
      <c r="G2040" s="48" t="s">
        <v>1068</v>
      </c>
      <c r="H2040" s="47" t="s">
        <v>1069</v>
      </c>
      <c r="I2040" s="47" t="s">
        <v>940</v>
      </c>
      <c r="J2040" s="47" t="s">
        <v>26</v>
      </c>
    </row>
    <row r="2041" ht="54" customHeight="1" spans="1:10">
      <c r="A2041" s="48" t="s">
        <v>625</v>
      </c>
      <c r="B2041" s="48" t="s">
        <v>3459</v>
      </c>
      <c r="C2041" s="47" t="s">
        <v>934</v>
      </c>
      <c r="D2041" s="48" t="s">
        <v>935</v>
      </c>
      <c r="E2041" s="48" t="s">
        <v>936</v>
      </c>
      <c r="F2041" s="48" t="s">
        <v>937</v>
      </c>
      <c r="G2041" s="48" t="s">
        <v>938</v>
      </c>
      <c r="H2041" s="47" t="s">
        <v>939</v>
      </c>
      <c r="I2041" s="47" t="s">
        <v>940</v>
      </c>
      <c r="J2041" s="47" t="s">
        <v>26</v>
      </c>
    </row>
    <row r="2042" ht="54" customHeight="1" spans="1:10">
      <c r="A2042" s="48" t="s">
        <v>625</v>
      </c>
      <c r="B2042" s="48" t="s">
        <v>3460</v>
      </c>
      <c r="C2042" s="47" t="s">
        <v>1421</v>
      </c>
      <c r="D2042" s="48" t="s">
        <v>1422</v>
      </c>
      <c r="E2042" s="48" t="s">
        <v>1423</v>
      </c>
      <c r="F2042" s="48" t="s">
        <v>1424</v>
      </c>
      <c r="G2042" s="48" t="s">
        <v>1423</v>
      </c>
      <c r="H2042" s="47" t="s">
        <v>1425</v>
      </c>
      <c r="I2042" s="47" t="s">
        <v>1426</v>
      </c>
      <c r="J2042" s="47" t="s">
        <v>26</v>
      </c>
    </row>
    <row r="2043" ht="54" customHeight="1" spans="1:10">
      <c r="A2043" s="48" t="s">
        <v>625</v>
      </c>
      <c r="B2043" s="48" t="s">
        <v>3461</v>
      </c>
      <c r="C2043" s="47" t="s">
        <v>1097</v>
      </c>
      <c r="D2043" s="48" t="s">
        <v>1098</v>
      </c>
      <c r="E2043" s="48" t="s">
        <v>1099</v>
      </c>
      <c r="F2043" s="48" t="s">
        <v>1100</v>
      </c>
      <c r="G2043" s="48" t="s">
        <v>1101</v>
      </c>
      <c r="H2043" s="47" t="s">
        <v>1102</v>
      </c>
      <c r="I2043" s="47" t="s">
        <v>1103</v>
      </c>
      <c r="J2043" s="47" t="s">
        <v>26</v>
      </c>
    </row>
    <row r="2044" ht="54" customHeight="1" spans="1:10">
      <c r="A2044" s="48" t="s">
        <v>625</v>
      </c>
      <c r="B2044" s="48" t="s">
        <v>3462</v>
      </c>
      <c r="C2044" s="47" t="s">
        <v>1066</v>
      </c>
      <c r="D2044" s="48" t="s">
        <v>935</v>
      </c>
      <c r="E2044" s="48" t="s">
        <v>936</v>
      </c>
      <c r="F2044" s="48" t="s">
        <v>1067</v>
      </c>
      <c r="G2044" s="48" t="s">
        <v>1068</v>
      </c>
      <c r="H2044" s="47" t="s">
        <v>1069</v>
      </c>
      <c r="I2044" s="47" t="s">
        <v>940</v>
      </c>
      <c r="J2044" s="47" t="s">
        <v>26</v>
      </c>
    </row>
    <row r="2045" ht="54" customHeight="1" spans="1:10">
      <c r="A2045" s="48" t="s">
        <v>625</v>
      </c>
      <c r="B2045" s="48" t="s">
        <v>3463</v>
      </c>
      <c r="C2045" s="47" t="s">
        <v>1388</v>
      </c>
      <c r="D2045" s="48" t="s">
        <v>1037</v>
      </c>
      <c r="E2045" s="48" t="s">
        <v>1038</v>
      </c>
      <c r="F2045" s="48" t="s">
        <v>1389</v>
      </c>
      <c r="G2045" s="48" t="s">
        <v>1390</v>
      </c>
      <c r="H2045" s="47" t="s">
        <v>1391</v>
      </c>
      <c r="I2045" s="47" t="s">
        <v>1392</v>
      </c>
      <c r="J2045" s="47" t="s">
        <v>26</v>
      </c>
    </row>
    <row r="2046" ht="54" customHeight="1" spans="1:10">
      <c r="A2046" s="48" t="s">
        <v>625</v>
      </c>
      <c r="B2046" s="48" t="s">
        <v>3464</v>
      </c>
      <c r="C2046" s="47" t="s">
        <v>1429</v>
      </c>
      <c r="D2046" s="48" t="s">
        <v>1430</v>
      </c>
      <c r="E2046" s="48" t="s">
        <v>1431</v>
      </c>
      <c r="F2046" s="48" t="s">
        <v>1432</v>
      </c>
      <c r="G2046" s="48" t="s">
        <v>1433</v>
      </c>
      <c r="H2046" s="47" t="s">
        <v>1434</v>
      </c>
      <c r="I2046" s="47" t="s">
        <v>1435</v>
      </c>
      <c r="J2046" s="47" t="s">
        <v>26</v>
      </c>
    </row>
    <row r="2047" ht="54" customHeight="1" spans="1:10">
      <c r="A2047" s="48" t="s">
        <v>627</v>
      </c>
      <c r="B2047" s="48" t="s">
        <v>3465</v>
      </c>
      <c r="C2047" s="47" t="s">
        <v>934</v>
      </c>
      <c r="D2047" s="48" t="s">
        <v>935</v>
      </c>
      <c r="E2047" s="48" t="s">
        <v>936</v>
      </c>
      <c r="F2047" s="48" t="s">
        <v>937</v>
      </c>
      <c r="G2047" s="48" t="s">
        <v>938</v>
      </c>
      <c r="H2047" s="47" t="s">
        <v>939</v>
      </c>
      <c r="I2047" s="47" t="s">
        <v>940</v>
      </c>
      <c r="J2047" s="47" t="s">
        <v>29</v>
      </c>
    </row>
    <row r="2048" ht="54" customHeight="1" spans="1:10">
      <c r="A2048" s="48" t="s">
        <v>627</v>
      </c>
      <c r="B2048" s="48" t="s">
        <v>3466</v>
      </c>
      <c r="C2048" s="47" t="s">
        <v>1089</v>
      </c>
      <c r="D2048" s="48" t="s">
        <v>957</v>
      </c>
      <c r="E2048" s="48" t="s">
        <v>958</v>
      </c>
      <c r="F2048" s="48" t="s">
        <v>1090</v>
      </c>
      <c r="G2048" s="48" t="s">
        <v>1091</v>
      </c>
      <c r="H2048" s="47" t="s">
        <v>1092</v>
      </c>
      <c r="I2048" s="47" t="s">
        <v>1093</v>
      </c>
      <c r="J2048" s="47" t="s">
        <v>29</v>
      </c>
    </row>
    <row r="2049" ht="54" customHeight="1" spans="1:10">
      <c r="A2049" s="48" t="s">
        <v>627</v>
      </c>
      <c r="B2049" s="48" t="s">
        <v>3467</v>
      </c>
      <c r="C2049" s="47" t="s">
        <v>2004</v>
      </c>
      <c r="D2049" s="48" t="s">
        <v>1171</v>
      </c>
      <c r="E2049" s="48" t="s">
        <v>1172</v>
      </c>
      <c r="F2049" s="48" t="s">
        <v>2005</v>
      </c>
      <c r="G2049" s="48" t="s">
        <v>2006</v>
      </c>
      <c r="H2049" s="47" t="s">
        <v>2007</v>
      </c>
      <c r="I2049" s="47" t="s">
        <v>1176</v>
      </c>
      <c r="J2049" s="47" t="s">
        <v>29</v>
      </c>
    </row>
    <row r="2050" ht="54" customHeight="1" spans="1:10">
      <c r="A2050" s="48" t="s">
        <v>627</v>
      </c>
      <c r="B2050" s="48" t="s">
        <v>3468</v>
      </c>
      <c r="C2050" s="47" t="s">
        <v>1145</v>
      </c>
      <c r="D2050" s="48" t="s">
        <v>1146</v>
      </c>
      <c r="E2050" s="48" t="s">
        <v>1147</v>
      </c>
      <c r="F2050" s="48" t="s">
        <v>1148</v>
      </c>
      <c r="G2050" s="48" t="s">
        <v>1149</v>
      </c>
      <c r="H2050" s="47" t="s">
        <v>1150</v>
      </c>
      <c r="I2050" s="47" t="s">
        <v>1151</v>
      </c>
      <c r="J2050" s="47" t="s">
        <v>29</v>
      </c>
    </row>
    <row r="2051" ht="54" customHeight="1" spans="1:10">
      <c r="A2051" s="48" t="s">
        <v>627</v>
      </c>
      <c r="B2051" s="48" t="s">
        <v>3469</v>
      </c>
      <c r="C2051" s="47" t="s">
        <v>1196</v>
      </c>
      <c r="D2051" s="48" t="s">
        <v>1118</v>
      </c>
      <c r="E2051" s="48" t="s">
        <v>1119</v>
      </c>
      <c r="F2051" s="48" t="s">
        <v>1197</v>
      </c>
      <c r="G2051" s="48" t="s">
        <v>1198</v>
      </c>
      <c r="H2051" s="47" t="s">
        <v>1199</v>
      </c>
      <c r="I2051" s="47" t="s">
        <v>1200</v>
      </c>
      <c r="J2051" s="47" t="s">
        <v>29</v>
      </c>
    </row>
    <row r="2052" ht="54" customHeight="1" spans="1:10">
      <c r="A2052" s="48" t="s">
        <v>629</v>
      </c>
      <c r="B2052" s="48" t="s">
        <v>3470</v>
      </c>
      <c r="C2052" s="47" t="s">
        <v>1022</v>
      </c>
      <c r="D2052" s="48" t="s">
        <v>957</v>
      </c>
      <c r="E2052" s="48" t="s">
        <v>958</v>
      </c>
      <c r="F2052" s="48" t="s">
        <v>1023</v>
      </c>
      <c r="G2052" s="48" t="s">
        <v>1024</v>
      </c>
      <c r="H2052" s="47" t="s">
        <v>1025</v>
      </c>
      <c r="I2052" s="47" t="s">
        <v>1026</v>
      </c>
      <c r="J2052" s="47" t="s">
        <v>26</v>
      </c>
    </row>
    <row r="2053" ht="54" customHeight="1" spans="1:10">
      <c r="A2053" s="48" t="s">
        <v>629</v>
      </c>
      <c r="B2053" s="48" t="s">
        <v>3471</v>
      </c>
      <c r="C2053" s="47" t="s">
        <v>1137</v>
      </c>
      <c r="D2053" s="48" t="s">
        <v>1138</v>
      </c>
      <c r="E2053" s="48" t="s">
        <v>1139</v>
      </c>
      <c r="F2053" s="48" t="s">
        <v>1140</v>
      </c>
      <c r="G2053" s="48" t="s">
        <v>1141</v>
      </c>
      <c r="H2053" s="47" t="s">
        <v>1142</v>
      </c>
      <c r="I2053" s="47" t="s">
        <v>940</v>
      </c>
      <c r="J2053" s="47" t="s">
        <v>26</v>
      </c>
    </row>
    <row r="2054" ht="54" customHeight="1" spans="1:10">
      <c r="A2054" s="48" t="s">
        <v>629</v>
      </c>
      <c r="B2054" s="48" t="s">
        <v>3472</v>
      </c>
      <c r="C2054" s="47" t="s">
        <v>977</v>
      </c>
      <c r="D2054" s="48" t="s">
        <v>978</v>
      </c>
      <c r="E2054" s="48" t="s">
        <v>979</v>
      </c>
      <c r="F2054" s="48" t="s">
        <v>980</v>
      </c>
      <c r="G2054" s="48" t="s">
        <v>981</v>
      </c>
      <c r="H2054" s="47" t="s">
        <v>982</v>
      </c>
      <c r="I2054" s="47" t="s">
        <v>983</v>
      </c>
      <c r="J2054" s="47" t="s">
        <v>26</v>
      </c>
    </row>
    <row r="2055" ht="54" customHeight="1" spans="1:10">
      <c r="A2055" s="48" t="s">
        <v>629</v>
      </c>
      <c r="B2055" s="48" t="s">
        <v>3473</v>
      </c>
      <c r="C2055" s="47" t="s">
        <v>1211</v>
      </c>
      <c r="D2055" s="48" t="s">
        <v>965</v>
      </c>
      <c r="E2055" s="48" t="s">
        <v>966</v>
      </c>
      <c r="F2055" s="48" t="s">
        <v>1212</v>
      </c>
      <c r="G2055" s="48" t="s">
        <v>1213</v>
      </c>
      <c r="H2055" s="47" t="s">
        <v>1214</v>
      </c>
      <c r="I2055" s="47" t="s">
        <v>940</v>
      </c>
      <c r="J2055" s="47" t="s">
        <v>26</v>
      </c>
    </row>
    <row r="2056" ht="54" customHeight="1" spans="1:10">
      <c r="A2056" s="48" t="s">
        <v>631</v>
      </c>
      <c r="B2056" s="48" t="s">
        <v>3474</v>
      </c>
      <c r="C2056" s="47" t="s">
        <v>934</v>
      </c>
      <c r="D2056" s="48" t="s">
        <v>935</v>
      </c>
      <c r="E2056" s="48" t="s">
        <v>936</v>
      </c>
      <c r="F2056" s="48" t="s">
        <v>937</v>
      </c>
      <c r="G2056" s="48" t="s">
        <v>938</v>
      </c>
      <c r="H2056" s="47" t="s">
        <v>939</v>
      </c>
      <c r="I2056" s="47" t="s">
        <v>940</v>
      </c>
      <c r="J2056" s="47" t="s">
        <v>26</v>
      </c>
    </row>
    <row r="2057" ht="54" customHeight="1" spans="1:10">
      <c r="A2057" s="48" t="s">
        <v>631</v>
      </c>
      <c r="B2057" s="48" t="s">
        <v>3475</v>
      </c>
      <c r="C2057" s="47" t="s">
        <v>1097</v>
      </c>
      <c r="D2057" s="48" t="s">
        <v>1098</v>
      </c>
      <c r="E2057" s="48" t="s">
        <v>1099</v>
      </c>
      <c r="F2057" s="48" t="s">
        <v>1100</v>
      </c>
      <c r="G2057" s="48" t="s">
        <v>1101</v>
      </c>
      <c r="H2057" s="47" t="s">
        <v>1102</v>
      </c>
      <c r="I2057" s="47" t="s">
        <v>1103</v>
      </c>
      <c r="J2057" s="47" t="s">
        <v>26</v>
      </c>
    </row>
    <row r="2058" ht="54" customHeight="1" spans="1:10">
      <c r="A2058" s="48" t="s">
        <v>631</v>
      </c>
      <c r="B2058" s="48" t="s">
        <v>3476</v>
      </c>
      <c r="C2058" s="47" t="s">
        <v>971</v>
      </c>
      <c r="D2058" s="48" t="s">
        <v>965</v>
      </c>
      <c r="E2058" s="48" t="s">
        <v>966</v>
      </c>
      <c r="F2058" s="48" t="s">
        <v>972</v>
      </c>
      <c r="G2058" s="48" t="s">
        <v>973</v>
      </c>
      <c r="H2058" s="47" t="s">
        <v>974</v>
      </c>
      <c r="I2058" s="47" t="s">
        <v>975</v>
      </c>
      <c r="J2058" s="47" t="s">
        <v>26</v>
      </c>
    </row>
    <row r="2059" ht="54" customHeight="1" spans="1:10">
      <c r="A2059" s="48" t="s">
        <v>631</v>
      </c>
      <c r="B2059" s="48" t="s">
        <v>3477</v>
      </c>
      <c r="C2059" s="47" t="s">
        <v>977</v>
      </c>
      <c r="D2059" s="48" t="s">
        <v>978</v>
      </c>
      <c r="E2059" s="48" t="s">
        <v>979</v>
      </c>
      <c r="F2059" s="48" t="s">
        <v>980</v>
      </c>
      <c r="G2059" s="48" t="s">
        <v>981</v>
      </c>
      <c r="H2059" s="47" t="s">
        <v>982</v>
      </c>
      <c r="I2059" s="47" t="s">
        <v>983</v>
      </c>
      <c r="J2059" s="47" t="s">
        <v>26</v>
      </c>
    </row>
    <row r="2060" ht="54" customHeight="1" spans="1:10">
      <c r="A2060" s="48" t="s">
        <v>633</v>
      </c>
      <c r="B2060" s="48" t="s">
        <v>3478</v>
      </c>
      <c r="C2060" s="47" t="s">
        <v>956</v>
      </c>
      <c r="D2060" s="48" t="s">
        <v>957</v>
      </c>
      <c r="E2060" s="48" t="s">
        <v>958</v>
      </c>
      <c r="F2060" s="48" t="s">
        <v>959</v>
      </c>
      <c r="G2060" s="48" t="s">
        <v>960</v>
      </c>
      <c r="H2060" s="47" t="s">
        <v>961</v>
      </c>
      <c r="I2060" s="47" t="s">
        <v>962</v>
      </c>
      <c r="J2060" s="47" t="s">
        <v>29</v>
      </c>
    </row>
    <row r="2061" ht="54" customHeight="1" spans="1:10">
      <c r="A2061" s="48" t="s">
        <v>633</v>
      </c>
      <c r="B2061" s="48" t="s">
        <v>3479</v>
      </c>
      <c r="C2061" s="47" t="s">
        <v>1052</v>
      </c>
      <c r="D2061" s="48" t="s">
        <v>1009</v>
      </c>
      <c r="E2061" s="48" t="s">
        <v>1010</v>
      </c>
      <c r="F2061" s="48" t="s">
        <v>1053</v>
      </c>
      <c r="G2061" s="48" t="s">
        <v>1054</v>
      </c>
      <c r="H2061" s="47" t="s">
        <v>1055</v>
      </c>
      <c r="I2061" s="47" t="s">
        <v>1056</v>
      </c>
      <c r="J2061" s="47" t="s">
        <v>29</v>
      </c>
    </row>
    <row r="2062" ht="54" customHeight="1" spans="1:10">
      <c r="A2062" s="48" t="s">
        <v>633</v>
      </c>
      <c r="B2062" s="48" t="s">
        <v>3480</v>
      </c>
      <c r="C2062" s="47" t="s">
        <v>1097</v>
      </c>
      <c r="D2062" s="48" t="s">
        <v>1098</v>
      </c>
      <c r="E2062" s="48" t="s">
        <v>1099</v>
      </c>
      <c r="F2062" s="48" t="s">
        <v>1100</v>
      </c>
      <c r="G2062" s="48" t="s">
        <v>1101</v>
      </c>
      <c r="H2062" s="47" t="s">
        <v>1102</v>
      </c>
      <c r="I2062" s="47" t="s">
        <v>1103</v>
      </c>
      <c r="J2062" s="47" t="s">
        <v>29</v>
      </c>
    </row>
    <row r="2063" ht="54" customHeight="1" spans="1:10">
      <c r="A2063" s="48" t="s">
        <v>633</v>
      </c>
      <c r="B2063" s="48" t="s">
        <v>3481</v>
      </c>
      <c r="C2063" s="47" t="s">
        <v>1291</v>
      </c>
      <c r="D2063" s="48" t="s">
        <v>965</v>
      </c>
      <c r="E2063" s="48" t="s">
        <v>966</v>
      </c>
      <c r="F2063" s="48" t="s">
        <v>1292</v>
      </c>
      <c r="G2063" s="48" t="s">
        <v>1293</v>
      </c>
      <c r="H2063" s="47" t="s">
        <v>1294</v>
      </c>
      <c r="I2063" s="47" t="s">
        <v>1295</v>
      </c>
      <c r="J2063" s="47" t="s">
        <v>29</v>
      </c>
    </row>
    <row r="2064" ht="54" customHeight="1" spans="1:10">
      <c r="A2064" s="48" t="s">
        <v>633</v>
      </c>
      <c r="B2064" s="48" t="s">
        <v>3482</v>
      </c>
      <c r="C2064" s="47" t="s">
        <v>1245</v>
      </c>
      <c r="D2064" s="48" t="s">
        <v>1171</v>
      </c>
      <c r="E2064" s="48" t="s">
        <v>1172</v>
      </c>
      <c r="F2064" s="48" t="s">
        <v>1246</v>
      </c>
      <c r="G2064" s="48" t="s">
        <v>1247</v>
      </c>
      <c r="H2064" s="47" t="s">
        <v>1248</v>
      </c>
      <c r="I2064" s="47" t="s">
        <v>1176</v>
      </c>
      <c r="J2064" s="47" t="s">
        <v>29</v>
      </c>
    </row>
    <row r="2065" ht="54" customHeight="1" spans="1:10">
      <c r="A2065" s="48" t="s">
        <v>635</v>
      </c>
      <c r="B2065" s="48" t="s">
        <v>3483</v>
      </c>
      <c r="C2065" s="47" t="s">
        <v>1008</v>
      </c>
      <c r="D2065" s="48" t="s">
        <v>1009</v>
      </c>
      <c r="E2065" s="48" t="s">
        <v>1010</v>
      </c>
      <c r="F2065" s="48" t="s">
        <v>1011</v>
      </c>
      <c r="G2065" s="48" t="s">
        <v>1012</v>
      </c>
      <c r="H2065" s="47" t="s">
        <v>1013</v>
      </c>
      <c r="I2065" s="47" t="s">
        <v>1014</v>
      </c>
      <c r="J2065" s="47" t="s">
        <v>26</v>
      </c>
    </row>
    <row r="2066" ht="54" customHeight="1" spans="1:10">
      <c r="A2066" s="48" t="s">
        <v>635</v>
      </c>
      <c r="B2066" s="48" t="s">
        <v>3484</v>
      </c>
      <c r="C2066" s="47" t="s">
        <v>1097</v>
      </c>
      <c r="D2066" s="48" t="s">
        <v>1098</v>
      </c>
      <c r="E2066" s="48" t="s">
        <v>1099</v>
      </c>
      <c r="F2066" s="48" t="s">
        <v>1100</v>
      </c>
      <c r="G2066" s="48" t="s">
        <v>1101</v>
      </c>
      <c r="H2066" s="47" t="s">
        <v>1102</v>
      </c>
      <c r="I2066" s="47" t="s">
        <v>1103</v>
      </c>
      <c r="J2066" s="47" t="s">
        <v>26</v>
      </c>
    </row>
    <row r="2067" ht="54" customHeight="1" spans="1:10">
      <c r="A2067" s="48" t="s">
        <v>635</v>
      </c>
      <c r="B2067" s="48" t="s">
        <v>3485</v>
      </c>
      <c r="C2067" s="47" t="s">
        <v>1111</v>
      </c>
      <c r="D2067" s="48" t="s">
        <v>965</v>
      </c>
      <c r="E2067" s="48" t="s">
        <v>966</v>
      </c>
      <c r="F2067" s="48" t="s">
        <v>1112</v>
      </c>
      <c r="G2067" s="48" t="s">
        <v>1113</v>
      </c>
      <c r="H2067" s="47" t="s">
        <v>1114</v>
      </c>
      <c r="I2067" s="47" t="s">
        <v>1115</v>
      </c>
      <c r="J2067" s="47" t="s">
        <v>26</v>
      </c>
    </row>
    <row r="2068" ht="54" customHeight="1" spans="1:10">
      <c r="A2068" s="48" t="s">
        <v>635</v>
      </c>
      <c r="B2068" s="48" t="s">
        <v>3486</v>
      </c>
      <c r="C2068" s="47" t="s">
        <v>1137</v>
      </c>
      <c r="D2068" s="48" t="s">
        <v>1138</v>
      </c>
      <c r="E2068" s="48" t="s">
        <v>1139</v>
      </c>
      <c r="F2068" s="48" t="s">
        <v>1140</v>
      </c>
      <c r="G2068" s="48" t="s">
        <v>1141</v>
      </c>
      <c r="H2068" s="47" t="s">
        <v>1142</v>
      </c>
      <c r="I2068" s="47" t="s">
        <v>940</v>
      </c>
      <c r="J2068" s="47" t="s">
        <v>26</v>
      </c>
    </row>
    <row r="2069" ht="54" customHeight="1" spans="1:10">
      <c r="A2069" s="48" t="s">
        <v>635</v>
      </c>
      <c r="B2069" s="48" t="s">
        <v>3487</v>
      </c>
      <c r="C2069" s="47" t="s">
        <v>971</v>
      </c>
      <c r="D2069" s="48" t="s">
        <v>965</v>
      </c>
      <c r="E2069" s="48" t="s">
        <v>966</v>
      </c>
      <c r="F2069" s="48" t="s">
        <v>972</v>
      </c>
      <c r="G2069" s="48" t="s">
        <v>973</v>
      </c>
      <c r="H2069" s="47" t="s">
        <v>974</v>
      </c>
      <c r="I2069" s="47" t="s">
        <v>975</v>
      </c>
      <c r="J2069" s="47" t="s">
        <v>26</v>
      </c>
    </row>
    <row r="2070" ht="54" customHeight="1" spans="1:10">
      <c r="A2070" s="48" t="s">
        <v>635</v>
      </c>
      <c r="B2070" s="48" t="s">
        <v>3488</v>
      </c>
      <c r="C2070" s="47" t="s">
        <v>1291</v>
      </c>
      <c r="D2070" s="48" t="s">
        <v>965</v>
      </c>
      <c r="E2070" s="48" t="s">
        <v>966</v>
      </c>
      <c r="F2070" s="48" t="s">
        <v>1292</v>
      </c>
      <c r="G2070" s="48" t="s">
        <v>1293</v>
      </c>
      <c r="H2070" s="47" t="s">
        <v>1294</v>
      </c>
      <c r="I2070" s="47" t="s">
        <v>1295</v>
      </c>
      <c r="J2070" s="47" t="s">
        <v>26</v>
      </c>
    </row>
    <row r="2071" ht="54" customHeight="1" spans="1:10">
      <c r="A2071" s="48" t="s">
        <v>635</v>
      </c>
      <c r="B2071" s="48" t="s">
        <v>3489</v>
      </c>
      <c r="C2071" s="47" t="s">
        <v>1211</v>
      </c>
      <c r="D2071" s="48" t="s">
        <v>965</v>
      </c>
      <c r="E2071" s="48" t="s">
        <v>966</v>
      </c>
      <c r="F2071" s="48" t="s">
        <v>1212</v>
      </c>
      <c r="G2071" s="48" t="s">
        <v>1213</v>
      </c>
      <c r="H2071" s="47" t="s">
        <v>1214</v>
      </c>
      <c r="I2071" s="47" t="s">
        <v>940</v>
      </c>
      <c r="J2071" s="47" t="s">
        <v>26</v>
      </c>
    </row>
    <row r="2072" ht="54" customHeight="1" spans="1:10">
      <c r="A2072" s="48" t="s">
        <v>635</v>
      </c>
      <c r="B2072" s="48" t="s">
        <v>3490</v>
      </c>
      <c r="C2072" s="47" t="s">
        <v>1170</v>
      </c>
      <c r="D2072" s="48" t="s">
        <v>1171</v>
      </c>
      <c r="E2072" s="48" t="s">
        <v>1172</v>
      </c>
      <c r="F2072" s="48" t="s">
        <v>1173</v>
      </c>
      <c r="G2072" s="48" t="s">
        <v>1174</v>
      </c>
      <c r="H2072" s="47" t="s">
        <v>1175</v>
      </c>
      <c r="I2072" s="47" t="s">
        <v>1176</v>
      </c>
      <c r="J2072" s="47" t="s">
        <v>26</v>
      </c>
    </row>
    <row r="2073" ht="54" customHeight="1" spans="1:10">
      <c r="A2073" s="48" t="s">
        <v>637</v>
      </c>
      <c r="B2073" s="48" t="s">
        <v>3491</v>
      </c>
      <c r="C2073" s="47" t="s">
        <v>1601</v>
      </c>
      <c r="D2073" s="48" t="s">
        <v>1184</v>
      </c>
      <c r="E2073" s="48" t="s">
        <v>1185</v>
      </c>
      <c r="F2073" s="48" t="s">
        <v>1602</v>
      </c>
      <c r="G2073" s="48" t="s">
        <v>1603</v>
      </c>
      <c r="H2073" s="47" t="s">
        <v>1604</v>
      </c>
      <c r="I2073" s="47" t="s">
        <v>1605</v>
      </c>
      <c r="J2073" s="47" t="s">
        <v>26</v>
      </c>
    </row>
    <row r="2074" ht="54" customHeight="1" spans="1:10">
      <c r="A2074" s="48" t="s">
        <v>637</v>
      </c>
      <c r="B2074" s="48" t="s">
        <v>3492</v>
      </c>
      <c r="C2074" s="47" t="s">
        <v>1036</v>
      </c>
      <c r="D2074" s="48" t="s">
        <v>1037</v>
      </c>
      <c r="E2074" s="48" t="s">
        <v>1038</v>
      </c>
      <c r="F2074" s="48" t="s">
        <v>1039</v>
      </c>
      <c r="G2074" s="48" t="s">
        <v>1040</v>
      </c>
      <c r="H2074" s="47" t="s">
        <v>1041</v>
      </c>
      <c r="I2074" s="47" t="s">
        <v>1042</v>
      </c>
      <c r="J2074" s="47" t="s">
        <v>26</v>
      </c>
    </row>
    <row r="2075" ht="54" customHeight="1" spans="1:10">
      <c r="A2075" s="48" t="s">
        <v>639</v>
      </c>
      <c r="B2075" s="48" t="s">
        <v>3493</v>
      </c>
      <c r="C2075" s="47" t="s">
        <v>1421</v>
      </c>
      <c r="D2075" s="48" t="s">
        <v>1422</v>
      </c>
      <c r="E2075" s="48" t="s">
        <v>1423</v>
      </c>
      <c r="F2075" s="48" t="s">
        <v>1424</v>
      </c>
      <c r="G2075" s="48" t="s">
        <v>1423</v>
      </c>
      <c r="H2075" s="47" t="s">
        <v>1425</v>
      </c>
      <c r="I2075" s="47" t="s">
        <v>1426</v>
      </c>
      <c r="J2075" s="47" t="s">
        <v>26</v>
      </c>
    </row>
    <row r="2076" ht="54" customHeight="1" spans="1:10">
      <c r="A2076" s="48" t="s">
        <v>639</v>
      </c>
      <c r="B2076" s="48" t="s">
        <v>3494</v>
      </c>
      <c r="C2076" s="47" t="s">
        <v>1016</v>
      </c>
      <c r="D2076" s="48" t="s">
        <v>935</v>
      </c>
      <c r="E2076" s="48" t="s">
        <v>936</v>
      </c>
      <c r="F2076" s="48" t="s">
        <v>1017</v>
      </c>
      <c r="G2076" s="48" t="s">
        <v>1018</v>
      </c>
      <c r="H2076" s="47" t="s">
        <v>1019</v>
      </c>
      <c r="I2076" s="47" t="s">
        <v>1020</v>
      </c>
      <c r="J2076" s="47" t="s">
        <v>26</v>
      </c>
    </row>
    <row r="2077" ht="54" customHeight="1" spans="1:10">
      <c r="A2077" s="48" t="s">
        <v>639</v>
      </c>
      <c r="B2077" s="48" t="s">
        <v>3495</v>
      </c>
      <c r="C2077" s="47" t="s">
        <v>1105</v>
      </c>
      <c r="D2077" s="48" t="s">
        <v>1009</v>
      </c>
      <c r="E2077" s="48" t="s">
        <v>1010</v>
      </c>
      <c r="F2077" s="48" t="s">
        <v>1106</v>
      </c>
      <c r="G2077" s="48" t="s">
        <v>1107</v>
      </c>
      <c r="H2077" s="47" t="s">
        <v>1108</v>
      </c>
      <c r="I2077" s="47" t="s">
        <v>1109</v>
      </c>
      <c r="J2077" s="47" t="s">
        <v>26</v>
      </c>
    </row>
    <row r="2078" ht="54" customHeight="1" spans="1:10">
      <c r="A2078" s="48" t="s">
        <v>639</v>
      </c>
      <c r="B2078" s="48" t="s">
        <v>3496</v>
      </c>
      <c r="C2078" s="47" t="s">
        <v>1044</v>
      </c>
      <c r="D2078" s="48" t="s">
        <v>1045</v>
      </c>
      <c r="E2078" s="48" t="s">
        <v>1046</v>
      </c>
      <c r="F2078" s="48" t="s">
        <v>1047</v>
      </c>
      <c r="G2078" s="48" t="s">
        <v>1048</v>
      </c>
      <c r="H2078" s="47" t="s">
        <v>1049</v>
      </c>
      <c r="I2078" s="47" t="s">
        <v>1050</v>
      </c>
      <c r="J2078" s="47" t="s">
        <v>26</v>
      </c>
    </row>
    <row r="2079" ht="54" customHeight="1" spans="1:10">
      <c r="A2079" s="48" t="s">
        <v>639</v>
      </c>
      <c r="B2079" s="48" t="s">
        <v>3497</v>
      </c>
      <c r="C2079" s="47" t="s">
        <v>1097</v>
      </c>
      <c r="D2079" s="48" t="s">
        <v>1098</v>
      </c>
      <c r="E2079" s="48" t="s">
        <v>1099</v>
      </c>
      <c r="F2079" s="48" t="s">
        <v>1100</v>
      </c>
      <c r="G2079" s="48" t="s">
        <v>1101</v>
      </c>
      <c r="H2079" s="47" t="s">
        <v>1102</v>
      </c>
      <c r="I2079" s="47" t="s">
        <v>1103</v>
      </c>
      <c r="J2079" s="47" t="s">
        <v>26</v>
      </c>
    </row>
    <row r="2080" ht="54" customHeight="1" spans="1:10">
      <c r="A2080" s="48" t="s">
        <v>639</v>
      </c>
      <c r="B2080" s="48" t="s">
        <v>3498</v>
      </c>
      <c r="C2080" s="47" t="s">
        <v>1277</v>
      </c>
      <c r="D2080" s="48" t="s">
        <v>1278</v>
      </c>
      <c r="E2080" s="48" t="s">
        <v>1279</v>
      </c>
      <c r="F2080" s="48" t="s">
        <v>1280</v>
      </c>
      <c r="G2080" s="48" t="s">
        <v>1281</v>
      </c>
      <c r="H2080" s="47" t="s">
        <v>1282</v>
      </c>
      <c r="I2080" s="47" t="s">
        <v>1283</v>
      </c>
      <c r="J2080" s="47" t="s">
        <v>26</v>
      </c>
    </row>
    <row r="2081" ht="54" customHeight="1" spans="1:10">
      <c r="A2081" s="48" t="s">
        <v>639</v>
      </c>
      <c r="B2081" s="48" t="s">
        <v>3499</v>
      </c>
      <c r="C2081" s="47" t="s">
        <v>1666</v>
      </c>
      <c r="D2081" s="48" t="s">
        <v>1082</v>
      </c>
      <c r="E2081" s="48" t="s">
        <v>1083</v>
      </c>
      <c r="F2081" s="48" t="s">
        <v>1667</v>
      </c>
      <c r="G2081" s="48" t="s">
        <v>1668</v>
      </c>
      <c r="H2081" s="47" t="s">
        <v>1669</v>
      </c>
      <c r="I2081" s="47" t="s">
        <v>1670</v>
      </c>
      <c r="J2081" s="47" t="s">
        <v>26</v>
      </c>
    </row>
    <row r="2082" ht="54" customHeight="1" spans="1:10">
      <c r="A2082" s="48" t="s">
        <v>639</v>
      </c>
      <c r="B2082" s="48" t="s">
        <v>3500</v>
      </c>
      <c r="C2082" s="47" t="s">
        <v>1066</v>
      </c>
      <c r="D2082" s="48" t="s">
        <v>935</v>
      </c>
      <c r="E2082" s="48" t="s">
        <v>936</v>
      </c>
      <c r="F2082" s="48" t="s">
        <v>1067</v>
      </c>
      <c r="G2082" s="48" t="s">
        <v>1068</v>
      </c>
      <c r="H2082" s="47" t="s">
        <v>1069</v>
      </c>
      <c r="I2082" s="47" t="s">
        <v>940</v>
      </c>
      <c r="J2082" s="47" t="s">
        <v>26</v>
      </c>
    </row>
    <row r="2083" ht="54" customHeight="1" spans="1:10">
      <c r="A2083" s="48" t="s">
        <v>639</v>
      </c>
      <c r="B2083" s="48" t="s">
        <v>3501</v>
      </c>
      <c r="C2083" s="47" t="s">
        <v>1638</v>
      </c>
      <c r="D2083" s="48" t="s">
        <v>1118</v>
      </c>
      <c r="E2083" s="48" t="s">
        <v>1119</v>
      </c>
      <c r="F2083" s="48" t="s">
        <v>1639</v>
      </c>
      <c r="G2083" s="48" t="s">
        <v>1640</v>
      </c>
      <c r="H2083" s="47" t="s">
        <v>1641</v>
      </c>
      <c r="I2083" s="47" t="s">
        <v>1642</v>
      </c>
      <c r="J2083" s="47" t="s">
        <v>26</v>
      </c>
    </row>
    <row r="2084" ht="54" customHeight="1" spans="1:10">
      <c r="A2084" s="48" t="s">
        <v>639</v>
      </c>
      <c r="B2084" s="48" t="s">
        <v>3502</v>
      </c>
      <c r="C2084" s="47" t="s">
        <v>1137</v>
      </c>
      <c r="D2084" s="48" t="s">
        <v>1138</v>
      </c>
      <c r="E2084" s="48" t="s">
        <v>1139</v>
      </c>
      <c r="F2084" s="48" t="s">
        <v>1140</v>
      </c>
      <c r="G2084" s="48" t="s">
        <v>1141</v>
      </c>
      <c r="H2084" s="47" t="s">
        <v>1142</v>
      </c>
      <c r="I2084" s="47" t="s">
        <v>940</v>
      </c>
      <c r="J2084" s="47" t="s">
        <v>26</v>
      </c>
    </row>
    <row r="2085" ht="54" customHeight="1" spans="1:10">
      <c r="A2085" s="48" t="s">
        <v>639</v>
      </c>
      <c r="B2085" s="48" t="s">
        <v>3503</v>
      </c>
      <c r="C2085" s="47" t="s">
        <v>977</v>
      </c>
      <c r="D2085" s="48" t="s">
        <v>978</v>
      </c>
      <c r="E2085" s="48" t="s">
        <v>979</v>
      </c>
      <c r="F2085" s="48" t="s">
        <v>980</v>
      </c>
      <c r="G2085" s="48" t="s">
        <v>981</v>
      </c>
      <c r="H2085" s="47" t="s">
        <v>982</v>
      </c>
      <c r="I2085" s="47" t="s">
        <v>983</v>
      </c>
      <c r="J2085" s="47" t="s">
        <v>26</v>
      </c>
    </row>
    <row r="2086" ht="54" customHeight="1" spans="1:10">
      <c r="A2086" s="48" t="s">
        <v>639</v>
      </c>
      <c r="B2086" s="48" t="s">
        <v>3504</v>
      </c>
      <c r="C2086" s="47" t="s">
        <v>1313</v>
      </c>
      <c r="D2086" s="48" t="s">
        <v>1037</v>
      </c>
      <c r="E2086" s="48" t="s">
        <v>1038</v>
      </c>
      <c r="F2086" s="48" t="s">
        <v>1314</v>
      </c>
      <c r="G2086" s="48" t="s">
        <v>1315</v>
      </c>
      <c r="H2086" s="47" t="s">
        <v>1316</v>
      </c>
      <c r="I2086" s="47" t="s">
        <v>1317</v>
      </c>
      <c r="J2086" s="47" t="s">
        <v>26</v>
      </c>
    </row>
    <row r="2087" ht="54" customHeight="1" spans="1:10">
      <c r="A2087" s="48" t="s">
        <v>641</v>
      </c>
      <c r="B2087" s="48" t="s">
        <v>3505</v>
      </c>
      <c r="C2087" s="47" t="s">
        <v>934</v>
      </c>
      <c r="D2087" s="48" t="s">
        <v>935</v>
      </c>
      <c r="E2087" s="48" t="s">
        <v>936</v>
      </c>
      <c r="F2087" s="48" t="s">
        <v>937</v>
      </c>
      <c r="G2087" s="48" t="s">
        <v>938</v>
      </c>
      <c r="H2087" s="47" t="s">
        <v>939</v>
      </c>
      <c r="I2087" s="47" t="s">
        <v>940</v>
      </c>
      <c r="J2087" s="47" t="s">
        <v>26</v>
      </c>
    </row>
    <row r="2088" ht="54" customHeight="1" spans="1:10">
      <c r="A2088" s="48" t="s">
        <v>641</v>
      </c>
      <c r="B2088" s="48" t="s">
        <v>3506</v>
      </c>
      <c r="C2088" s="47" t="s">
        <v>1022</v>
      </c>
      <c r="D2088" s="48" t="s">
        <v>957</v>
      </c>
      <c r="E2088" s="48" t="s">
        <v>958</v>
      </c>
      <c r="F2088" s="48" t="s">
        <v>1023</v>
      </c>
      <c r="G2088" s="48" t="s">
        <v>1024</v>
      </c>
      <c r="H2088" s="47" t="s">
        <v>1025</v>
      </c>
      <c r="I2088" s="47" t="s">
        <v>1026</v>
      </c>
      <c r="J2088" s="47" t="s">
        <v>26</v>
      </c>
    </row>
    <row r="2089" ht="54" customHeight="1" spans="1:10">
      <c r="A2089" s="48" t="s">
        <v>641</v>
      </c>
      <c r="B2089" s="48" t="s">
        <v>3507</v>
      </c>
      <c r="C2089" s="47" t="s">
        <v>950</v>
      </c>
      <c r="D2089" s="48" t="s">
        <v>935</v>
      </c>
      <c r="E2089" s="48" t="s">
        <v>936</v>
      </c>
      <c r="F2089" s="48" t="s">
        <v>951</v>
      </c>
      <c r="G2089" s="48" t="s">
        <v>952</v>
      </c>
      <c r="H2089" s="47" t="s">
        <v>953</v>
      </c>
      <c r="I2089" s="47" t="s">
        <v>954</v>
      </c>
      <c r="J2089" s="47" t="s">
        <v>26</v>
      </c>
    </row>
    <row r="2090" ht="54" customHeight="1" spans="1:10">
      <c r="A2090" s="48" t="s">
        <v>641</v>
      </c>
      <c r="B2090" s="48" t="s">
        <v>3508</v>
      </c>
      <c r="C2090" s="47" t="s">
        <v>1052</v>
      </c>
      <c r="D2090" s="48" t="s">
        <v>1009</v>
      </c>
      <c r="E2090" s="48" t="s">
        <v>1010</v>
      </c>
      <c r="F2090" s="48" t="s">
        <v>1053</v>
      </c>
      <c r="G2090" s="48" t="s">
        <v>1054</v>
      </c>
      <c r="H2090" s="47" t="s">
        <v>1055</v>
      </c>
      <c r="I2090" s="47" t="s">
        <v>1056</v>
      </c>
      <c r="J2090" s="47" t="s">
        <v>26</v>
      </c>
    </row>
    <row r="2091" ht="54" customHeight="1" spans="1:10">
      <c r="A2091" s="48" t="s">
        <v>641</v>
      </c>
      <c r="B2091" s="48" t="s">
        <v>3509</v>
      </c>
      <c r="C2091" s="47" t="s">
        <v>1291</v>
      </c>
      <c r="D2091" s="48" t="s">
        <v>965</v>
      </c>
      <c r="E2091" s="48" t="s">
        <v>966</v>
      </c>
      <c r="F2091" s="48" t="s">
        <v>1292</v>
      </c>
      <c r="G2091" s="48" t="s">
        <v>1293</v>
      </c>
      <c r="H2091" s="47" t="s">
        <v>1294</v>
      </c>
      <c r="I2091" s="47" t="s">
        <v>1295</v>
      </c>
      <c r="J2091" s="47" t="s">
        <v>26</v>
      </c>
    </row>
    <row r="2092" ht="54" customHeight="1" spans="1:10">
      <c r="A2092" s="48" t="s">
        <v>641</v>
      </c>
      <c r="B2092" s="48" t="s">
        <v>3510</v>
      </c>
      <c r="C2092" s="47" t="s">
        <v>1170</v>
      </c>
      <c r="D2092" s="48" t="s">
        <v>1171</v>
      </c>
      <c r="E2092" s="48" t="s">
        <v>1172</v>
      </c>
      <c r="F2092" s="48" t="s">
        <v>1173</v>
      </c>
      <c r="G2092" s="48" t="s">
        <v>1174</v>
      </c>
      <c r="H2092" s="47" t="s">
        <v>1175</v>
      </c>
      <c r="I2092" s="47" t="s">
        <v>1176</v>
      </c>
      <c r="J2092" s="47" t="s">
        <v>26</v>
      </c>
    </row>
    <row r="2093" ht="54" customHeight="1" spans="1:10">
      <c r="A2093" s="48" t="s">
        <v>643</v>
      </c>
      <c r="B2093" s="48" t="s">
        <v>3511</v>
      </c>
      <c r="C2093" s="47" t="s">
        <v>1008</v>
      </c>
      <c r="D2093" s="48" t="s">
        <v>1009</v>
      </c>
      <c r="E2093" s="48" t="s">
        <v>1010</v>
      </c>
      <c r="F2093" s="48" t="s">
        <v>1011</v>
      </c>
      <c r="G2093" s="48" t="s">
        <v>1012</v>
      </c>
      <c r="H2093" s="47" t="s">
        <v>1013</v>
      </c>
      <c r="I2093" s="47" t="s">
        <v>1014</v>
      </c>
      <c r="J2093" s="47" t="s">
        <v>26</v>
      </c>
    </row>
    <row r="2094" ht="54" customHeight="1" spans="1:10">
      <c r="A2094" s="48" t="s">
        <v>643</v>
      </c>
      <c r="B2094" s="48" t="s">
        <v>3512</v>
      </c>
      <c r="C2094" s="47" t="s">
        <v>1022</v>
      </c>
      <c r="D2094" s="48" t="s">
        <v>957</v>
      </c>
      <c r="E2094" s="48" t="s">
        <v>958</v>
      </c>
      <c r="F2094" s="48" t="s">
        <v>1023</v>
      </c>
      <c r="G2094" s="48" t="s">
        <v>1024</v>
      </c>
      <c r="H2094" s="47" t="s">
        <v>1025</v>
      </c>
      <c r="I2094" s="47" t="s">
        <v>1026</v>
      </c>
      <c r="J2094" s="47" t="s">
        <v>26</v>
      </c>
    </row>
    <row r="2095" ht="54" customHeight="1" spans="1:10">
      <c r="A2095" s="48" t="s">
        <v>643</v>
      </c>
      <c r="B2095" s="48" t="s">
        <v>3513</v>
      </c>
      <c r="C2095" s="47" t="s">
        <v>1089</v>
      </c>
      <c r="D2095" s="48" t="s">
        <v>957</v>
      </c>
      <c r="E2095" s="48" t="s">
        <v>958</v>
      </c>
      <c r="F2095" s="48" t="s">
        <v>1090</v>
      </c>
      <c r="G2095" s="48" t="s">
        <v>1091</v>
      </c>
      <c r="H2095" s="47" t="s">
        <v>1092</v>
      </c>
      <c r="I2095" s="47" t="s">
        <v>1093</v>
      </c>
      <c r="J2095" s="47" t="s">
        <v>26</v>
      </c>
    </row>
    <row r="2096" ht="54" customHeight="1" spans="1:10">
      <c r="A2096" s="48" t="s">
        <v>643</v>
      </c>
      <c r="B2096" s="48" t="s">
        <v>3514</v>
      </c>
      <c r="C2096" s="47" t="s">
        <v>1111</v>
      </c>
      <c r="D2096" s="48" t="s">
        <v>965</v>
      </c>
      <c r="E2096" s="48" t="s">
        <v>966</v>
      </c>
      <c r="F2096" s="48" t="s">
        <v>1112</v>
      </c>
      <c r="G2096" s="48" t="s">
        <v>1113</v>
      </c>
      <c r="H2096" s="47" t="s">
        <v>1114</v>
      </c>
      <c r="I2096" s="47" t="s">
        <v>1115</v>
      </c>
      <c r="J2096" s="47" t="s">
        <v>26</v>
      </c>
    </row>
    <row r="2097" ht="54" customHeight="1" spans="1:10">
      <c r="A2097" s="48" t="s">
        <v>643</v>
      </c>
      <c r="B2097" s="48" t="s">
        <v>3515</v>
      </c>
      <c r="C2097" s="47" t="s">
        <v>971</v>
      </c>
      <c r="D2097" s="48" t="s">
        <v>965</v>
      </c>
      <c r="E2097" s="48" t="s">
        <v>966</v>
      </c>
      <c r="F2097" s="48" t="s">
        <v>972</v>
      </c>
      <c r="G2097" s="48" t="s">
        <v>973</v>
      </c>
      <c r="H2097" s="47" t="s">
        <v>974</v>
      </c>
      <c r="I2097" s="47" t="s">
        <v>975</v>
      </c>
      <c r="J2097" s="47" t="s">
        <v>26</v>
      </c>
    </row>
    <row r="2098" ht="54" customHeight="1" spans="1:10">
      <c r="A2098" s="48" t="s">
        <v>643</v>
      </c>
      <c r="B2098" s="48" t="s">
        <v>3516</v>
      </c>
      <c r="C2098" s="47" t="s">
        <v>1291</v>
      </c>
      <c r="D2098" s="48" t="s">
        <v>965</v>
      </c>
      <c r="E2098" s="48" t="s">
        <v>966</v>
      </c>
      <c r="F2098" s="48" t="s">
        <v>1292</v>
      </c>
      <c r="G2098" s="48" t="s">
        <v>1293</v>
      </c>
      <c r="H2098" s="47" t="s">
        <v>1294</v>
      </c>
      <c r="I2098" s="47" t="s">
        <v>1295</v>
      </c>
      <c r="J2098" s="47" t="s">
        <v>26</v>
      </c>
    </row>
    <row r="2099" ht="54" customHeight="1" spans="1:10">
      <c r="A2099" s="48" t="s">
        <v>643</v>
      </c>
      <c r="B2099" s="48" t="s">
        <v>3517</v>
      </c>
      <c r="C2099" s="47" t="s">
        <v>1356</v>
      </c>
      <c r="D2099" s="48" t="s">
        <v>1082</v>
      </c>
      <c r="E2099" s="48" t="s">
        <v>1083</v>
      </c>
      <c r="F2099" s="48" t="s">
        <v>1357</v>
      </c>
      <c r="G2099" s="48" t="s">
        <v>1358</v>
      </c>
      <c r="H2099" s="47" t="s">
        <v>1359</v>
      </c>
      <c r="I2099" s="47" t="s">
        <v>1360</v>
      </c>
      <c r="J2099" s="47" t="s">
        <v>26</v>
      </c>
    </row>
    <row r="2100" ht="54" customHeight="1" spans="1:10">
      <c r="A2100" s="48" t="s">
        <v>643</v>
      </c>
      <c r="B2100" s="48" t="s">
        <v>3518</v>
      </c>
      <c r="C2100" s="47" t="s">
        <v>1205</v>
      </c>
      <c r="D2100" s="48" t="s">
        <v>978</v>
      </c>
      <c r="E2100" s="48" t="s">
        <v>979</v>
      </c>
      <c r="F2100" s="48" t="s">
        <v>1206</v>
      </c>
      <c r="G2100" s="48" t="s">
        <v>1207</v>
      </c>
      <c r="H2100" s="47" t="s">
        <v>1208</v>
      </c>
      <c r="I2100" s="47" t="s">
        <v>1209</v>
      </c>
      <c r="J2100" s="47" t="s">
        <v>26</v>
      </c>
    </row>
    <row r="2101" ht="54" customHeight="1" spans="1:10">
      <c r="A2101" s="48" t="s">
        <v>645</v>
      </c>
      <c r="B2101" s="48" t="s">
        <v>3519</v>
      </c>
      <c r="C2101" s="47" t="s">
        <v>1089</v>
      </c>
      <c r="D2101" s="48" t="s">
        <v>957</v>
      </c>
      <c r="E2101" s="48" t="s">
        <v>958</v>
      </c>
      <c r="F2101" s="48" t="s">
        <v>1090</v>
      </c>
      <c r="G2101" s="48" t="s">
        <v>1091</v>
      </c>
      <c r="H2101" s="47" t="s">
        <v>1092</v>
      </c>
      <c r="I2101" s="47" t="s">
        <v>1093</v>
      </c>
      <c r="J2101" s="47" t="s">
        <v>29</v>
      </c>
    </row>
    <row r="2102" ht="54" customHeight="1" spans="1:10">
      <c r="A2102" s="48" t="s">
        <v>645</v>
      </c>
      <c r="B2102" s="48" t="s">
        <v>3520</v>
      </c>
      <c r="C2102" s="47" t="s">
        <v>1226</v>
      </c>
      <c r="D2102" s="48" t="s">
        <v>965</v>
      </c>
      <c r="E2102" s="48" t="s">
        <v>966</v>
      </c>
      <c r="F2102" s="48" t="s">
        <v>1227</v>
      </c>
      <c r="G2102" s="48" t="s">
        <v>1228</v>
      </c>
      <c r="H2102" s="47" t="s">
        <v>1229</v>
      </c>
      <c r="I2102" s="47" t="s">
        <v>940</v>
      </c>
      <c r="J2102" s="47" t="s">
        <v>29</v>
      </c>
    </row>
    <row r="2103" ht="54" customHeight="1" spans="1:10">
      <c r="A2103" s="48" t="s">
        <v>645</v>
      </c>
      <c r="B2103" s="48" t="s">
        <v>3521</v>
      </c>
      <c r="C2103" s="47" t="s">
        <v>1131</v>
      </c>
      <c r="D2103" s="48" t="s">
        <v>993</v>
      </c>
      <c r="E2103" s="48" t="s">
        <v>994</v>
      </c>
      <c r="F2103" s="48" t="s">
        <v>1132</v>
      </c>
      <c r="G2103" s="48" t="s">
        <v>1133</v>
      </c>
      <c r="H2103" s="47" t="s">
        <v>1134</v>
      </c>
      <c r="I2103" s="47" t="s">
        <v>1135</v>
      </c>
      <c r="J2103" s="47" t="s">
        <v>29</v>
      </c>
    </row>
    <row r="2104" ht="54" customHeight="1" spans="1:10">
      <c r="A2104" s="48" t="s">
        <v>645</v>
      </c>
      <c r="B2104" s="48" t="s">
        <v>3522</v>
      </c>
      <c r="C2104" s="47" t="s">
        <v>2004</v>
      </c>
      <c r="D2104" s="48" t="s">
        <v>1171</v>
      </c>
      <c r="E2104" s="48" t="s">
        <v>1172</v>
      </c>
      <c r="F2104" s="48" t="s">
        <v>2005</v>
      </c>
      <c r="G2104" s="48" t="s">
        <v>2006</v>
      </c>
      <c r="H2104" s="47" t="s">
        <v>2007</v>
      </c>
      <c r="I2104" s="47" t="s">
        <v>1176</v>
      </c>
      <c r="J2104" s="47" t="s">
        <v>29</v>
      </c>
    </row>
    <row r="2105" ht="54" customHeight="1" spans="1:10">
      <c r="A2105" s="48" t="s">
        <v>647</v>
      </c>
      <c r="B2105" s="48" t="s">
        <v>3523</v>
      </c>
      <c r="C2105" s="47" t="s">
        <v>1089</v>
      </c>
      <c r="D2105" s="48" t="s">
        <v>957</v>
      </c>
      <c r="E2105" s="48" t="s">
        <v>958</v>
      </c>
      <c r="F2105" s="48" t="s">
        <v>1090</v>
      </c>
      <c r="G2105" s="48" t="s">
        <v>1091</v>
      </c>
      <c r="H2105" s="47" t="s">
        <v>1092</v>
      </c>
      <c r="I2105" s="47" t="s">
        <v>1093</v>
      </c>
      <c r="J2105" s="47" t="s">
        <v>26</v>
      </c>
    </row>
    <row r="2106" ht="54" customHeight="1" spans="1:10">
      <c r="A2106" s="48" t="s">
        <v>647</v>
      </c>
      <c r="B2106" s="48" t="s">
        <v>3524</v>
      </c>
      <c r="C2106" s="47" t="s">
        <v>1145</v>
      </c>
      <c r="D2106" s="48" t="s">
        <v>1146</v>
      </c>
      <c r="E2106" s="48" t="s">
        <v>1147</v>
      </c>
      <c r="F2106" s="48" t="s">
        <v>1148</v>
      </c>
      <c r="G2106" s="48" t="s">
        <v>1149</v>
      </c>
      <c r="H2106" s="47" t="s">
        <v>1150</v>
      </c>
      <c r="I2106" s="47" t="s">
        <v>1151</v>
      </c>
      <c r="J2106" s="47" t="s">
        <v>26</v>
      </c>
    </row>
    <row r="2107" ht="54" customHeight="1" spans="1:10">
      <c r="A2107" s="48" t="s">
        <v>647</v>
      </c>
      <c r="B2107" s="48" t="s">
        <v>3525</v>
      </c>
      <c r="C2107" s="47" t="s">
        <v>1196</v>
      </c>
      <c r="D2107" s="48" t="s">
        <v>1118</v>
      </c>
      <c r="E2107" s="48" t="s">
        <v>1119</v>
      </c>
      <c r="F2107" s="48" t="s">
        <v>1197</v>
      </c>
      <c r="G2107" s="48" t="s">
        <v>1198</v>
      </c>
      <c r="H2107" s="47" t="s">
        <v>1199</v>
      </c>
      <c r="I2107" s="47" t="s">
        <v>1200</v>
      </c>
      <c r="J2107" s="47" t="s">
        <v>26</v>
      </c>
    </row>
    <row r="2108" ht="54" customHeight="1" spans="1:10">
      <c r="A2108" s="48" t="s">
        <v>649</v>
      </c>
      <c r="B2108" s="48" t="s">
        <v>3526</v>
      </c>
      <c r="C2108" s="47" t="s">
        <v>1421</v>
      </c>
      <c r="D2108" s="48" t="s">
        <v>1422</v>
      </c>
      <c r="E2108" s="48" t="s">
        <v>1423</v>
      </c>
      <c r="F2108" s="48" t="s">
        <v>1424</v>
      </c>
      <c r="G2108" s="48" t="s">
        <v>1423</v>
      </c>
      <c r="H2108" s="47" t="s">
        <v>1425</v>
      </c>
      <c r="I2108" s="47" t="s">
        <v>1426</v>
      </c>
      <c r="J2108" s="47" t="s">
        <v>26</v>
      </c>
    </row>
    <row r="2109" ht="54" customHeight="1" spans="1:10">
      <c r="A2109" s="48" t="s">
        <v>649</v>
      </c>
      <c r="B2109" s="48" t="s">
        <v>3527</v>
      </c>
      <c r="C2109" s="47" t="s">
        <v>1480</v>
      </c>
      <c r="D2109" s="48" t="s">
        <v>1001</v>
      </c>
      <c r="E2109" s="48" t="s">
        <v>1002</v>
      </c>
      <c r="F2109" s="48" t="s">
        <v>1481</v>
      </c>
      <c r="G2109" s="48" t="s">
        <v>1482</v>
      </c>
      <c r="H2109" s="47" t="s">
        <v>1483</v>
      </c>
      <c r="I2109" s="47" t="s">
        <v>1484</v>
      </c>
      <c r="J2109" s="47" t="s">
        <v>26</v>
      </c>
    </row>
    <row r="2110" ht="54" customHeight="1" spans="1:10">
      <c r="A2110" s="48" t="s">
        <v>649</v>
      </c>
      <c r="B2110" s="48" t="s">
        <v>3528</v>
      </c>
      <c r="C2110" s="47" t="s">
        <v>1081</v>
      </c>
      <c r="D2110" s="48" t="s">
        <v>1082</v>
      </c>
      <c r="E2110" s="48" t="s">
        <v>1083</v>
      </c>
      <c r="F2110" s="48" t="s">
        <v>1084</v>
      </c>
      <c r="G2110" s="48" t="s">
        <v>1085</v>
      </c>
      <c r="H2110" s="47" t="s">
        <v>1086</v>
      </c>
      <c r="I2110" s="47" t="s">
        <v>1087</v>
      </c>
      <c r="J2110" s="47" t="s">
        <v>26</v>
      </c>
    </row>
    <row r="2111" ht="54" customHeight="1" spans="1:10">
      <c r="A2111" s="48" t="s">
        <v>649</v>
      </c>
      <c r="B2111" s="48" t="s">
        <v>3529</v>
      </c>
      <c r="C2111" s="47" t="s">
        <v>1111</v>
      </c>
      <c r="D2111" s="48" t="s">
        <v>965</v>
      </c>
      <c r="E2111" s="48" t="s">
        <v>966</v>
      </c>
      <c r="F2111" s="48" t="s">
        <v>1112</v>
      </c>
      <c r="G2111" s="48" t="s">
        <v>1113</v>
      </c>
      <c r="H2111" s="47" t="s">
        <v>1114</v>
      </c>
      <c r="I2111" s="47" t="s">
        <v>1115</v>
      </c>
      <c r="J2111" s="47" t="s">
        <v>26</v>
      </c>
    </row>
    <row r="2112" ht="54" customHeight="1" spans="1:10">
      <c r="A2112" s="48" t="s">
        <v>649</v>
      </c>
      <c r="B2112" s="48" t="s">
        <v>3530</v>
      </c>
      <c r="C2112" s="47" t="s">
        <v>1205</v>
      </c>
      <c r="D2112" s="48" t="s">
        <v>978</v>
      </c>
      <c r="E2112" s="48" t="s">
        <v>979</v>
      </c>
      <c r="F2112" s="48" t="s">
        <v>1206</v>
      </c>
      <c r="G2112" s="48" t="s">
        <v>1207</v>
      </c>
      <c r="H2112" s="47" t="s">
        <v>1208</v>
      </c>
      <c r="I2112" s="47" t="s">
        <v>1209</v>
      </c>
      <c r="J2112" s="47" t="s">
        <v>26</v>
      </c>
    </row>
    <row r="2113" ht="54" customHeight="1" spans="1:10">
      <c r="A2113" s="48" t="s">
        <v>649</v>
      </c>
      <c r="B2113" s="48" t="s">
        <v>3531</v>
      </c>
      <c r="C2113" s="47" t="s">
        <v>1211</v>
      </c>
      <c r="D2113" s="48" t="s">
        <v>965</v>
      </c>
      <c r="E2113" s="48" t="s">
        <v>966</v>
      </c>
      <c r="F2113" s="48" t="s">
        <v>1212</v>
      </c>
      <c r="G2113" s="48" t="s">
        <v>1213</v>
      </c>
      <c r="H2113" s="47" t="s">
        <v>1214</v>
      </c>
      <c r="I2113" s="47" t="s">
        <v>940</v>
      </c>
      <c r="J2113" s="47" t="s">
        <v>26</v>
      </c>
    </row>
    <row r="2114" ht="54" customHeight="1" spans="1:10">
      <c r="A2114" s="48" t="s">
        <v>651</v>
      </c>
      <c r="B2114" s="48" t="s">
        <v>3532</v>
      </c>
      <c r="C2114" s="47" t="s">
        <v>1421</v>
      </c>
      <c r="D2114" s="48" t="s">
        <v>1422</v>
      </c>
      <c r="E2114" s="48" t="s">
        <v>1423</v>
      </c>
      <c r="F2114" s="48" t="s">
        <v>1424</v>
      </c>
      <c r="G2114" s="48" t="s">
        <v>1423</v>
      </c>
      <c r="H2114" s="47" t="s">
        <v>1425</v>
      </c>
      <c r="I2114" s="47" t="s">
        <v>1426</v>
      </c>
      <c r="J2114" s="47" t="s">
        <v>26</v>
      </c>
    </row>
    <row r="2115" ht="54" customHeight="1" spans="1:10">
      <c r="A2115" s="48" t="s">
        <v>651</v>
      </c>
      <c r="B2115" s="48" t="s">
        <v>3533</v>
      </c>
      <c r="C2115" s="47" t="s">
        <v>1459</v>
      </c>
      <c r="D2115" s="48" t="s">
        <v>957</v>
      </c>
      <c r="E2115" s="48" t="s">
        <v>958</v>
      </c>
      <c r="F2115" s="48" t="s">
        <v>1460</v>
      </c>
      <c r="G2115" s="48" t="s">
        <v>1461</v>
      </c>
      <c r="H2115" s="47" t="s">
        <v>1462</v>
      </c>
      <c r="I2115" s="47" t="s">
        <v>1463</v>
      </c>
      <c r="J2115" s="47" t="s">
        <v>26</v>
      </c>
    </row>
    <row r="2116" ht="54" customHeight="1" spans="1:10">
      <c r="A2116" s="48" t="s">
        <v>651</v>
      </c>
      <c r="B2116" s="48" t="s">
        <v>3534</v>
      </c>
      <c r="C2116" s="47" t="s">
        <v>1375</v>
      </c>
      <c r="D2116" s="48" t="s">
        <v>1098</v>
      </c>
      <c r="E2116" s="48" t="s">
        <v>1099</v>
      </c>
      <c r="F2116" s="48" t="s">
        <v>1376</v>
      </c>
      <c r="G2116" s="48" t="s">
        <v>1377</v>
      </c>
      <c r="H2116" s="47" t="s">
        <v>1378</v>
      </c>
      <c r="I2116" s="47" t="s">
        <v>1379</v>
      </c>
      <c r="J2116" s="47" t="s">
        <v>26</v>
      </c>
    </row>
    <row r="2117" ht="54" customHeight="1" spans="1:10">
      <c r="A2117" s="48" t="s">
        <v>651</v>
      </c>
      <c r="B2117" s="48" t="s">
        <v>3535</v>
      </c>
      <c r="C2117" s="47" t="s">
        <v>1545</v>
      </c>
      <c r="D2117" s="48" t="s">
        <v>1138</v>
      </c>
      <c r="E2117" s="48" t="s">
        <v>1139</v>
      </c>
      <c r="F2117" s="48" t="s">
        <v>1546</v>
      </c>
      <c r="G2117" s="48" t="s">
        <v>1547</v>
      </c>
      <c r="H2117" s="47" t="s">
        <v>1548</v>
      </c>
      <c r="I2117" s="47" t="s">
        <v>940</v>
      </c>
      <c r="J2117" s="47" t="s">
        <v>26</v>
      </c>
    </row>
    <row r="2118" ht="54" customHeight="1" spans="1:10">
      <c r="A2118" s="48" t="s">
        <v>653</v>
      </c>
      <c r="B2118" s="48" t="s">
        <v>3536</v>
      </c>
      <c r="C2118" s="47" t="s">
        <v>1105</v>
      </c>
      <c r="D2118" s="48" t="s">
        <v>1009</v>
      </c>
      <c r="E2118" s="48" t="s">
        <v>1010</v>
      </c>
      <c r="F2118" s="48" t="s">
        <v>1106</v>
      </c>
      <c r="G2118" s="48" t="s">
        <v>1107</v>
      </c>
      <c r="H2118" s="47" t="s">
        <v>1108</v>
      </c>
      <c r="I2118" s="47" t="s">
        <v>1109</v>
      </c>
      <c r="J2118" s="47" t="s">
        <v>26</v>
      </c>
    </row>
    <row r="2119" ht="54" customHeight="1" spans="1:10">
      <c r="A2119" s="48" t="s">
        <v>653</v>
      </c>
      <c r="B2119" s="48" t="s">
        <v>3537</v>
      </c>
      <c r="C2119" s="47" t="s">
        <v>1268</v>
      </c>
      <c r="D2119" s="48" t="s">
        <v>957</v>
      </c>
      <c r="E2119" s="48" t="s">
        <v>958</v>
      </c>
      <c r="F2119" s="48" t="s">
        <v>1269</v>
      </c>
      <c r="G2119" s="48" t="s">
        <v>1270</v>
      </c>
      <c r="H2119" s="47" t="s">
        <v>1271</v>
      </c>
      <c r="I2119" s="47" t="s">
        <v>1272</v>
      </c>
      <c r="J2119" s="47" t="s">
        <v>26</v>
      </c>
    </row>
    <row r="2120" ht="54" customHeight="1" spans="1:10">
      <c r="A2120" s="48" t="s">
        <v>653</v>
      </c>
      <c r="B2120" s="48" t="s">
        <v>3538</v>
      </c>
      <c r="C2120" s="47" t="s">
        <v>1252</v>
      </c>
      <c r="D2120" s="48" t="s">
        <v>1001</v>
      </c>
      <c r="E2120" s="48" t="s">
        <v>1002</v>
      </c>
      <c r="F2120" s="48" t="s">
        <v>1253</v>
      </c>
      <c r="G2120" s="48" t="s">
        <v>1254</v>
      </c>
      <c r="H2120" s="47" t="s">
        <v>1255</v>
      </c>
      <c r="I2120" s="47" t="s">
        <v>1256</v>
      </c>
      <c r="J2120" s="47" t="s">
        <v>26</v>
      </c>
    </row>
    <row r="2121" ht="54" customHeight="1" spans="1:10">
      <c r="A2121" s="48" t="s">
        <v>653</v>
      </c>
      <c r="B2121" s="48" t="s">
        <v>3539</v>
      </c>
      <c r="C2121" s="47" t="s">
        <v>1111</v>
      </c>
      <c r="D2121" s="48" t="s">
        <v>965</v>
      </c>
      <c r="E2121" s="48" t="s">
        <v>966</v>
      </c>
      <c r="F2121" s="48" t="s">
        <v>1112</v>
      </c>
      <c r="G2121" s="48" t="s">
        <v>1113</v>
      </c>
      <c r="H2121" s="47" t="s">
        <v>1114</v>
      </c>
      <c r="I2121" s="47" t="s">
        <v>1115</v>
      </c>
      <c r="J2121" s="47" t="s">
        <v>26</v>
      </c>
    </row>
    <row r="2122" ht="54" customHeight="1" spans="1:10">
      <c r="A2122" s="48" t="s">
        <v>653</v>
      </c>
      <c r="B2122" s="48" t="s">
        <v>3540</v>
      </c>
      <c r="C2122" s="47" t="s">
        <v>1137</v>
      </c>
      <c r="D2122" s="48" t="s">
        <v>1138</v>
      </c>
      <c r="E2122" s="48" t="s">
        <v>1139</v>
      </c>
      <c r="F2122" s="48" t="s">
        <v>1140</v>
      </c>
      <c r="G2122" s="48" t="s">
        <v>1141</v>
      </c>
      <c r="H2122" s="47" t="s">
        <v>1142</v>
      </c>
      <c r="I2122" s="47" t="s">
        <v>940</v>
      </c>
      <c r="J2122" s="47" t="s">
        <v>26</v>
      </c>
    </row>
    <row r="2123" ht="54" customHeight="1" spans="1:10">
      <c r="A2123" s="48" t="s">
        <v>653</v>
      </c>
      <c r="B2123" s="48" t="s">
        <v>3541</v>
      </c>
      <c r="C2123" s="47" t="s">
        <v>1356</v>
      </c>
      <c r="D2123" s="48" t="s">
        <v>1082</v>
      </c>
      <c r="E2123" s="48" t="s">
        <v>1083</v>
      </c>
      <c r="F2123" s="48" t="s">
        <v>1357</v>
      </c>
      <c r="G2123" s="48" t="s">
        <v>1358</v>
      </c>
      <c r="H2123" s="47" t="s">
        <v>1359</v>
      </c>
      <c r="I2123" s="47" t="s">
        <v>1360</v>
      </c>
      <c r="J2123" s="47" t="s">
        <v>26</v>
      </c>
    </row>
    <row r="2124" ht="54" customHeight="1" spans="1:10">
      <c r="A2124" s="48" t="s">
        <v>653</v>
      </c>
      <c r="B2124" s="48" t="s">
        <v>3542</v>
      </c>
      <c r="C2124" s="47" t="s">
        <v>1216</v>
      </c>
      <c r="D2124" s="48" t="s">
        <v>993</v>
      </c>
      <c r="E2124" s="48" t="s">
        <v>994</v>
      </c>
      <c r="F2124" s="48" t="s">
        <v>1217</v>
      </c>
      <c r="G2124" s="48" t="s">
        <v>1218</v>
      </c>
      <c r="H2124" s="47" t="s">
        <v>1219</v>
      </c>
      <c r="I2124" s="47" t="s">
        <v>1220</v>
      </c>
      <c r="J2124" s="47" t="s">
        <v>26</v>
      </c>
    </row>
    <row r="2125" ht="54" customHeight="1" spans="1:10">
      <c r="A2125" s="48" t="s">
        <v>653</v>
      </c>
      <c r="B2125" s="48" t="s">
        <v>3543</v>
      </c>
      <c r="C2125" s="47" t="s">
        <v>1164</v>
      </c>
      <c r="D2125" s="48" t="s">
        <v>978</v>
      </c>
      <c r="E2125" s="48" t="s">
        <v>979</v>
      </c>
      <c r="F2125" s="48" t="s">
        <v>1165</v>
      </c>
      <c r="G2125" s="48" t="s">
        <v>1166</v>
      </c>
      <c r="H2125" s="47" t="s">
        <v>1167</v>
      </c>
      <c r="I2125" s="47" t="s">
        <v>1168</v>
      </c>
      <c r="J2125" s="47" t="s">
        <v>26</v>
      </c>
    </row>
    <row r="2126" ht="54" customHeight="1" spans="1:10">
      <c r="A2126" s="48" t="s">
        <v>653</v>
      </c>
      <c r="B2126" s="48" t="s">
        <v>3544</v>
      </c>
      <c r="C2126" s="47" t="s">
        <v>1245</v>
      </c>
      <c r="D2126" s="48" t="s">
        <v>1171</v>
      </c>
      <c r="E2126" s="48" t="s">
        <v>1172</v>
      </c>
      <c r="F2126" s="48" t="s">
        <v>1246</v>
      </c>
      <c r="G2126" s="48" t="s">
        <v>1247</v>
      </c>
      <c r="H2126" s="47" t="s">
        <v>1248</v>
      </c>
      <c r="I2126" s="47" t="s">
        <v>1176</v>
      </c>
      <c r="J2126" s="47" t="s">
        <v>26</v>
      </c>
    </row>
    <row r="2127" ht="54" customHeight="1" spans="1:10">
      <c r="A2127" s="48" t="s">
        <v>655</v>
      </c>
      <c r="B2127" s="48" t="s">
        <v>3545</v>
      </c>
      <c r="C2127" s="47" t="s">
        <v>1268</v>
      </c>
      <c r="D2127" s="48" t="s">
        <v>957</v>
      </c>
      <c r="E2127" s="48" t="s">
        <v>958</v>
      </c>
      <c r="F2127" s="48" t="s">
        <v>1269</v>
      </c>
      <c r="G2127" s="48" t="s">
        <v>1270</v>
      </c>
      <c r="H2127" s="47" t="s">
        <v>1271</v>
      </c>
      <c r="I2127" s="47" t="s">
        <v>1272</v>
      </c>
      <c r="J2127" s="47" t="s">
        <v>26</v>
      </c>
    </row>
    <row r="2128" ht="54" customHeight="1" spans="1:10">
      <c r="A2128" s="48" t="s">
        <v>655</v>
      </c>
      <c r="B2128" s="48" t="s">
        <v>3546</v>
      </c>
      <c r="C2128" s="47" t="s">
        <v>1097</v>
      </c>
      <c r="D2128" s="48" t="s">
        <v>1098</v>
      </c>
      <c r="E2128" s="48" t="s">
        <v>1099</v>
      </c>
      <c r="F2128" s="48" t="s">
        <v>1100</v>
      </c>
      <c r="G2128" s="48" t="s">
        <v>1101</v>
      </c>
      <c r="H2128" s="47" t="s">
        <v>1102</v>
      </c>
      <c r="I2128" s="47" t="s">
        <v>1103</v>
      </c>
      <c r="J2128" s="47" t="s">
        <v>26</v>
      </c>
    </row>
    <row r="2129" ht="54" customHeight="1" spans="1:10">
      <c r="A2129" s="48" t="s">
        <v>655</v>
      </c>
      <c r="B2129" s="48" t="s">
        <v>3547</v>
      </c>
      <c r="C2129" s="47" t="s">
        <v>1137</v>
      </c>
      <c r="D2129" s="48" t="s">
        <v>1138</v>
      </c>
      <c r="E2129" s="48" t="s">
        <v>1139</v>
      </c>
      <c r="F2129" s="48" t="s">
        <v>1140</v>
      </c>
      <c r="G2129" s="48" t="s">
        <v>1141</v>
      </c>
      <c r="H2129" s="47" t="s">
        <v>1142</v>
      </c>
      <c r="I2129" s="47" t="s">
        <v>940</v>
      </c>
      <c r="J2129" s="47" t="s">
        <v>26</v>
      </c>
    </row>
    <row r="2130" ht="54" customHeight="1" spans="1:10">
      <c r="A2130" s="48" t="s">
        <v>655</v>
      </c>
      <c r="B2130" s="48" t="s">
        <v>3548</v>
      </c>
      <c r="C2130" s="47" t="s">
        <v>1291</v>
      </c>
      <c r="D2130" s="48" t="s">
        <v>965</v>
      </c>
      <c r="E2130" s="48" t="s">
        <v>966</v>
      </c>
      <c r="F2130" s="48" t="s">
        <v>1292</v>
      </c>
      <c r="G2130" s="48" t="s">
        <v>1293</v>
      </c>
      <c r="H2130" s="47" t="s">
        <v>1294</v>
      </c>
      <c r="I2130" s="47" t="s">
        <v>1295</v>
      </c>
      <c r="J2130" s="47" t="s">
        <v>26</v>
      </c>
    </row>
    <row r="2131" ht="54" customHeight="1" spans="1:10">
      <c r="A2131" s="48" t="s">
        <v>655</v>
      </c>
      <c r="B2131" s="48" t="s">
        <v>3549</v>
      </c>
      <c r="C2131" s="47" t="s">
        <v>1356</v>
      </c>
      <c r="D2131" s="48" t="s">
        <v>1082</v>
      </c>
      <c r="E2131" s="48" t="s">
        <v>1083</v>
      </c>
      <c r="F2131" s="48" t="s">
        <v>1357</v>
      </c>
      <c r="G2131" s="48" t="s">
        <v>1358</v>
      </c>
      <c r="H2131" s="47" t="s">
        <v>1359</v>
      </c>
      <c r="I2131" s="47" t="s">
        <v>1360</v>
      </c>
      <c r="J2131" s="47" t="s">
        <v>26</v>
      </c>
    </row>
    <row r="2132" ht="54" customHeight="1" spans="1:10">
      <c r="A2132" s="48" t="s">
        <v>655</v>
      </c>
      <c r="B2132" s="48" t="s">
        <v>3550</v>
      </c>
      <c r="C2132" s="47" t="s">
        <v>1211</v>
      </c>
      <c r="D2132" s="48" t="s">
        <v>965</v>
      </c>
      <c r="E2132" s="48" t="s">
        <v>966</v>
      </c>
      <c r="F2132" s="48" t="s">
        <v>1212</v>
      </c>
      <c r="G2132" s="48" t="s">
        <v>1213</v>
      </c>
      <c r="H2132" s="47" t="s">
        <v>1214</v>
      </c>
      <c r="I2132" s="47" t="s">
        <v>940</v>
      </c>
      <c r="J2132" s="47" t="s">
        <v>26</v>
      </c>
    </row>
    <row r="2133" ht="54" customHeight="1" spans="1:10">
      <c r="A2133" s="48" t="s">
        <v>655</v>
      </c>
      <c r="B2133" s="48" t="s">
        <v>3551</v>
      </c>
      <c r="C2133" s="47" t="s">
        <v>1245</v>
      </c>
      <c r="D2133" s="48" t="s">
        <v>1171</v>
      </c>
      <c r="E2133" s="48" t="s">
        <v>1172</v>
      </c>
      <c r="F2133" s="48" t="s">
        <v>1246</v>
      </c>
      <c r="G2133" s="48" t="s">
        <v>1247</v>
      </c>
      <c r="H2133" s="47" t="s">
        <v>1248</v>
      </c>
      <c r="I2133" s="47" t="s">
        <v>1176</v>
      </c>
      <c r="J2133" s="47" t="s">
        <v>26</v>
      </c>
    </row>
    <row r="2134" ht="54" customHeight="1" spans="1:10">
      <c r="A2134" s="48" t="s">
        <v>657</v>
      </c>
      <c r="B2134" s="48" t="s">
        <v>3552</v>
      </c>
      <c r="C2134" s="47" t="s">
        <v>1008</v>
      </c>
      <c r="D2134" s="48" t="s">
        <v>1009</v>
      </c>
      <c r="E2134" s="48" t="s">
        <v>1010</v>
      </c>
      <c r="F2134" s="48" t="s">
        <v>1011</v>
      </c>
      <c r="G2134" s="48" t="s">
        <v>1012</v>
      </c>
      <c r="H2134" s="47" t="s">
        <v>1013</v>
      </c>
      <c r="I2134" s="47" t="s">
        <v>1014</v>
      </c>
      <c r="J2134" s="47" t="s">
        <v>26</v>
      </c>
    </row>
    <row r="2135" ht="54" customHeight="1" spans="1:10">
      <c r="A2135" s="48" t="s">
        <v>657</v>
      </c>
      <c r="B2135" s="48" t="s">
        <v>3553</v>
      </c>
      <c r="C2135" s="47" t="s">
        <v>1459</v>
      </c>
      <c r="D2135" s="48" t="s">
        <v>957</v>
      </c>
      <c r="E2135" s="48" t="s">
        <v>958</v>
      </c>
      <c r="F2135" s="48" t="s">
        <v>1460</v>
      </c>
      <c r="G2135" s="48" t="s">
        <v>1461</v>
      </c>
      <c r="H2135" s="47" t="s">
        <v>1462</v>
      </c>
      <c r="I2135" s="47" t="s">
        <v>1463</v>
      </c>
      <c r="J2135" s="47" t="s">
        <v>26</v>
      </c>
    </row>
    <row r="2136" ht="54" customHeight="1" spans="1:10">
      <c r="A2136" s="48" t="s">
        <v>657</v>
      </c>
      <c r="B2136" s="48" t="s">
        <v>3554</v>
      </c>
      <c r="C2136" s="47" t="s">
        <v>1268</v>
      </c>
      <c r="D2136" s="48" t="s">
        <v>957</v>
      </c>
      <c r="E2136" s="48" t="s">
        <v>958</v>
      </c>
      <c r="F2136" s="48" t="s">
        <v>1269</v>
      </c>
      <c r="G2136" s="48" t="s">
        <v>1270</v>
      </c>
      <c r="H2136" s="47" t="s">
        <v>1271</v>
      </c>
      <c r="I2136" s="47" t="s">
        <v>1272</v>
      </c>
      <c r="J2136" s="47" t="s">
        <v>26</v>
      </c>
    </row>
    <row r="2137" ht="54" customHeight="1" spans="1:10">
      <c r="A2137" s="48" t="s">
        <v>657</v>
      </c>
      <c r="B2137" s="48" t="s">
        <v>3555</v>
      </c>
      <c r="C2137" s="47" t="s">
        <v>1137</v>
      </c>
      <c r="D2137" s="48" t="s">
        <v>1138</v>
      </c>
      <c r="E2137" s="48" t="s">
        <v>1139</v>
      </c>
      <c r="F2137" s="48" t="s">
        <v>1140</v>
      </c>
      <c r="G2137" s="48" t="s">
        <v>1141</v>
      </c>
      <c r="H2137" s="47" t="s">
        <v>1142</v>
      </c>
      <c r="I2137" s="47" t="s">
        <v>940</v>
      </c>
      <c r="J2137" s="47" t="s">
        <v>26</v>
      </c>
    </row>
    <row r="2138" ht="54" customHeight="1" spans="1:10">
      <c r="A2138" s="48" t="s">
        <v>657</v>
      </c>
      <c r="B2138" s="48" t="s">
        <v>3556</v>
      </c>
      <c r="C2138" s="47" t="s">
        <v>971</v>
      </c>
      <c r="D2138" s="48" t="s">
        <v>965</v>
      </c>
      <c r="E2138" s="48" t="s">
        <v>966</v>
      </c>
      <c r="F2138" s="48" t="s">
        <v>972</v>
      </c>
      <c r="G2138" s="48" t="s">
        <v>973</v>
      </c>
      <c r="H2138" s="47" t="s">
        <v>974</v>
      </c>
      <c r="I2138" s="47" t="s">
        <v>975</v>
      </c>
      <c r="J2138" s="47" t="s">
        <v>26</v>
      </c>
    </row>
    <row r="2139" ht="54" customHeight="1" spans="1:10">
      <c r="A2139" s="48" t="s">
        <v>657</v>
      </c>
      <c r="B2139" s="48" t="s">
        <v>3557</v>
      </c>
      <c r="C2139" s="47" t="s">
        <v>1205</v>
      </c>
      <c r="D2139" s="48" t="s">
        <v>978</v>
      </c>
      <c r="E2139" s="48" t="s">
        <v>979</v>
      </c>
      <c r="F2139" s="48" t="s">
        <v>1206</v>
      </c>
      <c r="G2139" s="48" t="s">
        <v>1207</v>
      </c>
      <c r="H2139" s="47" t="s">
        <v>1208</v>
      </c>
      <c r="I2139" s="47" t="s">
        <v>1209</v>
      </c>
      <c r="J2139" s="47" t="s">
        <v>26</v>
      </c>
    </row>
    <row r="2140" ht="54" customHeight="1" spans="1:10">
      <c r="A2140" s="48" t="s">
        <v>657</v>
      </c>
      <c r="B2140" s="48" t="s">
        <v>3558</v>
      </c>
      <c r="C2140" s="47" t="s">
        <v>1211</v>
      </c>
      <c r="D2140" s="48" t="s">
        <v>965</v>
      </c>
      <c r="E2140" s="48" t="s">
        <v>966</v>
      </c>
      <c r="F2140" s="48" t="s">
        <v>1212</v>
      </c>
      <c r="G2140" s="48" t="s">
        <v>1213</v>
      </c>
      <c r="H2140" s="47" t="s">
        <v>1214</v>
      </c>
      <c r="I2140" s="47" t="s">
        <v>940</v>
      </c>
      <c r="J2140" s="47" t="s">
        <v>26</v>
      </c>
    </row>
    <row r="2141" ht="54" customHeight="1" spans="1:10">
      <c r="A2141" s="48" t="s">
        <v>657</v>
      </c>
      <c r="B2141" s="48" t="s">
        <v>3559</v>
      </c>
      <c r="C2141" s="47" t="s">
        <v>1170</v>
      </c>
      <c r="D2141" s="48" t="s">
        <v>1171</v>
      </c>
      <c r="E2141" s="48" t="s">
        <v>1172</v>
      </c>
      <c r="F2141" s="48" t="s">
        <v>1173</v>
      </c>
      <c r="G2141" s="48" t="s">
        <v>1174</v>
      </c>
      <c r="H2141" s="47" t="s">
        <v>1175</v>
      </c>
      <c r="I2141" s="47" t="s">
        <v>1176</v>
      </c>
      <c r="J2141" s="47" t="s">
        <v>26</v>
      </c>
    </row>
    <row r="2142" ht="54" customHeight="1" spans="1:10">
      <c r="A2142" s="48" t="s">
        <v>659</v>
      </c>
      <c r="B2142" s="48" t="s">
        <v>3560</v>
      </c>
      <c r="C2142" s="47" t="s">
        <v>1022</v>
      </c>
      <c r="D2142" s="48" t="s">
        <v>957</v>
      </c>
      <c r="E2142" s="48" t="s">
        <v>958</v>
      </c>
      <c r="F2142" s="48" t="s">
        <v>1023</v>
      </c>
      <c r="G2142" s="48" t="s">
        <v>1024</v>
      </c>
      <c r="H2142" s="47" t="s">
        <v>1025</v>
      </c>
      <c r="I2142" s="47" t="s">
        <v>1026</v>
      </c>
      <c r="J2142" s="47" t="s">
        <v>26</v>
      </c>
    </row>
    <row r="2143" ht="54" customHeight="1" spans="1:10">
      <c r="A2143" s="48" t="s">
        <v>659</v>
      </c>
      <c r="B2143" s="48" t="s">
        <v>3561</v>
      </c>
      <c r="C2143" s="47" t="s">
        <v>1081</v>
      </c>
      <c r="D2143" s="48" t="s">
        <v>1082</v>
      </c>
      <c r="E2143" s="48" t="s">
        <v>1083</v>
      </c>
      <c r="F2143" s="48" t="s">
        <v>1084</v>
      </c>
      <c r="G2143" s="48" t="s">
        <v>1085</v>
      </c>
      <c r="H2143" s="47" t="s">
        <v>1086</v>
      </c>
      <c r="I2143" s="47" t="s">
        <v>1087</v>
      </c>
      <c r="J2143" s="47" t="s">
        <v>26</v>
      </c>
    </row>
    <row r="2144" ht="54" customHeight="1" spans="1:10">
      <c r="A2144" s="48" t="s">
        <v>659</v>
      </c>
      <c r="B2144" s="48" t="s">
        <v>3562</v>
      </c>
      <c r="C2144" s="47" t="s">
        <v>1097</v>
      </c>
      <c r="D2144" s="48" t="s">
        <v>1098</v>
      </c>
      <c r="E2144" s="48" t="s">
        <v>1099</v>
      </c>
      <c r="F2144" s="48" t="s">
        <v>1100</v>
      </c>
      <c r="G2144" s="48" t="s">
        <v>1101</v>
      </c>
      <c r="H2144" s="47" t="s">
        <v>1102</v>
      </c>
      <c r="I2144" s="47" t="s">
        <v>1103</v>
      </c>
      <c r="J2144" s="47" t="s">
        <v>26</v>
      </c>
    </row>
    <row r="2145" ht="54" customHeight="1" spans="1:10">
      <c r="A2145" s="48" t="s">
        <v>659</v>
      </c>
      <c r="B2145" s="48" t="s">
        <v>3563</v>
      </c>
      <c r="C2145" s="47" t="s">
        <v>1967</v>
      </c>
      <c r="D2145" s="48" t="s">
        <v>965</v>
      </c>
      <c r="E2145" s="48" t="s">
        <v>966</v>
      </c>
      <c r="F2145" s="48" t="s">
        <v>1968</v>
      </c>
      <c r="G2145" s="48" t="s">
        <v>1969</v>
      </c>
      <c r="H2145" s="47" t="s">
        <v>1970</v>
      </c>
      <c r="I2145" s="47" t="s">
        <v>940</v>
      </c>
      <c r="J2145" s="47" t="s">
        <v>26</v>
      </c>
    </row>
    <row r="2146" ht="54" customHeight="1" spans="1:10">
      <c r="A2146" s="48" t="s">
        <v>659</v>
      </c>
      <c r="B2146" s="48" t="s">
        <v>3564</v>
      </c>
      <c r="C2146" s="47" t="s">
        <v>1285</v>
      </c>
      <c r="D2146" s="48" t="s">
        <v>965</v>
      </c>
      <c r="E2146" s="48" t="s">
        <v>966</v>
      </c>
      <c r="F2146" s="48" t="s">
        <v>1286</v>
      </c>
      <c r="G2146" s="48" t="s">
        <v>1287</v>
      </c>
      <c r="H2146" s="47" t="s">
        <v>1288</v>
      </c>
      <c r="I2146" s="47" t="s">
        <v>1289</v>
      </c>
      <c r="J2146" s="47" t="s">
        <v>26</v>
      </c>
    </row>
    <row r="2147" ht="54" customHeight="1" spans="1:10">
      <c r="A2147" s="48" t="s">
        <v>659</v>
      </c>
      <c r="B2147" s="48" t="s">
        <v>3565</v>
      </c>
      <c r="C2147" s="47" t="s">
        <v>1137</v>
      </c>
      <c r="D2147" s="48" t="s">
        <v>1138</v>
      </c>
      <c r="E2147" s="48" t="s">
        <v>1139</v>
      </c>
      <c r="F2147" s="48" t="s">
        <v>1140</v>
      </c>
      <c r="G2147" s="48" t="s">
        <v>1141</v>
      </c>
      <c r="H2147" s="47" t="s">
        <v>1142</v>
      </c>
      <c r="I2147" s="47" t="s">
        <v>940</v>
      </c>
      <c r="J2147" s="47" t="s">
        <v>26</v>
      </c>
    </row>
    <row r="2148" ht="54" customHeight="1" spans="1:10">
      <c r="A2148" s="48" t="s">
        <v>659</v>
      </c>
      <c r="B2148" s="48" t="s">
        <v>3566</v>
      </c>
      <c r="C2148" s="47" t="s">
        <v>1205</v>
      </c>
      <c r="D2148" s="48" t="s">
        <v>978</v>
      </c>
      <c r="E2148" s="48" t="s">
        <v>979</v>
      </c>
      <c r="F2148" s="48" t="s">
        <v>1206</v>
      </c>
      <c r="G2148" s="48" t="s">
        <v>1207</v>
      </c>
      <c r="H2148" s="47" t="s">
        <v>1208</v>
      </c>
      <c r="I2148" s="47" t="s">
        <v>1209</v>
      </c>
      <c r="J2148" s="47" t="s">
        <v>26</v>
      </c>
    </row>
    <row r="2149" ht="54" customHeight="1" spans="1:10">
      <c r="A2149" s="48" t="s">
        <v>661</v>
      </c>
      <c r="B2149" s="48" t="s">
        <v>3567</v>
      </c>
      <c r="C2149" s="47" t="s">
        <v>1105</v>
      </c>
      <c r="D2149" s="48" t="s">
        <v>1009</v>
      </c>
      <c r="E2149" s="48" t="s">
        <v>1010</v>
      </c>
      <c r="F2149" s="48" t="s">
        <v>1106</v>
      </c>
      <c r="G2149" s="48" t="s">
        <v>1107</v>
      </c>
      <c r="H2149" s="47" t="s">
        <v>1108</v>
      </c>
      <c r="I2149" s="47" t="s">
        <v>1109</v>
      </c>
      <c r="J2149" s="47" t="s">
        <v>26</v>
      </c>
    </row>
    <row r="2150" ht="54" customHeight="1" spans="1:10">
      <c r="A2150" s="48" t="s">
        <v>661</v>
      </c>
      <c r="B2150" s="48" t="s">
        <v>3568</v>
      </c>
      <c r="C2150" s="47" t="s">
        <v>1137</v>
      </c>
      <c r="D2150" s="48" t="s">
        <v>1138</v>
      </c>
      <c r="E2150" s="48" t="s">
        <v>1139</v>
      </c>
      <c r="F2150" s="48" t="s">
        <v>1140</v>
      </c>
      <c r="G2150" s="48" t="s">
        <v>1141</v>
      </c>
      <c r="H2150" s="47" t="s">
        <v>1142</v>
      </c>
      <c r="I2150" s="47" t="s">
        <v>940</v>
      </c>
      <c r="J2150" s="47" t="s">
        <v>26</v>
      </c>
    </row>
    <row r="2151" ht="54" customHeight="1" spans="1:10">
      <c r="A2151" s="48" t="s">
        <v>661</v>
      </c>
      <c r="B2151" s="48" t="s">
        <v>3569</v>
      </c>
      <c r="C2151" s="47" t="s">
        <v>971</v>
      </c>
      <c r="D2151" s="48" t="s">
        <v>965</v>
      </c>
      <c r="E2151" s="48" t="s">
        <v>966</v>
      </c>
      <c r="F2151" s="48" t="s">
        <v>972</v>
      </c>
      <c r="G2151" s="48" t="s">
        <v>973</v>
      </c>
      <c r="H2151" s="47" t="s">
        <v>974</v>
      </c>
      <c r="I2151" s="47" t="s">
        <v>975</v>
      </c>
      <c r="J2151" s="47" t="s">
        <v>26</v>
      </c>
    </row>
    <row r="2152" ht="54" customHeight="1" spans="1:10">
      <c r="A2152" s="48" t="s">
        <v>661</v>
      </c>
      <c r="B2152" s="48" t="s">
        <v>3570</v>
      </c>
      <c r="C2152" s="47" t="s">
        <v>1291</v>
      </c>
      <c r="D2152" s="48" t="s">
        <v>965</v>
      </c>
      <c r="E2152" s="48" t="s">
        <v>966</v>
      </c>
      <c r="F2152" s="48" t="s">
        <v>1292</v>
      </c>
      <c r="G2152" s="48" t="s">
        <v>1293</v>
      </c>
      <c r="H2152" s="47" t="s">
        <v>1294</v>
      </c>
      <c r="I2152" s="47" t="s">
        <v>1295</v>
      </c>
      <c r="J2152" s="47" t="s">
        <v>26</v>
      </c>
    </row>
    <row r="2153" ht="54" customHeight="1" spans="1:10">
      <c r="A2153" s="48" t="s">
        <v>661</v>
      </c>
      <c r="B2153" s="48" t="s">
        <v>3571</v>
      </c>
      <c r="C2153" s="47" t="s">
        <v>1205</v>
      </c>
      <c r="D2153" s="48" t="s">
        <v>978</v>
      </c>
      <c r="E2153" s="48" t="s">
        <v>979</v>
      </c>
      <c r="F2153" s="48" t="s">
        <v>1206</v>
      </c>
      <c r="G2153" s="48" t="s">
        <v>1207</v>
      </c>
      <c r="H2153" s="47" t="s">
        <v>1208</v>
      </c>
      <c r="I2153" s="47" t="s">
        <v>1209</v>
      </c>
      <c r="J2153" s="47" t="s">
        <v>26</v>
      </c>
    </row>
    <row r="2154" ht="54" customHeight="1" spans="1:10">
      <c r="A2154" s="48" t="s">
        <v>663</v>
      </c>
      <c r="B2154" s="48" t="s">
        <v>3572</v>
      </c>
      <c r="C2154" s="47" t="s">
        <v>1016</v>
      </c>
      <c r="D2154" s="48" t="s">
        <v>935</v>
      </c>
      <c r="E2154" s="48" t="s">
        <v>936</v>
      </c>
      <c r="F2154" s="48" t="s">
        <v>1017</v>
      </c>
      <c r="G2154" s="48" t="s">
        <v>1018</v>
      </c>
      <c r="H2154" s="47" t="s">
        <v>1019</v>
      </c>
      <c r="I2154" s="47" t="s">
        <v>1020</v>
      </c>
      <c r="J2154" s="47" t="s">
        <v>26</v>
      </c>
    </row>
    <row r="2155" ht="54" customHeight="1" spans="1:10">
      <c r="A2155" s="48" t="s">
        <v>663</v>
      </c>
      <c r="B2155" s="48" t="s">
        <v>3573</v>
      </c>
      <c r="C2155" s="47" t="s">
        <v>1081</v>
      </c>
      <c r="D2155" s="48" t="s">
        <v>1082</v>
      </c>
      <c r="E2155" s="48" t="s">
        <v>1083</v>
      </c>
      <c r="F2155" s="48" t="s">
        <v>1084</v>
      </c>
      <c r="G2155" s="48" t="s">
        <v>1085</v>
      </c>
      <c r="H2155" s="47" t="s">
        <v>1086</v>
      </c>
      <c r="I2155" s="47" t="s">
        <v>1087</v>
      </c>
      <c r="J2155" s="47" t="s">
        <v>26</v>
      </c>
    </row>
    <row r="2156" ht="54" customHeight="1" spans="1:10">
      <c r="A2156" s="48" t="s">
        <v>663</v>
      </c>
      <c r="B2156" s="48" t="s">
        <v>3574</v>
      </c>
      <c r="C2156" s="47" t="s">
        <v>1089</v>
      </c>
      <c r="D2156" s="48" t="s">
        <v>957</v>
      </c>
      <c r="E2156" s="48" t="s">
        <v>958</v>
      </c>
      <c r="F2156" s="48" t="s">
        <v>1090</v>
      </c>
      <c r="G2156" s="48" t="s">
        <v>1091</v>
      </c>
      <c r="H2156" s="47" t="s">
        <v>1092</v>
      </c>
      <c r="I2156" s="47" t="s">
        <v>1093</v>
      </c>
      <c r="J2156" s="47" t="s">
        <v>26</v>
      </c>
    </row>
    <row r="2157" ht="54" customHeight="1" spans="1:10">
      <c r="A2157" s="48" t="s">
        <v>663</v>
      </c>
      <c r="B2157" s="48" t="s">
        <v>3575</v>
      </c>
      <c r="C2157" s="47" t="s">
        <v>1137</v>
      </c>
      <c r="D2157" s="48" t="s">
        <v>1138</v>
      </c>
      <c r="E2157" s="48" t="s">
        <v>1139</v>
      </c>
      <c r="F2157" s="48" t="s">
        <v>1140</v>
      </c>
      <c r="G2157" s="48" t="s">
        <v>1141</v>
      </c>
      <c r="H2157" s="47" t="s">
        <v>1142</v>
      </c>
      <c r="I2157" s="47" t="s">
        <v>940</v>
      </c>
      <c r="J2157" s="47" t="s">
        <v>26</v>
      </c>
    </row>
    <row r="2158" ht="54" customHeight="1" spans="1:10">
      <c r="A2158" s="48" t="s">
        <v>663</v>
      </c>
      <c r="B2158" s="48" t="s">
        <v>3576</v>
      </c>
      <c r="C2158" s="47" t="s">
        <v>1205</v>
      </c>
      <c r="D2158" s="48" t="s">
        <v>978</v>
      </c>
      <c r="E2158" s="48" t="s">
        <v>979</v>
      </c>
      <c r="F2158" s="48" t="s">
        <v>1206</v>
      </c>
      <c r="G2158" s="48" t="s">
        <v>1207</v>
      </c>
      <c r="H2158" s="47" t="s">
        <v>1208</v>
      </c>
      <c r="I2158" s="47" t="s">
        <v>1209</v>
      </c>
      <c r="J2158" s="47" t="s">
        <v>26</v>
      </c>
    </row>
    <row r="2159" ht="54" customHeight="1" spans="1:10">
      <c r="A2159" s="48" t="s">
        <v>663</v>
      </c>
      <c r="B2159" s="48" t="s">
        <v>3577</v>
      </c>
      <c r="C2159" s="47" t="s">
        <v>1216</v>
      </c>
      <c r="D2159" s="48" t="s">
        <v>993</v>
      </c>
      <c r="E2159" s="48" t="s">
        <v>994</v>
      </c>
      <c r="F2159" s="48" t="s">
        <v>1217</v>
      </c>
      <c r="G2159" s="48" t="s">
        <v>1218</v>
      </c>
      <c r="H2159" s="47" t="s">
        <v>1219</v>
      </c>
      <c r="I2159" s="47" t="s">
        <v>1220</v>
      </c>
      <c r="J2159" s="47" t="s">
        <v>26</v>
      </c>
    </row>
    <row r="2160" ht="54" customHeight="1" spans="1:10">
      <c r="A2160" s="48" t="s">
        <v>663</v>
      </c>
      <c r="B2160" s="48" t="s">
        <v>3578</v>
      </c>
      <c r="C2160" s="47" t="s">
        <v>1245</v>
      </c>
      <c r="D2160" s="48" t="s">
        <v>1171</v>
      </c>
      <c r="E2160" s="48" t="s">
        <v>1172</v>
      </c>
      <c r="F2160" s="48" t="s">
        <v>1246</v>
      </c>
      <c r="G2160" s="48" t="s">
        <v>1247</v>
      </c>
      <c r="H2160" s="47" t="s">
        <v>1248</v>
      </c>
      <c r="I2160" s="47" t="s">
        <v>1176</v>
      </c>
      <c r="J2160" s="47" t="s">
        <v>26</v>
      </c>
    </row>
    <row r="2161" ht="54" customHeight="1" spans="1:10">
      <c r="A2161" s="48" t="s">
        <v>665</v>
      </c>
      <c r="B2161" s="48" t="s">
        <v>3579</v>
      </c>
      <c r="C2161" s="47" t="s">
        <v>1153</v>
      </c>
      <c r="D2161" s="48" t="s">
        <v>943</v>
      </c>
      <c r="E2161" s="48" t="s">
        <v>944</v>
      </c>
      <c r="F2161" s="48" t="s">
        <v>1154</v>
      </c>
      <c r="G2161" s="48" t="s">
        <v>1155</v>
      </c>
      <c r="H2161" s="47" t="s">
        <v>1156</v>
      </c>
      <c r="I2161" s="47" t="s">
        <v>1157</v>
      </c>
      <c r="J2161" s="47" t="s">
        <v>26</v>
      </c>
    </row>
    <row r="2162" ht="54" customHeight="1" spans="1:10">
      <c r="A2162" s="48" t="s">
        <v>665</v>
      </c>
      <c r="B2162" s="48" t="s">
        <v>3580</v>
      </c>
      <c r="C2162" s="47" t="s">
        <v>1008</v>
      </c>
      <c r="D2162" s="48" t="s">
        <v>1009</v>
      </c>
      <c r="E2162" s="48" t="s">
        <v>1010</v>
      </c>
      <c r="F2162" s="48" t="s">
        <v>1011</v>
      </c>
      <c r="G2162" s="48" t="s">
        <v>1012</v>
      </c>
      <c r="H2162" s="47" t="s">
        <v>1013</v>
      </c>
      <c r="I2162" s="47" t="s">
        <v>1014</v>
      </c>
      <c r="J2162" s="47" t="s">
        <v>26</v>
      </c>
    </row>
    <row r="2163" ht="54" customHeight="1" spans="1:10">
      <c r="A2163" s="48" t="s">
        <v>665</v>
      </c>
      <c r="B2163" s="48" t="s">
        <v>3581</v>
      </c>
      <c r="C2163" s="47" t="s">
        <v>1097</v>
      </c>
      <c r="D2163" s="48" t="s">
        <v>1098</v>
      </c>
      <c r="E2163" s="48" t="s">
        <v>1099</v>
      </c>
      <c r="F2163" s="48" t="s">
        <v>1100</v>
      </c>
      <c r="G2163" s="48" t="s">
        <v>1101</v>
      </c>
      <c r="H2163" s="47" t="s">
        <v>1102</v>
      </c>
      <c r="I2163" s="47" t="s">
        <v>1103</v>
      </c>
      <c r="J2163" s="47" t="s">
        <v>26</v>
      </c>
    </row>
    <row r="2164" ht="54" customHeight="1" spans="1:10">
      <c r="A2164" s="48" t="s">
        <v>665</v>
      </c>
      <c r="B2164" s="48" t="s">
        <v>3582</v>
      </c>
      <c r="C2164" s="47" t="s">
        <v>971</v>
      </c>
      <c r="D2164" s="48" t="s">
        <v>965</v>
      </c>
      <c r="E2164" s="48" t="s">
        <v>966</v>
      </c>
      <c r="F2164" s="48" t="s">
        <v>972</v>
      </c>
      <c r="G2164" s="48" t="s">
        <v>973</v>
      </c>
      <c r="H2164" s="47" t="s">
        <v>974</v>
      </c>
      <c r="I2164" s="47" t="s">
        <v>975</v>
      </c>
      <c r="J2164" s="47" t="s">
        <v>26</v>
      </c>
    </row>
    <row r="2165" ht="54" customHeight="1" spans="1:10">
      <c r="A2165" s="48" t="s">
        <v>667</v>
      </c>
      <c r="B2165" s="48" t="s">
        <v>3583</v>
      </c>
      <c r="C2165" s="47" t="s">
        <v>1137</v>
      </c>
      <c r="D2165" s="48" t="s">
        <v>1138</v>
      </c>
      <c r="E2165" s="48" t="s">
        <v>1139</v>
      </c>
      <c r="F2165" s="48" t="s">
        <v>1140</v>
      </c>
      <c r="G2165" s="48" t="s">
        <v>1141</v>
      </c>
      <c r="H2165" s="47" t="s">
        <v>1142</v>
      </c>
      <c r="I2165" s="47" t="s">
        <v>940</v>
      </c>
      <c r="J2165" s="47" t="s">
        <v>26</v>
      </c>
    </row>
    <row r="2166" ht="54" customHeight="1" spans="1:10">
      <c r="A2166" s="48" t="s">
        <v>667</v>
      </c>
      <c r="B2166" s="48" t="s">
        <v>3584</v>
      </c>
      <c r="C2166" s="47" t="s">
        <v>971</v>
      </c>
      <c r="D2166" s="48" t="s">
        <v>965</v>
      </c>
      <c r="E2166" s="48" t="s">
        <v>966</v>
      </c>
      <c r="F2166" s="48" t="s">
        <v>972</v>
      </c>
      <c r="G2166" s="48" t="s">
        <v>973</v>
      </c>
      <c r="H2166" s="47" t="s">
        <v>974</v>
      </c>
      <c r="I2166" s="47" t="s">
        <v>975</v>
      </c>
      <c r="J2166" s="47" t="s">
        <v>26</v>
      </c>
    </row>
    <row r="2167" ht="54" customHeight="1" spans="1:10">
      <c r="A2167" s="48" t="s">
        <v>667</v>
      </c>
      <c r="B2167" s="48" t="s">
        <v>3585</v>
      </c>
      <c r="C2167" s="47" t="s">
        <v>1291</v>
      </c>
      <c r="D2167" s="48" t="s">
        <v>965</v>
      </c>
      <c r="E2167" s="48" t="s">
        <v>966</v>
      </c>
      <c r="F2167" s="48" t="s">
        <v>1292</v>
      </c>
      <c r="G2167" s="48" t="s">
        <v>1293</v>
      </c>
      <c r="H2167" s="47" t="s">
        <v>1294</v>
      </c>
      <c r="I2167" s="47" t="s">
        <v>1295</v>
      </c>
      <c r="J2167" s="47" t="s">
        <v>26</v>
      </c>
    </row>
    <row r="2168" ht="54" customHeight="1" spans="1:10">
      <c r="A2168" s="48" t="s">
        <v>667</v>
      </c>
      <c r="B2168" s="48" t="s">
        <v>3586</v>
      </c>
      <c r="C2168" s="47" t="s">
        <v>1205</v>
      </c>
      <c r="D2168" s="48" t="s">
        <v>978</v>
      </c>
      <c r="E2168" s="48" t="s">
        <v>979</v>
      </c>
      <c r="F2168" s="48" t="s">
        <v>1206</v>
      </c>
      <c r="G2168" s="48" t="s">
        <v>1207</v>
      </c>
      <c r="H2168" s="47" t="s">
        <v>1208</v>
      </c>
      <c r="I2168" s="47" t="s">
        <v>1209</v>
      </c>
      <c r="J2168" s="47" t="s">
        <v>26</v>
      </c>
    </row>
    <row r="2169" ht="54" customHeight="1" spans="1:10">
      <c r="A2169" s="48" t="s">
        <v>669</v>
      </c>
      <c r="B2169" s="48" t="s">
        <v>3587</v>
      </c>
      <c r="C2169" s="47" t="s">
        <v>1052</v>
      </c>
      <c r="D2169" s="48" t="s">
        <v>1009</v>
      </c>
      <c r="E2169" s="48" t="s">
        <v>1010</v>
      </c>
      <c r="F2169" s="48" t="s">
        <v>1053</v>
      </c>
      <c r="G2169" s="48" t="s">
        <v>1054</v>
      </c>
      <c r="H2169" s="47" t="s">
        <v>1055</v>
      </c>
      <c r="I2169" s="47" t="s">
        <v>1056</v>
      </c>
      <c r="J2169" s="47" t="s">
        <v>26</v>
      </c>
    </row>
    <row r="2170" ht="54" customHeight="1" spans="1:10">
      <c r="A2170" s="48" t="s">
        <v>669</v>
      </c>
      <c r="B2170" s="48" t="s">
        <v>3588</v>
      </c>
      <c r="C2170" s="47" t="s">
        <v>1927</v>
      </c>
      <c r="D2170" s="48" t="s">
        <v>1400</v>
      </c>
      <c r="E2170" s="48" t="s">
        <v>1401</v>
      </c>
      <c r="F2170" s="48" t="s">
        <v>1928</v>
      </c>
      <c r="G2170" s="48" t="s">
        <v>1929</v>
      </c>
      <c r="H2170" s="47" t="s">
        <v>1930</v>
      </c>
      <c r="I2170" s="47" t="s">
        <v>1931</v>
      </c>
      <c r="J2170" s="47" t="s">
        <v>26</v>
      </c>
    </row>
    <row r="2171" ht="54" customHeight="1" spans="1:10">
      <c r="A2171" s="48" t="s">
        <v>671</v>
      </c>
      <c r="B2171" s="48" t="s">
        <v>3589</v>
      </c>
      <c r="C2171" s="47" t="s">
        <v>1356</v>
      </c>
      <c r="D2171" s="48" t="s">
        <v>1082</v>
      </c>
      <c r="E2171" s="48" t="s">
        <v>1083</v>
      </c>
      <c r="F2171" s="48" t="s">
        <v>1357</v>
      </c>
      <c r="G2171" s="48" t="s">
        <v>1358</v>
      </c>
      <c r="H2171" s="47" t="s">
        <v>1359</v>
      </c>
      <c r="I2171" s="47" t="s">
        <v>1360</v>
      </c>
      <c r="J2171" s="47" t="s">
        <v>26</v>
      </c>
    </row>
    <row r="2172" ht="54" customHeight="1" spans="1:10">
      <c r="A2172" s="48" t="s">
        <v>671</v>
      </c>
      <c r="B2172" s="48" t="s">
        <v>3590</v>
      </c>
      <c r="C2172" s="47" t="s">
        <v>1170</v>
      </c>
      <c r="D2172" s="48" t="s">
        <v>1171</v>
      </c>
      <c r="E2172" s="48" t="s">
        <v>1172</v>
      </c>
      <c r="F2172" s="48" t="s">
        <v>1173</v>
      </c>
      <c r="G2172" s="48" t="s">
        <v>1174</v>
      </c>
      <c r="H2172" s="47" t="s">
        <v>1175</v>
      </c>
      <c r="I2172" s="47" t="s">
        <v>1176</v>
      </c>
      <c r="J2172" s="47" t="s">
        <v>26</v>
      </c>
    </row>
    <row r="2173" ht="54" customHeight="1" spans="1:10">
      <c r="A2173" s="48" t="s">
        <v>673</v>
      </c>
      <c r="B2173" s="48" t="s">
        <v>3591</v>
      </c>
      <c r="C2173" s="47" t="s">
        <v>956</v>
      </c>
      <c r="D2173" s="48" t="s">
        <v>957</v>
      </c>
      <c r="E2173" s="48" t="s">
        <v>958</v>
      </c>
      <c r="F2173" s="48" t="s">
        <v>959</v>
      </c>
      <c r="G2173" s="48" t="s">
        <v>960</v>
      </c>
      <c r="H2173" s="47" t="s">
        <v>961</v>
      </c>
      <c r="I2173" s="47" t="s">
        <v>962</v>
      </c>
      <c r="J2173" s="47" t="s">
        <v>26</v>
      </c>
    </row>
    <row r="2174" ht="54" customHeight="1" spans="1:10">
      <c r="A2174" s="48" t="s">
        <v>673</v>
      </c>
      <c r="B2174" s="48" t="s">
        <v>3592</v>
      </c>
      <c r="C2174" s="47" t="s">
        <v>1297</v>
      </c>
      <c r="D2174" s="48" t="s">
        <v>1009</v>
      </c>
      <c r="E2174" s="48" t="s">
        <v>1010</v>
      </c>
      <c r="F2174" s="48" t="s">
        <v>1298</v>
      </c>
      <c r="G2174" s="48" t="s">
        <v>1299</v>
      </c>
      <c r="H2174" s="47" t="s">
        <v>1300</v>
      </c>
      <c r="I2174" s="47" t="s">
        <v>1301</v>
      </c>
      <c r="J2174" s="47" t="s">
        <v>26</v>
      </c>
    </row>
    <row r="2175" ht="54" customHeight="1" spans="1:10">
      <c r="A2175" s="48" t="s">
        <v>673</v>
      </c>
      <c r="B2175" s="48" t="s">
        <v>3593</v>
      </c>
      <c r="C2175" s="47" t="s">
        <v>1097</v>
      </c>
      <c r="D2175" s="48" t="s">
        <v>1098</v>
      </c>
      <c r="E2175" s="48" t="s">
        <v>1099</v>
      </c>
      <c r="F2175" s="48" t="s">
        <v>1100</v>
      </c>
      <c r="G2175" s="48" t="s">
        <v>1101</v>
      </c>
      <c r="H2175" s="47" t="s">
        <v>1102</v>
      </c>
      <c r="I2175" s="47" t="s">
        <v>1103</v>
      </c>
      <c r="J2175" s="47" t="s">
        <v>26</v>
      </c>
    </row>
    <row r="2176" ht="54" customHeight="1" spans="1:10">
      <c r="A2176" s="48" t="s">
        <v>673</v>
      </c>
      <c r="B2176" s="48" t="s">
        <v>3594</v>
      </c>
      <c r="C2176" s="47" t="s">
        <v>1066</v>
      </c>
      <c r="D2176" s="48" t="s">
        <v>935</v>
      </c>
      <c r="E2176" s="48" t="s">
        <v>936</v>
      </c>
      <c r="F2176" s="48" t="s">
        <v>1067</v>
      </c>
      <c r="G2176" s="48" t="s">
        <v>1068</v>
      </c>
      <c r="H2176" s="47" t="s">
        <v>1069</v>
      </c>
      <c r="I2176" s="47" t="s">
        <v>940</v>
      </c>
      <c r="J2176" s="47" t="s">
        <v>26</v>
      </c>
    </row>
    <row r="2177" ht="54" customHeight="1" spans="1:10">
      <c r="A2177" s="48" t="s">
        <v>673</v>
      </c>
      <c r="B2177" s="48" t="s">
        <v>3595</v>
      </c>
      <c r="C2177" s="47" t="s">
        <v>1252</v>
      </c>
      <c r="D2177" s="48" t="s">
        <v>1001</v>
      </c>
      <c r="E2177" s="48" t="s">
        <v>1002</v>
      </c>
      <c r="F2177" s="48" t="s">
        <v>1253</v>
      </c>
      <c r="G2177" s="48" t="s">
        <v>1254</v>
      </c>
      <c r="H2177" s="47" t="s">
        <v>1255</v>
      </c>
      <c r="I2177" s="47" t="s">
        <v>1256</v>
      </c>
      <c r="J2177" s="47" t="s">
        <v>26</v>
      </c>
    </row>
    <row r="2178" ht="54" customHeight="1" spans="1:10">
      <c r="A2178" s="48" t="s">
        <v>673</v>
      </c>
      <c r="B2178" s="48" t="s">
        <v>3596</v>
      </c>
      <c r="C2178" s="47" t="s">
        <v>1285</v>
      </c>
      <c r="D2178" s="48" t="s">
        <v>965</v>
      </c>
      <c r="E2178" s="48" t="s">
        <v>966</v>
      </c>
      <c r="F2178" s="48" t="s">
        <v>1286</v>
      </c>
      <c r="G2178" s="48" t="s">
        <v>1287</v>
      </c>
      <c r="H2178" s="47" t="s">
        <v>1288</v>
      </c>
      <c r="I2178" s="47" t="s">
        <v>1289</v>
      </c>
      <c r="J2178" s="47" t="s">
        <v>26</v>
      </c>
    </row>
    <row r="2179" ht="54" customHeight="1" spans="1:10">
      <c r="A2179" s="48" t="s">
        <v>673</v>
      </c>
      <c r="B2179" s="48" t="s">
        <v>3597</v>
      </c>
      <c r="C2179" s="47" t="s">
        <v>1137</v>
      </c>
      <c r="D2179" s="48" t="s">
        <v>1138</v>
      </c>
      <c r="E2179" s="48" t="s">
        <v>1139</v>
      </c>
      <c r="F2179" s="48" t="s">
        <v>1140</v>
      </c>
      <c r="G2179" s="48" t="s">
        <v>1141</v>
      </c>
      <c r="H2179" s="47" t="s">
        <v>1142</v>
      </c>
      <c r="I2179" s="47" t="s">
        <v>940</v>
      </c>
      <c r="J2179" s="47" t="s">
        <v>26</v>
      </c>
    </row>
    <row r="2180" ht="54" customHeight="1" spans="1:10">
      <c r="A2180" s="48" t="s">
        <v>673</v>
      </c>
      <c r="B2180" s="48" t="s">
        <v>3598</v>
      </c>
      <c r="C2180" s="47" t="s">
        <v>971</v>
      </c>
      <c r="D2180" s="48" t="s">
        <v>965</v>
      </c>
      <c r="E2180" s="48" t="s">
        <v>966</v>
      </c>
      <c r="F2180" s="48" t="s">
        <v>972</v>
      </c>
      <c r="G2180" s="48" t="s">
        <v>973</v>
      </c>
      <c r="H2180" s="47" t="s">
        <v>974</v>
      </c>
      <c r="I2180" s="47" t="s">
        <v>975</v>
      </c>
      <c r="J2180" s="47" t="s">
        <v>26</v>
      </c>
    </row>
    <row r="2181" ht="54" customHeight="1" spans="1:10">
      <c r="A2181" s="48" t="s">
        <v>673</v>
      </c>
      <c r="B2181" s="48" t="s">
        <v>3599</v>
      </c>
      <c r="C2181" s="47" t="s">
        <v>1291</v>
      </c>
      <c r="D2181" s="48" t="s">
        <v>965</v>
      </c>
      <c r="E2181" s="48" t="s">
        <v>966</v>
      </c>
      <c r="F2181" s="48" t="s">
        <v>1292</v>
      </c>
      <c r="G2181" s="48" t="s">
        <v>1293</v>
      </c>
      <c r="H2181" s="47" t="s">
        <v>1294</v>
      </c>
      <c r="I2181" s="47" t="s">
        <v>1295</v>
      </c>
      <c r="J2181" s="47" t="s">
        <v>26</v>
      </c>
    </row>
    <row r="2182" ht="54" customHeight="1" spans="1:10">
      <c r="A2182" s="48" t="s">
        <v>673</v>
      </c>
      <c r="B2182" s="48" t="s">
        <v>3600</v>
      </c>
      <c r="C2182" s="47" t="s">
        <v>1170</v>
      </c>
      <c r="D2182" s="48" t="s">
        <v>1171</v>
      </c>
      <c r="E2182" s="48" t="s">
        <v>1172</v>
      </c>
      <c r="F2182" s="48" t="s">
        <v>1173</v>
      </c>
      <c r="G2182" s="48" t="s">
        <v>1174</v>
      </c>
      <c r="H2182" s="47" t="s">
        <v>1175</v>
      </c>
      <c r="I2182" s="47" t="s">
        <v>1176</v>
      </c>
      <c r="J2182" s="47" t="s">
        <v>26</v>
      </c>
    </row>
    <row r="2183" ht="54" customHeight="1" spans="1:10">
      <c r="A2183" s="48" t="s">
        <v>675</v>
      </c>
      <c r="B2183" s="48" t="s">
        <v>3601</v>
      </c>
      <c r="C2183" s="47" t="s">
        <v>1072</v>
      </c>
      <c r="D2183" s="48" t="s">
        <v>1073</v>
      </c>
      <c r="E2183" s="48" t="s">
        <v>1074</v>
      </c>
      <c r="F2183" s="48" t="s">
        <v>1075</v>
      </c>
      <c r="G2183" s="48" t="s">
        <v>1076</v>
      </c>
      <c r="H2183" s="47" t="s">
        <v>1077</v>
      </c>
      <c r="I2183" s="47" t="s">
        <v>1078</v>
      </c>
      <c r="J2183" s="47" t="s">
        <v>26</v>
      </c>
    </row>
    <row r="2184" ht="54" customHeight="1" spans="1:10">
      <c r="A2184" s="48" t="s">
        <v>675</v>
      </c>
      <c r="B2184" s="48" t="s">
        <v>3602</v>
      </c>
      <c r="C2184" s="47" t="s">
        <v>1097</v>
      </c>
      <c r="D2184" s="48" t="s">
        <v>1098</v>
      </c>
      <c r="E2184" s="48" t="s">
        <v>1099</v>
      </c>
      <c r="F2184" s="48" t="s">
        <v>1100</v>
      </c>
      <c r="G2184" s="48" t="s">
        <v>1101</v>
      </c>
      <c r="H2184" s="47" t="s">
        <v>1102</v>
      </c>
      <c r="I2184" s="47" t="s">
        <v>1103</v>
      </c>
      <c r="J2184" s="47" t="s">
        <v>26</v>
      </c>
    </row>
    <row r="2185" ht="54" customHeight="1" spans="1:10">
      <c r="A2185" s="48" t="s">
        <v>675</v>
      </c>
      <c r="B2185" s="48" t="s">
        <v>3603</v>
      </c>
      <c r="C2185" s="47" t="s">
        <v>1137</v>
      </c>
      <c r="D2185" s="48" t="s">
        <v>1138</v>
      </c>
      <c r="E2185" s="48" t="s">
        <v>1139</v>
      </c>
      <c r="F2185" s="48" t="s">
        <v>1140</v>
      </c>
      <c r="G2185" s="48" t="s">
        <v>1141</v>
      </c>
      <c r="H2185" s="47" t="s">
        <v>1142</v>
      </c>
      <c r="I2185" s="47" t="s">
        <v>940</v>
      </c>
      <c r="J2185" s="47" t="s">
        <v>26</v>
      </c>
    </row>
    <row r="2186" ht="54" customHeight="1" spans="1:10">
      <c r="A2186" s="48" t="s">
        <v>675</v>
      </c>
      <c r="B2186" s="48" t="s">
        <v>3604</v>
      </c>
      <c r="C2186" s="47" t="s">
        <v>1313</v>
      </c>
      <c r="D2186" s="48" t="s">
        <v>1037</v>
      </c>
      <c r="E2186" s="48" t="s">
        <v>1038</v>
      </c>
      <c r="F2186" s="48" t="s">
        <v>1314</v>
      </c>
      <c r="G2186" s="48" t="s">
        <v>1315</v>
      </c>
      <c r="H2186" s="47" t="s">
        <v>1316</v>
      </c>
      <c r="I2186" s="47" t="s">
        <v>1317</v>
      </c>
      <c r="J2186" s="47" t="s">
        <v>26</v>
      </c>
    </row>
    <row r="2187" ht="54" customHeight="1" spans="1:10">
      <c r="A2187" s="48" t="s">
        <v>677</v>
      </c>
      <c r="B2187" s="48" t="s">
        <v>3605</v>
      </c>
      <c r="C2187" s="47" t="s">
        <v>934</v>
      </c>
      <c r="D2187" s="48" t="s">
        <v>935</v>
      </c>
      <c r="E2187" s="48" t="s">
        <v>936</v>
      </c>
      <c r="F2187" s="48" t="s">
        <v>937</v>
      </c>
      <c r="G2187" s="48" t="s">
        <v>938</v>
      </c>
      <c r="H2187" s="47" t="s">
        <v>939</v>
      </c>
      <c r="I2187" s="47" t="s">
        <v>940</v>
      </c>
      <c r="J2187" s="47" t="s">
        <v>26</v>
      </c>
    </row>
    <row r="2188" ht="54" customHeight="1" spans="1:10">
      <c r="A2188" s="48" t="s">
        <v>677</v>
      </c>
      <c r="B2188" s="48" t="s">
        <v>3606</v>
      </c>
      <c r="C2188" s="47" t="s">
        <v>950</v>
      </c>
      <c r="D2188" s="48" t="s">
        <v>935</v>
      </c>
      <c r="E2188" s="48" t="s">
        <v>936</v>
      </c>
      <c r="F2188" s="48" t="s">
        <v>951</v>
      </c>
      <c r="G2188" s="48" t="s">
        <v>952</v>
      </c>
      <c r="H2188" s="47" t="s">
        <v>953</v>
      </c>
      <c r="I2188" s="47" t="s">
        <v>954</v>
      </c>
      <c r="J2188" s="47" t="s">
        <v>26</v>
      </c>
    </row>
    <row r="2189" ht="54" customHeight="1" spans="1:10">
      <c r="A2189" s="48" t="s">
        <v>677</v>
      </c>
      <c r="B2189" s="48" t="s">
        <v>3607</v>
      </c>
      <c r="C2189" s="47" t="s">
        <v>1666</v>
      </c>
      <c r="D2189" s="48" t="s">
        <v>1082</v>
      </c>
      <c r="E2189" s="48" t="s">
        <v>1083</v>
      </c>
      <c r="F2189" s="48" t="s">
        <v>1667</v>
      </c>
      <c r="G2189" s="48" t="s">
        <v>1668</v>
      </c>
      <c r="H2189" s="47" t="s">
        <v>1669</v>
      </c>
      <c r="I2189" s="47" t="s">
        <v>1670</v>
      </c>
      <c r="J2189" s="47" t="s">
        <v>26</v>
      </c>
    </row>
    <row r="2190" ht="54" customHeight="1" spans="1:10">
      <c r="A2190" s="48" t="s">
        <v>677</v>
      </c>
      <c r="B2190" s="48" t="s">
        <v>3608</v>
      </c>
      <c r="C2190" s="47" t="s">
        <v>971</v>
      </c>
      <c r="D2190" s="48" t="s">
        <v>965</v>
      </c>
      <c r="E2190" s="48" t="s">
        <v>966</v>
      </c>
      <c r="F2190" s="48" t="s">
        <v>972</v>
      </c>
      <c r="G2190" s="48" t="s">
        <v>973</v>
      </c>
      <c r="H2190" s="47" t="s">
        <v>974</v>
      </c>
      <c r="I2190" s="47" t="s">
        <v>975</v>
      </c>
      <c r="J2190" s="47" t="s">
        <v>26</v>
      </c>
    </row>
    <row r="2191" ht="54" customHeight="1" spans="1:10">
      <c r="A2191" s="48" t="s">
        <v>677</v>
      </c>
      <c r="B2191" s="48" t="s">
        <v>3609</v>
      </c>
      <c r="C2191" s="47" t="s">
        <v>977</v>
      </c>
      <c r="D2191" s="48" t="s">
        <v>978</v>
      </c>
      <c r="E2191" s="48" t="s">
        <v>979</v>
      </c>
      <c r="F2191" s="48" t="s">
        <v>980</v>
      </c>
      <c r="G2191" s="48" t="s">
        <v>981</v>
      </c>
      <c r="H2191" s="47" t="s">
        <v>982</v>
      </c>
      <c r="I2191" s="47" t="s">
        <v>983</v>
      </c>
      <c r="J2191" s="47" t="s">
        <v>26</v>
      </c>
    </row>
    <row r="2192" ht="54" customHeight="1" spans="1:10">
      <c r="A2192" s="48" t="s">
        <v>677</v>
      </c>
      <c r="B2192" s="48" t="s">
        <v>3610</v>
      </c>
      <c r="C2192" s="47" t="s">
        <v>1145</v>
      </c>
      <c r="D2192" s="48" t="s">
        <v>1146</v>
      </c>
      <c r="E2192" s="48" t="s">
        <v>1147</v>
      </c>
      <c r="F2192" s="48" t="s">
        <v>1148</v>
      </c>
      <c r="G2192" s="48" t="s">
        <v>1149</v>
      </c>
      <c r="H2192" s="47" t="s">
        <v>1150</v>
      </c>
      <c r="I2192" s="47" t="s">
        <v>1151</v>
      </c>
      <c r="J2192" s="47" t="s">
        <v>26</v>
      </c>
    </row>
    <row r="2193" ht="54" customHeight="1" spans="1:10">
      <c r="A2193" s="48" t="s">
        <v>677</v>
      </c>
      <c r="B2193" s="48" t="s">
        <v>3611</v>
      </c>
      <c r="C2193" s="47" t="s">
        <v>1196</v>
      </c>
      <c r="D2193" s="48" t="s">
        <v>1118</v>
      </c>
      <c r="E2193" s="48" t="s">
        <v>1119</v>
      </c>
      <c r="F2193" s="48" t="s">
        <v>1197</v>
      </c>
      <c r="G2193" s="48" t="s">
        <v>1198</v>
      </c>
      <c r="H2193" s="47" t="s">
        <v>1199</v>
      </c>
      <c r="I2193" s="47" t="s">
        <v>1200</v>
      </c>
      <c r="J2193" s="47" t="s">
        <v>26</v>
      </c>
    </row>
    <row r="2194" ht="54" customHeight="1" spans="1:10">
      <c r="A2194" s="48" t="s">
        <v>679</v>
      </c>
      <c r="B2194" s="48" t="s">
        <v>3612</v>
      </c>
      <c r="C2194" s="47" t="s">
        <v>934</v>
      </c>
      <c r="D2194" s="48" t="s">
        <v>935</v>
      </c>
      <c r="E2194" s="48" t="s">
        <v>936</v>
      </c>
      <c r="F2194" s="48" t="s">
        <v>937</v>
      </c>
      <c r="G2194" s="48" t="s">
        <v>938</v>
      </c>
      <c r="H2194" s="47" t="s">
        <v>939</v>
      </c>
      <c r="I2194" s="47" t="s">
        <v>940</v>
      </c>
      <c r="J2194" s="47" t="s">
        <v>26</v>
      </c>
    </row>
    <row r="2195" ht="54" customHeight="1" spans="1:10">
      <c r="A2195" s="48" t="s">
        <v>679</v>
      </c>
      <c r="B2195" s="48" t="s">
        <v>3613</v>
      </c>
      <c r="C2195" s="47" t="s">
        <v>950</v>
      </c>
      <c r="D2195" s="48" t="s">
        <v>935</v>
      </c>
      <c r="E2195" s="48" t="s">
        <v>936</v>
      </c>
      <c r="F2195" s="48" t="s">
        <v>951</v>
      </c>
      <c r="G2195" s="48" t="s">
        <v>952</v>
      </c>
      <c r="H2195" s="47" t="s">
        <v>953</v>
      </c>
      <c r="I2195" s="47" t="s">
        <v>954</v>
      </c>
      <c r="J2195" s="47" t="s">
        <v>26</v>
      </c>
    </row>
    <row r="2196" ht="54" customHeight="1" spans="1:10">
      <c r="A2196" s="48" t="s">
        <v>679</v>
      </c>
      <c r="B2196" s="48" t="s">
        <v>3614</v>
      </c>
      <c r="C2196" s="47" t="s">
        <v>1252</v>
      </c>
      <c r="D2196" s="48" t="s">
        <v>1001</v>
      </c>
      <c r="E2196" s="48" t="s">
        <v>1002</v>
      </c>
      <c r="F2196" s="48" t="s">
        <v>1253</v>
      </c>
      <c r="G2196" s="48" t="s">
        <v>1254</v>
      </c>
      <c r="H2196" s="47" t="s">
        <v>1255</v>
      </c>
      <c r="I2196" s="47" t="s">
        <v>1256</v>
      </c>
      <c r="J2196" s="47" t="s">
        <v>26</v>
      </c>
    </row>
    <row r="2197" ht="54" customHeight="1" spans="1:10">
      <c r="A2197" s="48" t="s">
        <v>679</v>
      </c>
      <c r="B2197" s="48" t="s">
        <v>3615</v>
      </c>
      <c r="C2197" s="47" t="s">
        <v>971</v>
      </c>
      <c r="D2197" s="48" t="s">
        <v>965</v>
      </c>
      <c r="E2197" s="48" t="s">
        <v>966</v>
      </c>
      <c r="F2197" s="48" t="s">
        <v>972</v>
      </c>
      <c r="G2197" s="48" t="s">
        <v>973</v>
      </c>
      <c r="H2197" s="47" t="s">
        <v>974</v>
      </c>
      <c r="I2197" s="47" t="s">
        <v>975</v>
      </c>
      <c r="J2197" s="47" t="s">
        <v>26</v>
      </c>
    </row>
    <row r="2198" ht="54" customHeight="1" spans="1:10">
      <c r="A2198" s="48" t="s">
        <v>679</v>
      </c>
      <c r="B2198" s="48" t="s">
        <v>3616</v>
      </c>
      <c r="C2198" s="47" t="s">
        <v>1211</v>
      </c>
      <c r="D2198" s="48" t="s">
        <v>965</v>
      </c>
      <c r="E2198" s="48" t="s">
        <v>966</v>
      </c>
      <c r="F2198" s="48" t="s">
        <v>1212</v>
      </c>
      <c r="G2198" s="48" t="s">
        <v>1213</v>
      </c>
      <c r="H2198" s="47" t="s">
        <v>1214</v>
      </c>
      <c r="I2198" s="47" t="s">
        <v>940</v>
      </c>
      <c r="J2198" s="47" t="s">
        <v>26</v>
      </c>
    </row>
    <row r="2199" ht="54" customHeight="1" spans="1:10">
      <c r="A2199" s="48" t="s">
        <v>679</v>
      </c>
      <c r="B2199" s="48" t="s">
        <v>3617</v>
      </c>
      <c r="C2199" s="47" t="s">
        <v>1170</v>
      </c>
      <c r="D2199" s="48" t="s">
        <v>1171</v>
      </c>
      <c r="E2199" s="48" t="s">
        <v>1172</v>
      </c>
      <c r="F2199" s="48" t="s">
        <v>1173</v>
      </c>
      <c r="G2199" s="48" t="s">
        <v>1174</v>
      </c>
      <c r="H2199" s="47" t="s">
        <v>1175</v>
      </c>
      <c r="I2199" s="47" t="s">
        <v>1176</v>
      </c>
      <c r="J2199" s="47" t="s">
        <v>26</v>
      </c>
    </row>
    <row r="2200" ht="54" customHeight="1" spans="1:10">
      <c r="A2200" s="48" t="s">
        <v>681</v>
      </c>
      <c r="B2200" s="48" t="s">
        <v>3618</v>
      </c>
      <c r="C2200" s="47" t="s">
        <v>1459</v>
      </c>
      <c r="D2200" s="48" t="s">
        <v>957</v>
      </c>
      <c r="E2200" s="48" t="s">
        <v>958</v>
      </c>
      <c r="F2200" s="48" t="s">
        <v>1460</v>
      </c>
      <c r="G2200" s="48" t="s">
        <v>1461</v>
      </c>
      <c r="H2200" s="47" t="s">
        <v>1462</v>
      </c>
      <c r="I2200" s="47" t="s">
        <v>1463</v>
      </c>
      <c r="J2200" s="47" t="s">
        <v>26</v>
      </c>
    </row>
    <row r="2201" ht="54" customHeight="1" spans="1:10">
      <c r="A2201" s="48" t="s">
        <v>681</v>
      </c>
      <c r="B2201" s="48" t="s">
        <v>3619</v>
      </c>
      <c r="C2201" s="47" t="s">
        <v>1097</v>
      </c>
      <c r="D2201" s="48" t="s">
        <v>1098</v>
      </c>
      <c r="E2201" s="48" t="s">
        <v>1099</v>
      </c>
      <c r="F2201" s="48" t="s">
        <v>1100</v>
      </c>
      <c r="G2201" s="48" t="s">
        <v>1101</v>
      </c>
      <c r="H2201" s="47" t="s">
        <v>1102</v>
      </c>
      <c r="I2201" s="47" t="s">
        <v>1103</v>
      </c>
      <c r="J2201" s="47" t="s">
        <v>26</v>
      </c>
    </row>
    <row r="2202" ht="54" customHeight="1" spans="1:10">
      <c r="A2202" s="48" t="s">
        <v>681</v>
      </c>
      <c r="B2202" s="48" t="s">
        <v>3620</v>
      </c>
      <c r="C2202" s="47" t="s">
        <v>1111</v>
      </c>
      <c r="D2202" s="48" t="s">
        <v>965</v>
      </c>
      <c r="E2202" s="48" t="s">
        <v>966</v>
      </c>
      <c r="F2202" s="48" t="s">
        <v>1112</v>
      </c>
      <c r="G2202" s="48" t="s">
        <v>1113</v>
      </c>
      <c r="H2202" s="47" t="s">
        <v>1114</v>
      </c>
      <c r="I2202" s="47" t="s">
        <v>1115</v>
      </c>
      <c r="J2202" s="47" t="s">
        <v>26</v>
      </c>
    </row>
    <row r="2203" ht="54" customHeight="1" spans="1:10">
      <c r="A2203" s="48" t="s">
        <v>681</v>
      </c>
      <c r="B2203" s="48" t="s">
        <v>3621</v>
      </c>
      <c r="C2203" s="47" t="s">
        <v>1131</v>
      </c>
      <c r="D2203" s="48" t="s">
        <v>993</v>
      </c>
      <c r="E2203" s="48" t="s">
        <v>994</v>
      </c>
      <c r="F2203" s="48" t="s">
        <v>1132</v>
      </c>
      <c r="G2203" s="48" t="s">
        <v>1133</v>
      </c>
      <c r="H2203" s="47" t="s">
        <v>1134</v>
      </c>
      <c r="I2203" s="47" t="s">
        <v>1135</v>
      </c>
      <c r="J2203" s="47" t="s">
        <v>26</v>
      </c>
    </row>
    <row r="2204" ht="54" customHeight="1" spans="1:10">
      <c r="A2204" s="48" t="s">
        <v>681</v>
      </c>
      <c r="B2204" s="48" t="s">
        <v>3622</v>
      </c>
      <c r="C2204" s="47" t="s">
        <v>1137</v>
      </c>
      <c r="D2204" s="48" t="s">
        <v>1138</v>
      </c>
      <c r="E2204" s="48" t="s">
        <v>1139</v>
      </c>
      <c r="F2204" s="48" t="s">
        <v>1140</v>
      </c>
      <c r="G2204" s="48" t="s">
        <v>1141</v>
      </c>
      <c r="H2204" s="47" t="s">
        <v>1142</v>
      </c>
      <c r="I2204" s="47" t="s">
        <v>940</v>
      </c>
      <c r="J2204" s="47" t="s">
        <v>26</v>
      </c>
    </row>
    <row r="2205" ht="54" customHeight="1" spans="1:10">
      <c r="A2205" s="48" t="s">
        <v>681</v>
      </c>
      <c r="B2205" s="48" t="s">
        <v>3623</v>
      </c>
      <c r="C2205" s="47" t="s">
        <v>1291</v>
      </c>
      <c r="D2205" s="48" t="s">
        <v>965</v>
      </c>
      <c r="E2205" s="48" t="s">
        <v>966</v>
      </c>
      <c r="F2205" s="48" t="s">
        <v>1292</v>
      </c>
      <c r="G2205" s="48" t="s">
        <v>1293</v>
      </c>
      <c r="H2205" s="47" t="s">
        <v>1294</v>
      </c>
      <c r="I2205" s="47" t="s">
        <v>1295</v>
      </c>
      <c r="J2205" s="47" t="s">
        <v>26</v>
      </c>
    </row>
    <row r="2206" ht="54" customHeight="1" spans="1:10">
      <c r="A2206" s="48" t="s">
        <v>681</v>
      </c>
      <c r="B2206" s="48" t="s">
        <v>3624</v>
      </c>
      <c r="C2206" s="47" t="s">
        <v>1145</v>
      </c>
      <c r="D2206" s="48" t="s">
        <v>1146</v>
      </c>
      <c r="E2206" s="48" t="s">
        <v>1147</v>
      </c>
      <c r="F2206" s="48" t="s">
        <v>1148</v>
      </c>
      <c r="G2206" s="48" t="s">
        <v>1149</v>
      </c>
      <c r="H2206" s="47" t="s">
        <v>1150</v>
      </c>
      <c r="I2206" s="47" t="s">
        <v>1151</v>
      </c>
      <c r="J2206" s="47" t="s">
        <v>26</v>
      </c>
    </row>
    <row r="2207" ht="54" customHeight="1" spans="1:10">
      <c r="A2207" s="48" t="s">
        <v>681</v>
      </c>
      <c r="B2207" s="48" t="s">
        <v>3625</v>
      </c>
      <c r="C2207" s="47" t="s">
        <v>1196</v>
      </c>
      <c r="D2207" s="48" t="s">
        <v>1118</v>
      </c>
      <c r="E2207" s="48" t="s">
        <v>1119</v>
      </c>
      <c r="F2207" s="48" t="s">
        <v>1197</v>
      </c>
      <c r="G2207" s="48" t="s">
        <v>1198</v>
      </c>
      <c r="H2207" s="47" t="s">
        <v>1199</v>
      </c>
      <c r="I2207" s="47" t="s">
        <v>1200</v>
      </c>
      <c r="J2207" s="47" t="s">
        <v>26</v>
      </c>
    </row>
    <row r="2208" ht="54" customHeight="1" spans="1:10">
      <c r="A2208" s="48" t="s">
        <v>683</v>
      </c>
      <c r="B2208" s="48" t="s">
        <v>3626</v>
      </c>
      <c r="C2208" s="47" t="s">
        <v>1105</v>
      </c>
      <c r="D2208" s="48" t="s">
        <v>1009</v>
      </c>
      <c r="E2208" s="48" t="s">
        <v>1010</v>
      </c>
      <c r="F2208" s="48" t="s">
        <v>1106</v>
      </c>
      <c r="G2208" s="48" t="s">
        <v>1107</v>
      </c>
      <c r="H2208" s="47" t="s">
        <v>1108</v>
      </c>
      <c r="I2208" s="47" t="s">
        <v>1109</v>
      </c>
      <c r="J2208" s="47" t="s">
        <v>26</v>
      </c>
    </row>
    <row r="2209" ht="54" customHeight="1" spans="1:10">
      <c r="A2209" s="48" t="s">
        <v>683</v>
      </c>
      <c r="B2209" s="48" t="s">
        <v>3627</v>
      </c>
      <c r="C2209" s="47" t="s">
        <v>1097</v>
      </c>
      <c r="D2209" s="48" t="s">
        <v>1098</v>
      </c>
      <c r="E2209" s="48" t="s">
        <v>1099</v>
      </c>
      <c r="F2209" s="48" t="s">
        <v>1100</v>
      </c>
      <c r="G2209" s="48" t="s">
        <v>1101</v>
      </c>
      <c r="H2209" s="47" t="s">
        <v>1102</v>
      </c>
      <c r="I2209" s="47" t="s">
        <v>1103</v>
      </c>
      <c r="J2209" s="47" t="s">
        <v>26</v>
      </c>
    </row>
    <row r="2210" ht="54" customHeight="1" spans="1:10">
      <c r="A2210" s="48" t="s">
        <v>683</v>
      </c>
      <c r="B2210" s="48" t="s">
        <v>3628</v>
      </c>
      <c r="C2210" s="47" t="s">
        <v>1137</v>
      </c>
      <c r="D2210" s="48" t="s">
        <v>1138</v>
      </c>
      <c r="E2210" s="48" t="s">
        <v>1139</v>
      </c>
      <c r="F2210" s="48" t="s">
        <v>1140</v>
      </c>
      <c r="G2210" s="48" t="s">
        <v>1141</v>
      </c>
      <c r="H2210" s="47" t="s">
        <v>1142</v>
      </c>
      <c r="I2210" s="47" t="s">
        <v>940</v>
      </c>
      <c r="J2210" s="47" t="s">
        <v>26</v>
      </c>
    </row>
    <row r="2211" ht="54" customHeight="1" spans="1:10">
      <c r="A2211" s="48" t="s">
        <v>683</v>
      </c>
      <c r="B2211" s="48" t="s">
        <v>3629</v>
      </c>
      <c r="C2211" s="47" t="s">
        <v>1291</v>
      </c>
      <c r="D2211" s="48" t="s">
        <v>965</v>
      </c>
      <c r="E2211" s="48" t="s">
        <v>966</v>
      </c>
      <c r="F2211" s="48" t="s">
        <v>1292</v>
      </c>
      <c r="G2211" s="48" t="s">
        <v>1293</v>
      </c>
      <c r="H2211" s="47" t="s">
        <v>1294</v>
      </c>
      <c r="I2211" s="47" t="s">
        <v>1295</v>
      </c>
      <c r="J2211" s="47" t="s">
        <v>26</v>
      </c>
    </row>
    <row r="2212" ht="54" customHeight="1" spans="1:10">
      <c r="A2212" s="48" t="s">
        <v>683</v>
      </c>
      <c r="B2212" s="48" t="s">
        <v>3630</v>
      </c>
      <c r="C2212" s="47" t="s">
        <v>1211</v>
      </c>
      <c r="D2212" s="48" t="s">
        <v>965</v>
      </c>
      <c r="E2212" s="48" t="s">
        <v>966</v>
      </c>
      <c r="F2212" s="48" t="s">
        <v>1212</v>
      </c>
      <c r="G2212" s="48" t="s">
        <v>1213</v>
      </c>
      <c r="H2212" s="47" t="s">
        <v>1214</v>
      </c>
      <c r="I2212" s="47" t="s">
        <v>940</v>
      </c>
      <c r="J2212" s="47" t="s">
        <v>26</v>
      </c>
    </row>
    <row r="2213" ht="54" customHeight="1" spans="1:10">
      <c r="A2213" s="48" t="s">
        <v>685</v>
      </c>
      <c r="B2213" s="48" t="s">
        <v>3631</v>
      </c>
      <c r="C2213" s="47" t="s">
        <v>1022</v>
      </c>
      <c r="D2213" s="48" t="s">
        <v>957</v>
      </c>
      <c r="E2213" s="48" t="s">
        <v>958</v>
      </c>
      <c r="F2213" s="48" t="s">
        <v>1023</v>
      </c>
      <c r="G2213" s="48" t="s">
        <v>1024</v>
      </c>
      <c r="H2213" s="47" t="s">
        <v>1025</v>
      </c>
      <c r="I2213" s="47" t="s">
        <v>1026</v>
      </c>
      <c r="J2213" s="47" t="s">
        <v>26</v>
      </c>
    </row>
    <row r="2214" ht="54" customHeight="1" spans="1:10">
      <c r="A2214" s="48" t="s">
        <v>685</v>
      </c>
      <c r="B2214" s="48" t="s">
        <v>3632</v>
      </c>
      <c r="C2214" s="47" t="s">
        <v>1268</v>
      </c>
      <c r="D2214" s="48" t="s">
        <v>957</v>
      </c>
      <c r="E2214" s="48" t="s">
        <v>958</v>
      </c>
      <c r="F2214" s="48" t="s">
        <v>1269</v>
      </c>
      <c r="G2214" s="48" t="s">
        <v>1270</v>
      </c>
      <c r="H2214" s="47" t="s">
        <v>1271</v>
      </c>
      <c r="I2214" s="47" t="s">
        <v>1272</v>
      </c>
      <c r="J2214" s="47" t="s">
        <v>26</v>
      </c>
    </row>
    <row r="2215" ht="54" customHeight="1" spans="1:10">
      <c r="A2215" s="48" t="s">
        <v>685</v>
      </c>
      <c r="B2215" s="48" t="s">
        <v>3633</v>
      </c>
      <c r="C2215" s="47" t="s">
        <v>1767</v>
      </c>
      <c r="D2215" s="48" t="s">
        <v>957</v>
      </c>
      <c r="E2215" s="48" t="s">
        <v>958</v>
      </c>
      <c r="F2215" s="48" t="s">
        <v>1768</v>
      </c>
      <c r="G2215" s="48" t="s">
        <v>1769</v>
      </c>
      <c r="H2215" s="47" t="s">
        <v>1770</v>
      </c>
      <c r="I2215" s="47" t="s">
        <v>1771</v>
      </c>
      <c r="J2215" s="47" t="s">
        <v>26</v>
      </c>
    </row>
    <row r="2216" ht="54" customHeight="1" spans="1:10">
      <c r="A2216" s="48" t="s">
        <v>685</v>
      </c>
      <c r="B2216" s="48" t="s">
        <v>3634</v>
      </c>
      <c r="C2216" s="47" t="s">
        <v>1097</v>
      </c>
      <c r="D2216" s="48" t="s">
        <v>1098</v>
      </c>
      <c r="E2216" s="48" t="s">
        <v>1099</v>
      </c>
      <c r="F2216" s="48" t="s">
        <v>1100</v>
      </c>
      <c r="G2216" s="48" t="s">
        <v>1101</v>
      </c>
      <c r="H2216" s="47" t="s">
        <v>1102</v>
      </c>
      <c r="I2216" s="47" t="s">
        <v>1103</v>
      </c>
      <c r="J2216" s="47" t="s">
        <v>26</v>
      </c>
    </row>
    <row r="2217" ht="54" customHeight="1" spans="1:10">
      <c r="A2217" s="48" t="s">
        <v>685</v>
      </c>
      <c r="B2217" s="48" t="s">
        <v>3635</v>
      </c>
      <c r="C2217" s="47" t="s">
        <v>1666</v>
      </c>
      <c r="D2217" s="48" t="s">
        <v>1082</v>
      </c>
      <c r="E2217" s="48" t="s">
        <v>1083</v>
      </c>
      <c r="F2217" s="48" t="s">
        <v>1667</v>
      </c>
      <c r="G2217" s="48" t="s">
        <v>1668</v>
      </c>
      <c r="H2217" s="47" t="s">
        <v>1669</v>
      </c>
      <c r="I2217" s="47" t="s">
        <v>1670</v>
      </c>
      <c r="J2217" s="47" t="s">
        <v>26</v>
      </c>
    </row>
    <row r="2218" ht="54" customHeight="1" spans="1:10">
      <c r="A2218" s="48" t="s">
        <v>685</v>
      </c>
      <c r="B2218" s="48" t="s">
        <v>3636</v>
      </c>
      <c r="C2218" s="47" t="s">
        <v>1066</v>
      </c>
      <c r="D2218" s="48" t="s">
        <v>935</v>
      </c>
      <c r="E2218" s="48" t="s">
        <v>936</v>
      </c>
      <c r="F2218" s="48" t="s">
        <v>1067</v>
      </c>
      <c r="G2218" s="48" t="s">
        <v>1068</v>
      </c>
      <c r="H2218" s="47" t="s">
        <v>1069</v>
      </c>
      <c r="I2218" s="47" t="s">
        <v>940</v>
      </c>
      <c r="J2218" s="47" t="s">
        <v>26</v>
      </c>
    </row>
    <row r="2219" ht="54" customHeight="1" spans="1:10">
      <c r="A2219" s="48" t="s">
        <v>685</v>
      </c>
      <c r="B2219" s="48" t="s">
        <v>3637</v>
      </c>
      <c r="C2219" s="47" t="s">
        <v>1137</v>
      </c>
      <c r="D2219" s="48" t="s">
        <v>1138</v>
      </c>
      <c r="E2219" s="48" t="s">
        <v>1139</v>
      </c>
      <c r="F2219" s="48" t="s">
        <v>1140</v>
      </c>
      <c r="G2219" s="48" t="s">
        <v>1141</v>
      </c>
      <c r="H2219" s="47" t="s">
        <v>1142</v>
      </c>
      <c r="I2219" s="47" t="s">
        <v>940</v>
      </c>
      <c r="J2219" s="47" t="s">
        <v>26</v>
      </c>
    </row>
    <row r="2220" ht="54" customHeight="1" spans="1:10">
      <c r="A2220" s="48" t="s">
        <v>685</v>
      </c>
      <c r="B2220" s="48" t="s">
        <v>3638</v>
      </c>
      <c r="C2220" s="47" t="s">
        <v>971</v>
      </c>
      <c r="D2220" s="48" t="s">
        <v>965</v>
      </c>
      <c r="E2220" s="48" t="s">
        <v>966</v>
      </c>
      <c r="F2220" s="48" t="s">
        <v>972</v>
      </c>
      <c r="G2220" s="48" t="s">
        <v>973</v>
      </c>
      <c r="H2220" s="47" t="s">
        <v>974</v>
      </c>
      <c r="I2220" s="47" t="s">
        <v>975</v>
      </c>
      <c r="J2220" s="47" t="s">
        <v>26</v>
      </c>
    </row>
    <row r="2221" ht="54" customHeight="1" spans="1:10">
      <c r="A2221" s="48" t="s">
        <v>685</v>
      </c>
      <c r="B2221" s="48" t="s">
        <v>3639</v>
      </c>
      <c r="C2221" s="47" t="s">
        <v>1291</v>
      </c>
      <c r="D2221" s="48" t="s">
        <v>965</v>
      </c>
      <c r="E2221" s="48" t="s">
        <v>966</v>
      </c>
      <c r="F2221" s="48" t="s">
        <v>1292</v>
      </c>
      <c r="G2221" s="48" t="s">
        <v>1293</v>
      </c>
      <c r="H2221" s="47" t="s">
        <v>1294</v>
      </c>
      <c r="I2221" s="47" t="s">
        <v>1295</v>
      </c>
      <c r="J2221" s="47" t="s">
        <v>26</v>
      </c>
    </row>
    <row r="2222" ht="54" customHeight="1" spans="1:10">
      <c r="A2222" s="48" t="s">
        <v>685</v>
      </c>
      <c r="B2222" s="48" t="s">
        <v>3640</v>
      </c>
      <c r="C2222" s="47" t="s">
        <v>977</v>
      </c>
      <c r="D2222" s="48" t="s">
        <v>978</v>
      </c>
      <c r="E2222" s="48" t="s">
        <v>979</v>
      </c>
      <c r="F2222" s="48" t="s">
        <v>980</v>
      </c>
      <c r="G2222" s="48" t="s">
        <v>981</v>
      </c>
      <c r="H2222" s="47" t="s">
        <v>982</v>
      </c>
      <c r="I2222" s="47" t="s">
        <v>983</v>
      </c>
      <c r="J2222" s="47" t="s">
        <v>26</v>
      </c>
    </row>
    <row r="2223" ht="54" customHeight="1" spans="1:10">
      <c r="A2223" s="48" t="s">
        <v>687</v>
      </c>
      <c r="B2223" s="48" t="s">
        <v>3641</v>
      </c>
      <c r="C2223" s="47" t="s">
        <v>1036</v>
      </c>
      <c r="D2223" s="48" t="s">
        <v>1037</v>
      </c>
      <c r="E2223" s="48" t="s">
        <v>1038</v>
      </c>
      <c r="F2223" s="48" t="s">
        <v>1039</v>
      </c>
      <c r="G2223" s="48" t="s">
        <v>1040</v>
      </c>
      <c r="H2223" s="47" t="s">
        <v>1041</v>
      </c>
      <c r="I2223" s="47" t="s">
        <v>1042</v>
      </c>
      <c r="J2223" s="47" t="s">
        <v>29</v>
      </c>
    </row>
    <row r="2224" ht="54" customHeight="1" spans="1:10">
      <c r="A2224" s="48" t="s">
        <v>687</v>
      </c>
      <c r="B2224" s="48" t="s">
        <v>3642</v>
      </c>
      <c r="C2224" s="47" t="s">
        <v>1052</v>
      </c>
      <c r="D2224" s="48" t="s">
        <v>1009</v>
      </c>
      <c r="E2224" s="48" t="s">
        <v>1010</v>
      </c>
      <c r="F2224" s="48" t="s">
        <v>1053</v>
      </c>
      <c r="G2224" s="48" t="s">
        <v>1054</v>
      </c>
      <c r="H2224" s="47" t="s">
        <v>1055</v>
      </c>
      <c r="I2224" s="47" t="s">
        <v>1056</v>
      </c>
      <c r="J2224" s="47" t="s">
        <v>29</v>
      </c>
    </row>
    <row r="2225" ht="54" customHeight="1" spans="1:10">
      <c r="A2225" s="48" t="s">
        <v>687</v>
      </c>
      <c r="B2225" s="48" t="s">
        <v>3643</v>
      </c>
      <c r="C2225" s="47" t="s">
        <v>1388</v>
      </c>
      <c r="D2225" s="48" t="s">
        <v>1037</v>
      </c>
      <c r="E2225" s="48" t="s">
        <v>1038</v>
      </c>
      <c r="F2225" s="48" t="s">
        <v>1389</v>
      </c>
      <c r="G2225" s="48" t="s">
        <v>1390</v>
      </c>
      <c r="H2225" s="47" t="s">
        <v>1391</v>
      </c>
      <c r="I2225" s="47" t="s">
        <v>1392</v>
      </c>
      <c r="J2225" s="47" t="s">
        <v>29</v>
      </c>
    </row>
    <row r="2226" ht="54" customHeight="1" spans="1:10">
      <c r="A2226" s="48" t="s">
        <v>687</v>
      </c>
      <c r="B2226" s="48" t="s">
        <v>3644</v>
      </c>
      <c r="C2226" s="47" t="s">
        <v>1111</v>
      </c>
      <c r="D2226" s="48" t="s">
        <v>965</v>
      </c>
      <c r="E2226" s="48" t="s">
        <v>966</v>
      </c>
      <c r="F2226" s="48" t="s">
        <v>1112</v>
      </c>
      <c r="G2226" s="48" t="s">
        <v>1113</v>
      </c>
      <c r="H2226" s="47" t="s">
        <v>1114</v>
      </c>
      <c r="I2226" s="47" t="s">
        <v>1115</v>
      </c>
      <c r="J2226" s="47" t="s">
        <v>29</v>
      </c>
    </row>
    <row r="2227" ht="54" customHeight="1" spans="1:10">
      <c r="A2227" s="48" t="s">
        <v>687</v>
      </c>
      <c r="B2227" s="48" t="s">
        <v>3645</v>
      </c>
      <c r="C2227" s="47" t="s">
        <v>971</v>
      </c>
      <c r="D2227" s="48" t="s">
        <v>965</v>
      </c>
      <c r="E2227" s="48" t="s">
        <v>966</v>
      </c>
      <c r="F2227" s="48" t="s">
        <v>972</v>
      </c>
      <c r="G2227" s="48" t="s">
        <v>973</v>
      </c>
      <c r="H2227" s="47" t="s">
        <v>974</v>
      </c>
      <c r="I2227" s="47" t="s">
        <v>975</v>
      </c>
      <c r="J2227" s="47" t="s">
        <v>29</v>
      </c>
    </row>
    <row r="2228" ht="54" customHeight="1" spans="1:10">
      <c r="A2228" s="48" t="s">
        <v>687</v>
      </c>
      <c r="B2228" s="48" t="s">
        <v>3646</v>
      </c>
      <c r="C2228" s="47" t="s">
        <v>1291</v>
      </c>
      <c r="D2228" s="48" t="s">
        <v>965</v>
      </c>
      <c r="E2228" s="48" t="s">
        <v>966</v>
      </c>
      <c r="F2228" s="48" t="s">
        <v>1292</v>
      </c>
      <c r="G2228" s="48" t="s">
        <v>1293</v>
      </c>
      <c r="H2228" s="47" t="s">
        <v>1294</v>
      </c>
      <c r="I2228" s="47" t="s">
        <v>1295</v>
      </c>
      <c r="J2228" s="47" t="s">
        <v>29</v>
      </c>
    </row>
    <row r="2229" ht="54" customHeight="1" spans="1:10">
      <c r="A2229" s="48" t="s">
        <v>687</v>
      </c>
      <c r="B2229" s="48" t="s">
        <v>3647</v>
      </c>
      <c r="C2229" s="47" t="s">
        <v>1313</v>
      </c>
      <c r="D2229" s="48" t="s">
        <v>1037</v>
      </c>
      <c r="E2229" s="48" t="s">
        <v>1038</v>
      </c>
      <c r="F2229" s="48" t="s">
        <v>1314</v>
      </c>
      <c r="G2229" s="48" t="s">
        <v>1315</v>
      </c>
      <c r="H2229" s="47" t="s">
        <v>1316</v>
      </c>
      <c r="I2229" s="47" t="s">
        <v>1317</v>
      </c>
      <c r="J2229" s="47" t="s">
        <v>29</v>
      </c>
    </row>
    <row r="2230" ht="54" customHeight="1" spans="1:10">
      <c r="A2230" s="48" t="s">
        <v>689</v>
      </c>
      <c r="B2230" s="48" t="s">
        <v>3648</v>
      </c>
      <c r="C2230" s="47" t="s">
        <v>1008</v>
      </c>
      <c r="D2230" s="48" t="s">
        <v>1009</v>
      </c>
      <c r="E2230" s="48" t="s">
        <v>1010</v>
      </c>
      <c r="F2230" s="48" t="s">
        <v>1011</v>
      </c>
      <c r="G2230" s="48" t="s">
        <v>1012</v>
      </c>
      <c r="H2230" s="47" t="s">
        <v>1013</v>
      </c>
      <c r="I2230" s="47" t="s">
        <v>1014</v>
      </c>
      <c r="J2230" s="47" t="s">
        <v>26</v>
      </c>
    </row>
    <row r="2231" ht="54" customHeight="1" spans="1:10">
      <c r="A2231" s="48" t="s">
        <v>689</v>
      </c>
      <c r="B2231" s="48" t="s">
        <v>3649</v>
      </c>
      <c r="C2231" s="47" t="s">
        <v>1480</v>
      </c>
      <c r="D2231" s="48" t="s">
        <v>1001</v>
      </c>
      <c r="E2231" s="48" t="s">
        <v>1002</v>
      </c>
      <c r="F2231" s="48" t="s">
        <v>1481</v>
      </c>
      <c r="G2231" s="48" t="s">
        <v>1482</v>
      </c>
      <c r="H2231" s="47" t="s">
        <v>1483</v>
      </c>
      <c r="I2231" s="47" t="s">
        <v>1484</v>
      </c>
      <c r="J2231" s="47" t="s">
        <v>26</v>
      </c>
    </row>
    <row r="2232" ht="54" customHeight="1" spans="1:10">
      <c r="A2232" s="48" t="s">
        <v>689</v>
      </c>
      <c r="B2232" s="48" t="s">
        <v>3650</v>
      </c>
      <c r="C2232" s="47" t="s">
        <v>1252</v>
      </c>
      <c r="D2232" s="48" t="s">
        <v>1001</v>
      </c>
      <c r="E2232" s="48" t="s">
        <v>1002</v>
      </c>
      <c r="F2232" s="48" t="s">
        <v>1253</v>
      </c>
      <c r="G2232" s="48" t="s">
        <v>1254</v>
      </c>
      <c r="H2232" s="47" t="s">
        <v>1255</v>
      </c>
      <c r="I2232" s="47" t="s">
        <v>1256</v>
      </c>
      <c r="J2232" s="47" t="s">
        <v>26</v>
      </c>
    </row>
    <row r="2233" ht="54" customHeight="1" spans="1:10">
      <c r="A2233" s="48" t="s">
        <v>689</v>
      </c>
      <c r="B2233" s="48" t="s">
        <v>3651</v>
      </c>
      <c r="C2233" s="47" t="s">
        <v>1111</v>
      </c>
      <c r="D2233" s="48" t="s">
        <v>965</v>
      </c>
      <c r="E2233" s="48" t="s">
        <v>966</v>
      </c>
      <c r="F2233" s="48" t="s">
        <v>1112</v>
      </c>
      <c r="G2233" s="48" t="s">
        <v>1113</v>
      </c>
      <c r="H2233" s="47" t="s">
        <v>1114</v>
      </c>
      <c r="I2233" s="47" t="s">
        <v>1115</v>
      </c>
      <c r="J2233" s="47" t="s">
        <v>26</v>
      </c>
    </row>
    <row r="2234" ht="54" customHeight="1" spans="1:10">
      <c r="A2234" s="48" t="s">
        <v>689</v>
      </c>
      <c r="B2234" s="48" t="s">
        <v>3652</v>
      </c>
      <c r="C2234" s="47" t="s">
        <v>1137</v>
      </c>
      <c r="D2234" s="48" t="s">
        <v>1138</v>
      </c>
      <c r="E2234" s="48" t="s">
        <v>1139</v>
      </c>
      <c r="F2234" s="48" t="s">
        <v>1140</v>
      </c>
      <c r="G2234" s="48" t="s">
        <v>1141</v>
      </c>
      <c r="H2234" s="47" t="s">
        <v>1142</v>
      </c>
      <c r="I2234" s="47" t="s">
        <v>940</v>
      </c>
      <c r="J2234" s="47" t="s">
        <v>26</v>
      </c>
    </row>
    <row r="2235" ht="54" customHeight="1" spans="1:10">
      <c r="A2235" s="48" t="s">
        <v>689</v>
      </c>
      <c r="B2235" s="48" t="s">
        <v>3653</v>
      </c>
      <c r="C2235" s="47" t="s">
        <v>1216</v>
      </c>
      <c r="D2235" s="48" t="s">
        <v>993</v>
      </c>
      <c r="E2235" s="48" t="s">
        <v>994</v>
      </c>
      <c r="F2235" s="48" t="s">
        <v>1217</v>
      </c>
      <c r="G2235" s="48" t="s">
        <v>1218</v>
      </c>
      <c r="H2235" s="47" t="s">
        <v>1219</v>
      </c>
      <c r="I2235" s="47" t="s">
        <v>1220</v>
      </c>
      <c r="J2235" s="47" t="s">
        <v>26</v>
      </c>
    </row>
    <row r="2236" ht="54" customHeight="1" spans="1:10">
      <c r="A2236" s="48" t="s">
        <v>689</v>
      </c>
      <c r="B2236" s="48" t="s">
        <v>3654</v>
      </c>
      <c r="C2236" s="47" t="s">
        <v>1164</v>
      </c>
      <c r="D2236" s="48" t="s">
        <v>978</v>
      </c>
      <c r="E2236" s="48" t="s">
        <v>979</v>
      </c>
      <c r="F2236" s="48" t="s">
        <v>1165</v>
      </c>
      <c r="G2236" s="48" t="s">
        <v>1166</v>
      </c>
      <c r="H2236" s="47" t="s">
        <v>1167</v>
      </c>
      <c r="I2236" s="47" t="s">
        <v>1168</v>
      </c>
      <c r="J2236" s="47" t="s">
        <v>26</v>
      </c>
    </row>
    <row r="2237" ht="54" customHeight="1" spans="1:10">
      <c r="A2237" s="48" t="s">
        <v>689</v>
      </c>
      <c r="B2237" s="48" t="s">
        <v>3655</v>
      </c>
      <c r="C2237" s="47" t="s">
        <v>1245</v>
      </c>
      <c r="D2237" s="48" t="s">
        <v>1171</v>
      </c>
      <c r="E2237" s="48" t="s">
        <v>1172</v>
      </c>
      <c r="F2237" s="48" t="s">
        <v>1246</v>
      </c>
      <c r="G2237" s="48" t="s">
        <v>1247</v>
      </c>
      <c r="H2237" s="47" t="s">
        <v>1248</v>
      </c>
      <c r="I2237" s="47" t="s">
        <v>1176</v>
      </c>
      <c r="J2237" s="47" t="s">
        <v>26</v>
      </c>
    </row>
    <row r="2238" ht="54" customHeight="1" spans="1:10">
      <c r="A2238" s="48" t="s">
        <v>691</v>
      </c>
      <c r="B2238" s="48" t="s">
        <v>3656</v>
      </c>
      <c r="C2238" s="47" t="s">
        <v>2074</v>
      </c>
      <c r="D2238" s="48" t="s">
        <v>1029</v>
      </c>
      <c r="E2238" s="48" t="s">
        <v>1030</v>
      </c>
      <c r="F2238" s="48" t="s">
        <v>2075</v>
      </c>
      <c r="G2238" s="48" t="s">
        <v>2076</v>
      </c>
      <c r="H2238" s="47" t="s">
        <v>2077</v>
      </c>
      <c r="I2238" s="47" t="s">
        <v>2078</v>
      </c>
      <c r="J2238" s="47" t="s">
        <v>26</v>
      </c>
    </row>
    <row r="2239" ht="54" customHeight="1" spans="1:10">
      <c r="A2239" s="48" t="s">
        <v>691</v>
      </c>
      <c r="B2239" s="48" t="s">
        <v>3657</v>
      </c>
      <c r="C2239" s="47" t="s">
        <v>1081</v>
      </c>
      <c r="D2239" s="48" t="s">
        <v>1082</v>
      </c>
      <c r="E2239" s="48" t="s">
        <v>1083</v>
      </c>
      <c r="F2239" s="48" t="s">
        <v>1084</v>
      </c>
      <c r="G2239" s="48" t="s">
        <v>1085</v>
      </c>
      <c r="H2239" s="47" t="s">
        <v>1086</v>
      </c>
      <c r="I2239" s="47" t="s">
        <v>1087</v>
      </c>
      <c r="J2239" s="47" t="s">
        <v>26</v>
      </c>
    </row>
    <row r="2240" ht="54" customHeight="1" spans="1:10">
      <c r="A2240" s="48" t="s">
        <v>691</v>
      </c>
      <c r="B2240" s="48" t="s">
        <v>3658</v>
      </c>
      <c r="C2240" s="47" t="s">
        <v>1052</v>
      </c>
      <c r="D2240" s="48" t="s">
        <v>1009</v>
      </c>
      <c r="E2240" s="48" t="s">
        <v>1010</v>
      </c>
      <c r="F2240" s="48" t="s">
        <v>1053</v>
      </c>
      <c r="G2240" s="48" t="s">
        <v>1054</v>
      </c>
      <c r="H2240" s="47" t="s">
        <v>1055</v>
      </c>
      <c r="I2240" s="47" t="s">
        <v>1056</v>
      </c>
      <c r="J2240" s="47" t="s">
        <v>26</v>
      </c>
    </row>
    <row r="2241" ht="54" customHeight="1" spans="1:10">
      <c r="A2241" s="48" t="s">
        <v>691</v>
      </c>
      <c r="B2241" s="48" t="s">
        <v>3659</v>
      </c>
      <c r="C2241" s="47" t="s">
        <v>1111</v>
      </c>
      <c r="D2241" s="48" t="s">
        <v>965</v>
      </c>
      <c r="E2241" s="48" t="s">
        <v>966</v>
      </c>
      <c r="F2241" s="48" t="s">
        <v>1112</v>
      </c>
      <c r="G2241" s="48" t="s">
        <v>1113</v>
      </c>
      <c r="H2241" s="47" t="s">
        <v>1114</v>
      </c>
      <c r="I2241" s="47" t="s">
        <v>1115</v>
      </c>
      <c r="J2241" s="47" t="s">
        <v>26</v>
      </c>
    </row>
    <row r="2242" ht="54" customHeight="1" spans="1:10">
      <c r="A2242" s="48" t="s">
        <v>691</v>
      </c>
      <c r="B2242" s="48" t="s">
        <v>3660</v>
      </c>
      <c r="C2242" s="47" t="s">
        <v>1137</v>
      </c>
      <c r="D2242" s="48" t="s">
        <v>1138</v>
      </c>
      <c r="E2242" s="48" t="s">
        <v>1139</v>
      </c>
      <c r="F2242" s="48" t="s">
        <v>1140</v>
      </c>
      <c r="G2242" s="48" t="s">
        <v>1141</v>
      </c>
      <c r="H2242" s="47" t="s">
        <v>1142</v>
      </c>
      <c r="I2242" s="47" t="s">
        <v>940</v>
      </c>
      <c r="J2242" s="47" t="s">
        <v>26</v>
      </c>
    </row>
    <row r="2243" ht="54" customHeight="1" spans="1:10">
      <c r="A2243" s="48" t="s">
        <v>691</v>
      </c>
      <c r="B2243" s="48" t="s">
        <v>3661</v>
      </c>
      <c r="C2243" s="47" t="s">
        <v>1205</v>
      </c>
      <c r="D2243" s="48" t="s">
        <v>978</v>
      </c>
      <c r="E2243" s="48" t="s">
        <v>979</v>
      </c>
      <c r="F2243" s="48" t="s">
        <v>1206</v>
      </c>
      <c r="G2243" s="48" t="s">
        <v>1207</v>
      </c>
      <c r="H2243" s="47" t="s">
        <v>1208</v>
      </c>
      <c r="I2243" s="47" t="s">
        <v>1209</v>
      </c>
      <c r="J2243" s="47" t="s">
        <v>26</v>
      </c>
    </row>
    <row r="2244" ht="54" customHeight="1" spans="1:10">
      <c r="A2244" s="48" t="s">
        <v>693</v>
      </c>
      <c r="B2244" s="48" t="s">
        <v>3662</v>
      </c>
      <c r="C2244" s="47" t="s">
        <v>1572</v>
      </c>
      <c r="D2244" s="48" t="s">
        <v>1098</v>
      </c>
      <c r="E2244" s="48" t="s">
        <v>1099</v>
      </c>
      <c r="F2244" s="48" t="s">
        <v>1573</v>
      </c>
      <c r="G2244" s="48" t="s">
        <v>1574</v>
      </c>
      <c r="H2244" s="47" t="s">
        <v>1575</v>
      </c>
      <c r="I2244" s="47" t="s">
        <v>1576</v>
      </c>
      <c r="J2244" s="47" t="s">
        <v>26</v>
      </c>
    </row>
    <row r="2245" ht="54" customHeight="1" spans="1:10">
      <c r="A2245" s="48" t="s">
        <v>693</v>
      </c>
      <c r="B2245" s="48" t="s">
        <v>3663</v>
      </c>
      <c r="C2245" s="47" t="s">
        <v>1681</v>
      </c>
      <c r="D2245" s="48" t="s">
        <v>943</v>
      </c>
      <c r="E2245" s="48" t="s">
        <v>944</v>
      </c>
      <c r="F2245" s="48" t="s">
        <v>1682</v>
      </c>
      <c r="G2245" s="48" t="s">
        <v>1683</v>
      </c>
      <c r="H2245" s="47" t="s">
        <v>1684</v>
      </c>
      <c r="I2245" s="47" t="s">
        <v>1685</v>
      </c>
      <c r="J2245" s="47" t="s">
        <v>26</v>
      </c>
    </row>
    <row r="2246" ht="54" customHeight="1" spans="1:10">
      <c r="A2246" s="48" t="s">
        <v>693</v>
      </c>
      <c r="B2246" s="48" t="s">
        <v>3664</v>
      </c>
      <c r="C2246" s="47" t="s">
        <v>1337</v>
      </c>
      <c r="D2246" s="48" t="s">
        <v>1009</v>
      </c>
      <c r="E2246" s="48" t="s">
        <v>1010</v>
      </c>
      <c r="F2246" s="48" t="s">
        <v>1338</v>
      </c>
      <c r="G2246" s="48" t="s">
        <v>1339</v>
      </c>
      <c r="H2246" s="47" t="s">
        <v>1340</v>
      </c>
      <c r="I2246" s="47" t="s">
        <v>1341</v>
      </c>
      <c r="J2246" s="47" t="s">
        <v>26</v>
      </c>
    </row>
    <row r="2247" ht="54" customHeight="1" spans="1:10">
      <c r="A2247" s="48" t="s">
        <v>693</v>
      </c>
      <c r="B2247" s="48" t="s">
        <v>3665</v>
      </c>
      <c r="C2247" s="47" t="s">
        <v>1089</v>
      </c>
      <c r="D2247" s="48" t="s">
        <v>957</v>
      </c>
      <c r="E2247" s="48" t="s">
        <v>958</v>
      </c>
      <c r="F2247" s="48" t="s">
        <v>1090</v>
      </c>
      <c r="G2247" s="48" t="s">
        <v>1091</v>
      </c>
      <c r="H2247" s="47" t="s">
        <v>1092</v>
      </c>
      <c r="I2247" s="47" t="s">
        <v>1093</v>
      </c>
      <c r="J2247" s="47" t="s">
        <v>26</v>
      </c>
    </row>
    <row r="2248" ht="54" customHeight="1" spans="1:10">
      <c r="A2248" s="48" t="s">
        <v>693</v>
      </c>
      <c r="B2248" s="48" t="s">
        <v>3666</v>
      </c>
      <c r="C2248" s="47" t="s">
        <v>956</v>
      </c>
      <c r="D2248" s="48" t="s">
        <v>957</v>
      </c>
      <c r="E2248" s="48" t="s">
        <v>958</v>
      </c>
      <c r="F2248" s="48" t="s">
        <v>959</v>
      </c>
      <c r="G2248" s="48" t="s">
        <v>960</v>
      </c>
      <c r="H2248" s="47" t="s">
        <v>961</v>
      </c>
      <c r="I2248" s="47" t="s">
        <v>962</v>
      </c>
      <c r="J2248" s="47" t="s">
        <v>26</v>
      </c>
    </row>
    <row r="2249" ht="54" customHeight="1" spans="1:10">
      <c r="A2249" s="48" t="s">
        <v>693</v>
      </c>
      <c r="B2249" s="48" t="s">
        <v>3667</v>
      </c>
      <c r="C2249" s="47" t="s">
        <v>1044</v>
      </c>
      <c r="D2249" s="48" t="s">
        <v>1045</v>
      </c>
      <c r="E2249" s="48" t="s">
        <v>1046</v>
      </c>
      <c r="F2249" s="48" t="s">
        <v>1047</v>
      </c>
      <c r="G2249" s="48" t="s">
        <v>1048</v>
      </c>
      <c r="H2249" s="47" t="s">
        <v>1049</v>
      </c>
      <c r="I2249" s="47" t="s">
        <v>1050</v>
      </c>
      <c r="J2249" s="47" t="s">
        <v>26</v>
      </c>
    </row>
    <row r="2250" ht="54" customHeight="1" spans="1:10">
      <c r="A2250" s="48" t="s">
        <v>693</v>
      </c>
      <c r="B2250" s="48" t="s">
        <v>3668</v>
      </c>
      <c r="C2250" s="47" t="s">
        <v>1638</v>
      </c>
      <c r="D2250" s="48" t="s">
        <v>1118</v>
      </c>
      <c r="E2250" s="48" t="s">
        <v>1119</v>
      </c>
      <c r="F2250" s="48" t="s">
        <v>1639</v>
      </c>
      <c r="G2250" s="48" t="s">
        <v>1640</v>
      </c>
      <c r="H2250" s="47" t="s">
        <v>1641</v>
      </c>
      <c r="I2250" s="47" t="s">
        <v>1642</v>
      </c>
      <c r="J2250" s="47" t="s">
        <v>26</v>
      </c>
    </row>
    <row r="2251" ht="54" customHeight="1" spans="1:10">
      <c r="A2251" s="48" t="s">
        <v>693</v>
      </c>
      <c r="B2251" s="48" t="s">
        <v>3669</v>
      </c>
      <c r="C2251" s="47" t="s">
        <v>1137</v>
      </c>
      <c r="D2251" s="48" t="s">
        <v>1138</v>
      </c>
      <c r="E2251" s="48" t="s">
        <v>1139</v>
      </c>
      <c r="F2251" s="48" t="s">
        <v>1140</v>
      </c>
      <c r="G2251" s="48" t="s">
        <v>1141</v>
      </c>
      <c r="H2251" s="47" t="s">
        <v>1142</v>
      </c>
      <c r="I2251" s="47" t="s">
        <v>940</v>
      </c>
      <c r="J2251" s="47" t="s">
        <v>26</v>
      </c>
    </row>
    <row r="2252" ht="54" customHeight="1" spans="1:10">
      <c r="A2252" s="48" t="s">
        <v>695</v>
      </c>
      <c r="B2252" s="48" t="s">
        <v>3670</v>
      </c>
      <c r="C2252" s="47" t="s">
        <v>1072</v>
      </c>
      <c r="D2252" s="48" t="s">
        <v>1073</v>
      </c>
      <c r="E2252" s="48" t="s">
        <v>1074</v>
      </c>
      <c r="F2252" s="48" t="s">
        <v>1075</v>
      </c>
      <c r="G2252" s="48" t="s">
        <v>1076</v>
      </c>
      <c r="H2252" s="47" t="s">
        <v>1077</v>
      </c>
      <c r="I2252" s="47" t="s">
        <v>1078</v>
      </c>
      <c r="J2252" s="47" t="s">
        <v>26</v>
      </c>
    </row>
    <row r="2253" ht="54" customHeight="1" spans="1:10">
      <c r="A2253" s="48" t="s">
        <v>695</v>
      </c>
      <c r="B2253" s="48" t="s">
        <v>3671</v>
      </c>
      <c r="C2253" s="47" t="s">
        <v>1767</v>
      </c>
      <c r="D2253" s="48" t="s">
        <v>957</v>
      </c>
      <c r="E2253" s="48" t="s">
        <v>958</v>
      </c>
      <c r="F2253" s="48" t="s">
        <v>1768</v>
      </c>
      <c r="G2253" s="48" t="s">
        <v>1769</v>
      </c>
      <c r="H2253" s="47" t="s">
        <v>1770</v>
      </c>
      <c r="I2253" s="47" t="s">
        <v>1771</v>
      </c>
      <c r="J2253" s="47" t="s">
        <v>26</v>
      </c>
    </row>
    <row r="2254" ht="54" customHeight="1" spans="1:10">
      <c r="A2254" s="48" t="s">
        <v>695</v>
      </c>
      <c r="B2254" s="48" t="s">
        <v>3672</v>
      </c>
      <c r="C2254" s="47" t="s">
        <v>1036</v>
      </c>
      <c r="D2254" s="48" t="s">
        <v>1037</v>
      </c>
      <c r="E2254" s="48" t="s">
        <v>1038</v>
      </c>
      <c r="F2254" s="48" t="s">
        <v>1039</v>
      </c>
      <c r="G2254" s="48" t="s">
        <v>1040</v>
      </c>
      <c r="H2254" s="47" t="s">
        <v>1041</v>
      </c>
      <c r="I2254" s="47" t="s">
        <v>1042</v>
      </c>
      <c r="J2254" s="47" t="s">
        <v>26</v>
      </c>
    </row>
    <row r="2255" ht="54" customHeight="1" spans="1:10">
      <c r="A2255" s="48" t="s">
        <v>695</v>
      </c>
      <c r="B2255" s="48" t="s">
        <v>3673</v>
      </c>
      <c r="C2255" s="47" t="s">
        <v>1111</v>
      </c>
      <c r="D2255" s="48" t="s">
        <v>965</v>
      </c>
      <c r="E2255" s="48" t="s">
        <v>966</v>
      </c>
      <c r="F2255" s="48" t="s">
        <v>1112</v>
      </c>
      <c r="G2255" s="48" t="s">
        <v>1113</v>
      </c>
      <c r="H2255" s="47" t="s">
        <v>1114</v>
      </c>
      <c r="I2255" s="47" t="s">
        <v>1115</v>
      </c>
      <c r="J2255" s="47" t="s">
        <v>26</v>
      </c>
    </row>
    <row r="2256" ht="54" customHeight="1" spans="1:10">
      <c r="A2256" s="48" t="s">
        <v>695</v>
      </c>
      <c r="B2256" s="48" t="s">
        <v>3674</v>
      </c>
      <c r="C2256" s="47" t="s">
        <v>1285</v>
      </c>
      <c r="D2256" s="48" t="s">
        <v>965</v>
      </c>
      <c r="E2256" s="48" t="s">
        <v>966</v>
      </c>
      <c r="F2256" s="48" t="s">
        <v>1286</v>
      </c>
      <c r="G2256" s="48" t="s">
        <v>1287</v>
      </c>
      <c r="H2256" s="47" t="s">
        <v>1288</v>
      </c>
      <c r="I2256" s="47" t="s">
        <v>1289</v>
      </c>
      <c r="J2256" s="47" t="s">
        <v>26</v>
      </c>
    </row>
    <row r="2257" ht="54" customHeight="1" spans="1:10">
      <c r="A2257" s="48" t="s">
        <v>695</v>
      </c>
      <c r="B2257" s="48" t="s">
        <v>3675</v>
      </c>
      <c r="C2257" s="47" t="s">
        <v>1291</v>
      </c>
      <c r="D2257" s="48" t="s">
        <v>965</v>
      </c>
      <c r="E2257" s="48" t="s">
        <v>966</v>
      </c>
      <c r="F2257" s="48" t="s">
        <v>1292</v>
      </c>
      <c r="G2257" s="48" t="s">
        <v>1293</v>
      </c>
      <c r="H2257" s="47" t="s">
        <v>1294</v>
      </c>
      <c r="I2257" s="47" t="s">
        <v>1295</v>
      </c>
      <c r="J2257" s="47" t="s">
        <v>26</v>
      </c>
    </row>
    <row r="2258" ht="54" customHeight="1" spans="1:10">
      <c r="A2258" s="48" t="s">
        <v>695</v>
      </c>
      <c r="B2258" s="48" t="s">
        <v>3676</v>
      </c>
      <c r="C2258" s="47" t="s">
        <v>977</v>
      </c>
      <c r="D2258" s="48" t="s">
        <v>978</v>
      </c>
      <c r="E2258" s="48" t="s">
        <v>979</v>
      </c>
      <c r="F2258" s="48" t="s">
        <v>980</v>
      </c>
      <c r="G2258" s="48" t="s">
        <v>981</v>
      </c>
      <c r="H2258" s="47" t="s">
        <v>982</v>
      </c>
      <c r="I2258" s="47" t="s">
        <v>983</v>
      </c>
      <c r="J2258" s="47" t="s">
        <v>26</v>
      </c>
    </row>
    <row r="2259" ht="54" customHeight="1" spans="1:10">
      <c r="A2259" s="48" t="s">
        <v>695</v>
      </c>
      <c r="B2259" s="48" t="s">
        <v>3677</v>
      </c>
      <c r="C2259" s="47" t="s">
        <v>1211</v>
      </c>
      <c r="D2259" s="48" t="s">
        <v>965</v>
      </c>
      <c r="E2259" s="48" t="s">
        <v>966</v>
      </c>
      <c r="F2259" s="48" t="s">
        <v>1212</v>
      </c>
      <c r="G2259" s="48" t="s">
        <v>1213</v>
      </c>
      <c r="H2259" s="47" t="s">
        <v>1214</v>
      </c>
      <c r="I2259" s="47" t="s">
        <v>940</v>
      </c>
      <c r="J2259" s="47" t="s">
        <v>26</v>
      </c>
    </row>
    <row r="2260" ht="54" customHeight="1" spans="1:10">
      <c r="A2260" s="48" t="s">
        <v>697</v>
      </c>
      <c r="B2260" s="48" t="s">
        <v>3678</v>
      </c>
      <c r="C2260" s="47" t="s">
        <v>1421</v>
      </c>
      <c r="D2260" s="48" t="s">
        <v>1422</v>
      </c>
      <c r="E2260" s="48" t="s">
        <v>1423</v>
      </c>
      <c r="F2260" s="48" t="s">
        <v>1424</v>
      </c>
      <c r="G2260" s="48" t="s">
        <v>1423</v>
      </c>
      <c r="H2260" s="47" t="s">
        <v>1425</v>
      </c>
      <c r="I2260" s="47" t="s">
        <v>1426</v>
      </c>
      <c r="J2260" s="47" t="s">
        <v>26</v>
      </c>
    </row>
    <row r="2261" ht="54" customHeight="1" spans="1:10">
      <c r="A2261" s="48" t="s">
        <v>697</v>
      </c>
      <c r="B2261" s="48" t="s">
        <v>3679</v>
      </c>
      <c r="C2261" s="47" t="s">
        <v>1022</v>
      </c>
      <c r="D2261" s="48" t="s">
        <v>957</v>
      </c>
      <c r="E2261" s="48" t="s">
        <v>958</v>
      </c>
      <c r="F2261" s="48" t="s">
        <v>1023</v>
      </c>
      <c r="G2261" s="48" t="s">
        <v>1024</v>
      </c>
      <c r="H2261" s="47" t="s">
        <v>1025</v>
      </c>
      <c r="I2261" s="47" t="s">
        <v>1026</v>
      </c>
      <c r="J2261" s="47" t="s">
        <v>26</v>
      </c>
    </row>
    <row r="2262" ht="54" customHeight="1" spans="1:10">
      <c r="A2262" s="48" t="s">
        <v>697</v>
      </c>
      <c r="B2262" s="48" t="s">
        <v>3680</v>
      </c>
      <c r="C2262" s="47" t="s">
        <v>956</v>
      </c>
      <c r="D2262" s="48" t="s">
        <v>957</v>
      </c>
      <c r="E2262" s="48" t="s">
        <v>958</v>
      </c>
      <c r="F2262" s="48" t="s">
        <v>959</v>
      </c>
      <c r="G2262" s="48" t="s">
        <v>960</v>
      </c>
      <c r="H2262" s="47" t="s">
        <v>961</v>
      </c>
      <c r="I2262" s="47" t="s">
        <v>962</v>
      </c>
      <c r="J2262" s="47" t="s">
        <v>26</v>
      </c>
    </row>
    <row r="2263" ht="54" customHeight="1" spans="1:10">
      <c r="A2263" s="48" t="s">
        <v>697</v>
      </c>
      <c r="B2263" s="48" t="s">
        <v>3681</v>
      </c>
      <c r="C2263" s="47" t="s">
        <v>1297</v>
      </c>
      <c r="D2263" s="48" t="s">
        <v>1009</v>
      </c>
      <c r="E2263" s="48" t="s">
        <v>1010</v>
      </c>
      <c r="F2263" s="48" t="s">
        <v>1298</v>
      </c>
      <c r="G2263" s="48" t="s">
        <v>1299</v>
      </c>
      <c r="H2263" s="47" t="s">
        <v>1300</v>
      </c>
      <c r="I2263" s="47" t="s">
        <v>1301</v>
      </c>
      <c r="J2263" s="47" t="s">
        <v>26</v>
      </c>
    </row>
    <row r="2264" ht="54" customHeight="1" spans="1:10">
      <c r="A2264" s="48" t="s">
        <v>697</v>
      </c>
      <c r="B2264" s="48" t="s">
        <v>3682</v>
      </c>
      <c r="C2264" s="47" t="s">
        <v>1097</v>
      </c>
      <c r="D2264" s="48" t="s">
        <v>1098</v>
      </c>
      <c r="E2264" s="48" t="s">
        <v>1099</v>
      </c>
      <c r="F2264" s="48" t="s">
        <v>1100</v>
      </c>
      <c r="G2264" s="48" t="s">
        <v>1101</v>
      </c>
      <c r="H2264" s="47" t="s">
        <v>1102</v>
      </c>
      <c r="I2264" s="47" t="s">
        <v>1103</v>
      </c>
      <c r="J2264" s="47" t="s">
        <v>26</v>
      </c>
    </row>
    <row r="2265" ht="54" customHeight="1" spans="1:10">
      <c r="A2265" s="48" t="s">
        <v>697</v>
      </c>
      <c r="B2265" s="48" t="s">
        <v>3683</v>
      </c>
      <c r="C2265" s="47" t="s">
        <v>971</v>
      </c>
      <c r="D2265" s="48" t="s">
        <v>965</v>
      </c>
      <c r="E2265" s="48" t="s">
        <v>966</v>
      </c>
      <c r="F2265" s="48" t="s">
        <v>972</v>
      </c>
      <c r="G2265" s="48" t="s">
        <v>973</v>
      </c>
      <c r="H2265" s="47" t="s">
        <v>974</v>
      </c>
      <c r="I2265" s="47" t="s">
        <v>975</v>
      </c>
      <c r="J2265" s="47" t="s">
        <v>26</v>
      </c>
    </row>
    <row r="2266" ht="54" customHeight="1" spans="1:10">
      <c r="A2266" s="48" t="s">
        <v>697</v>
      </c>
      <c r="B2266" s="48" t="s">
        <v>3684</v>
      </c>
      <c r="C2266" s="47" t="s">
        <v>977</v>
      </c>
      <c r="D2266" s="48" t="s">
        <v>978</v>
      </c>
      <c r="E2266" s="48" t="s">
        <v>979</v>
      </c>
      <c r="F2266" s="48" t="s">
        <v>980</v>
      </c>
      <c r="G2266" s="48" t="s">
        <v>981</v>
      </c>
      <c r="H2266" s="47" t="s">
        <v>982</v>
      </c>
      <c r="I2266" s="47" t="s">
        <v>983</v>
      </c>
      <c r="J2266" s="47" t="s">
        <v>26</v>
      </c>
    </row>
    <row r="2267" ht="54" customHeight="1" spans="1:10">
      <c r="A2267" s="48" t="s">
        <v>697</v>
      </c>
      <c r="B2267" s="48" t="s">
        <v>3685</v>
      </c>
      <c r="C2267" s="47" t="s">
        <v>1211</v>
      </c>
      <c r="D2267" s="48" t="s">
        <v>965</v>
      </c>
      <c r="E2267" s="48" t="s">
        <v>966</v>
      </c>
      <c r="F2267" s="48" t="s">
        <v>1212</v>
      </c>
      <c r="G2267" s="48" t="s">
        <v>1213</v>
      </c>
      <c r="H2267" s="47" t="s">
        <v>1214</v>
      </c>
      <c r="I2267" s="47" t="s">
        <v>940</v>
      </c>
      <c r="J2267" s="47" t="s">
        <v>26</v>
      </c>
    </row>
    <row r="2268" ht="54" customHeight="1" spans="1:10">
      <c r="A2268" s="48" t="s">
        <v>699</v>
      </c>
      <c r="B2268" s="48" t="s">
        <v>3686</v>
      </c>
      <c r="C2268" s="47" t="s">
        <v>1000</v>
      </c>
      <c r="D2268" s="48" t="s">
        <v>1001</v>
      </c>
      <c r="E2268" s="48" t="s">
        <v>1002</v>
      </c>
      <c r="F2268" s="48" t="s">
        <v>1003</v>
      </c>
      <c r="G2268" s="48" t="s">
        <v>1004</v>
      </c>
      <c r="H2268" s="47" t="s">
        <v>1005</v>
      </c>
      <c r="I2268" s="47" t="s">
        <v>1006</v>
      </c>
      <c r="J2268" s="47" t="s">
        <v>26</v>
      </c>
    </row>
    <row r="2269" ht="54" customHeight="1" spans="1:10">
      <c r="A2269" s="48" t="s">
        <v>699</v>
      </c>
      <c r="B2269" s="48" t="s">
        <v>3687</v>
      </c>
      <c r="C2269" s="47" t="s">
        <v>1008</v>
      </c>
      <c r="D2269" s="48" t="s">
        <v>1009</v>
      </c>
      <c r="E2269" s="48" t="s">
        <v>1010</v>
      </c>
      <c r="F2269" s="48" t="s">
        <v>1011</v>
      </c>
      <c r="G2269" s="48" t="s">
        <v>1012</v>
      </c>
      <c r="H2269" s="47" t="s">
        <v>1013</v>
      </c>
      <c r="I2269" s="47" t="s">
        <v>1014</v>
      </c>
      <c r="J2269" s="47" t="s">
        <v>26</v>
      </c>
    </row>
    <row r="2270" ht="54" customHeight="1" spans="1:10">
      <c r="A2270" s="48" t="s">
        <v>699</v>
      </c>
      <c r="B2270" s="48" t="s">
        <v>3688</v>
      </c>
      <c r="C2270" s="47" t="s">
        <v>1105</v>
      </c>
      <c r="D2270" s="48" t="s">
        <v>1009</v>
      </c>
      <c r="E2270" s="48" t="s">
        <v>1010</v>
      </c>
      <c r="F2270" s="48" t="s">
        <v>1106</v>
      </c>
      <c r="G2270" s="48" t="s">
        <v>1107</v>
      </c>
      <c r="H2270" s="47" t="s">
        <v>1108</v>
      </c>
      <c r="I2270" s="47" t="s">
        <v>1109</v>
      </c>
      <c r="J2270" s="47" t="s">
        <v>26</v>
      </c>
    </row>
    <row r="2271" ht="54" customHeight="1" spans="1:10">
      <c r="A2271" s="48" t="s">
        <v>699</v>
      </c>
      <c r="B2271" s="48" t="s">
        <v>3689</v>
      </c>
      <c r="C2271" s="47" t="s">
        <v>1052</v>
      </c>
      <c r="D2271" s="48" t="s">
        <v>1009</v>
      </c>
      <c r="E2271" s="48" t="s">
        <v>1010</v>
      </c>
      <c r="F2271" s="48" t="s">
        <v>1053</v>
      </c>
      <c r="G2271" s="48" t="s">
        <v>1054</v>
      </c>
      <c r="H2271" s="47" t="s">
        <v>1055</v>
      </c>
      <c r="I2271" s="47" t="s">
        <v>1056</v>
      </c>
      <c r="J2271" s="47" t="s">
        <v>26</v>
      </c>
    </row>
    <row r="2272" ht="54" customHeight="1" spans="1:10">
      <c r="A2272" s="48" t="s">
        <v>699</v>
      </c>
      <c r="B2272" s="48" t="s">
        <v>3690</v>
      </c>
      <c r="C2272" s="47" t="s">
        <v>1097</v>
      </c>
      <c r="D2272" s="48" t="s">
        <v>1098</v>
      </c>
      <c r="E2272" s="48" t="s">
        <v>1099</v>
      </c>
      <c r="F2272" s="48" t="s">
        <v>1100</v>
      </c>
      <c r="G2272" s="48" t="s">
        <v>1101</v>
      </c>
      <c r="H2272" s="47" t="s">
        <v>1102</v>
      </c>
      <c r="I2272" s="47" t="s">
        <v>1103</v>
      </c>
      <c r="J2272" s="47" t="s">
        <v>26</v>
      </c>
    </row>
    <row r="2273" ht="54" customHeight="1" spans="1:10">
      <c r="A2273" s="48" t="s">
        <v>699</v>
      </c>
      <c r="B2273" s="48" t="s">
        <v>3691</v>
      </c>
      <c r="C2273" s="47" t="s">
        <v>1252</v>
      </c>
      <c r="D2273" s="48" t="s">
        <v>1001</v>
      </c>
      <c r="E2273" s="48" t="s">
        <v>1002</v>
      </c>
      <c r="F2273" s="48" t="s">
        <v>1253</v>
      </c>
      <c r="G2273" s="48" t="s">
        <v>1254</v>
      </c>
      <c r="H2273" s="47" t="s">
        <v>1255</v>
      </c>
      <c r="I2273" s="47" t="s">
        <v>1256</v>
      </c>
      <c r="J2273" s="47" t="s">
        <v>26</v>
      </c>
    </row>
    <row r="2274" ht="54" customHeight="1" spans="1:10">
      <c r="A2274" s="48" t="s">
        <v>699</v>
      </c>
      <c r="B2274" s="48" t="s">
        <v>3692</v>
      </c>
      <c r="C2274" s="47" t="s">
        <v>1137</v>
      </c>
      <c r="D2274" s="48" t="s">
        <v>1138</v>
      </c>
      <c r="E2274" s="48" t="s">
        <v>1139</v>
      </c>
      <c r="F2274" s="48" t="s">
        <v>1140</v>
      </c>
      <c r="G2274" s="48" t="s">
        <v>1141</v>
      </c>
      <c r="H2274" s="47" t="s">
        <v>1142</v>
      </c>
      <c r="I2274" s="47" t="s">
        <v>940</v>
      </c>
      <c r="J2274" s="47" t="s">
        <v>26</v>
      </c>
    </row>
    <row r="2275" ht="54" customHeight="1" spans="1:10">
      <c r="A2275" s="48" t="s">
        <v>699</v>
      </c>
      <c r="B2275" s="48" t="s">
        <v>3693</v>
      </c>
      <c r="C2275" s="47" t="s">
        <v>1164</v>
      </c>
      <c r="D2275" s="48" t="s">
        <v>978</v>
      </c>
      <c r="E2275" s="48" t="s">
        <v>979</v>
      </c>
      <c r="F2275" s="48" t="s">
        <v>1165</v>
      </c>
      <c r="G2275" s="48" t="s">
        <v>1166</v>
      </c>
      <c r="H2275" s="47" t="s">
        <v>1167</v>
      </c>
      <c r="I2275" s="47" t="s">
        <v>1168</v>
      </c>
      <c r="J2275" s="47" t="s">
        <v>26</v>
      </c>
    </row>
    <row r="2276" ht="54" customHeight="1" spans="1:10">
      <c r="A2276" s="48" t="s">
        <v>701</v>
      </c>
      <c r="B2276" s="48" t="s">
        <v>3694</v>
      </c>
      <c r="C2276" s="47" t="s">
        <v>1022</v>
      </c>
      <c r="D2276" s="48" t="s">
        <v>957</v>
      </c>
      <c r="E2276" s="48" t="s">
        <v>958</v>
      </c>
      <c r="F2276" s="48" t="s">
        <v>1023</v>
      </c>
      <c r="G2276" s="48" t="s">
        <v>1024</v>
      </c>
      <c r="H2276" s="47" t="s">
        <v>1025</v>
      </c>
      <c r="I2276" s="47" t="s">
        <v>1026</v>
      </c>
      <c r="J2276" s="47" t="s">
        <v>26</v>
      </c>
    </row>
    <row r="2277" ht="54" customHeight="1" spans="1:10">
      <c r="A2277" s="48" t="s">
        <v>701</v>
      </c>
      <c r="B2277" s="48" t="s">
        <v>3695</v>
      </c>
      <c r="C2277" s="47" t="s">
        <v>1081</v>
      </c>
      <c r="D2277" s="48" t="s">
        <v>1082</v>
      </c>
      <c r="E2277" s="48" t="s">
        <v>1083</v>
      </c>
      <c r="F2277" s="48" t="s">
        <v>1084</v>
      </c>
      <c r="G2277" s="48" t="s">
        <v>1085</v>
      </c>
      <c r="H2277" s="47" t="s">
        <v>1086</v>
      </c>
      <c r="I2277" s="47" t="s">
        <v>1087</v>
      </c>
      <c r="J2277" s="47" t="s">
        <v>26</v>
      </c>
    </row>
    <row r="2278" ht="54" customHeight="1" spans="1:10">
      <c r="A2278" s="48" t="s">
        <v>701</v>
      </c>
      <c r="B2278" s="48" t="s">
        <v>3696</v>
      </c>
      <c r="C2278" s="47" t="s">
        <v>1089</v>
      </c>
      <c r="D2278" s="48" t="s">
        <v>957</v>
      </c>
      <c r="E2278" s="48" t="s">
        <v>958</v>
      </c>
      <c r="F2278" s="48" t="s">
        <v>1090</v>
      </c>
      <c r="G2278" s="48" t="s">
        <v>1091</v>
      </c>
      <c r="H2278" s="47" t="s">
        <v>1092</v>
      </c>
      <c r="I2278" s="47" t="s">
        <v>1093</v>
      </c>
      <c r="J2278" s="47" t="s">
        <v>26</v>
      </c>
    </row>
    <row r="2279" ht="54" customHeight="1" spans="1:10">
      <c r="A2279" s="48" t="s">
        <v>701</v>
      </c>
      <c r="B2279" s="48" t="s">
        <v>3697</v>
      </c>
      <c r="C2279" s="47" t="s">
        <v>1105</v>
      </c>
      <c r="D2279" s="48" t="s">
        <v>1009</v>
      </c>
      <c r="E2279" s="48" t="s">
        <v>1010</v>
      </c>
      <c r="F2279" s="48" t="s">
        <v>1106</v>
      </c>
      <c r="G2279" s="48" t="s">
        <v>1107</v>
      </c>
      <c r="H2279" s="47" t="s">
        <v>1108</v>
      </c>
      <c r="I2279" s="47" t="s">
        <v>1109</v>
      </c>
      <c r="J2279" s="47" t="s">
        <v>26</v>
      </c>
    </row>
    <row r="2280" ht="54" customHeight="1" spans="1:10">
      <c r="A2280" s="48" t="s">
        <v>701</v>
      </c>
      <c r="B2280" s="48" t="s">
        <v>3698</v>
      </c>
      <c r="C2280" s="47" t="s">
        <v>1058</v>
      </c>
      <c r="D2280" s="48" t="s">
        <v>1059</v>
      </c>
      <c r="E2280" s="48" t="s">
        <v>1060</v>
      </c>
      <c r="F2280" s="48" t="s">
        <v>1061</v>
      </c>
      <c r="G2280" s="48" t="s">
        <v>1062</v>
      </c>
      <c r="H2280" s="47" t="s">
        <v>1063</v>
      </c>
      <c r="I2280" s="47" t="s">
        <v>1064</v>
      </c>
      <c r="J2280" s="47" t="s">
        <v>26</v>
      </c>
    </row>
    <row r="2281" ht="54" customHeight="1" spans="1:10">
      <c r="A2281" s="48" t="s">
        <v>701</v>
      </c>
      <c r="B2281" s="48" t="s">
        <v>3699</v>
      </c>
      <c r="C2281" s="47" t="s">
        <v>1375</v>
      </c>
      <c r="D2281" s="48" t="s">
        <v>1098</v>
      </c>
      <c r="E2281" s="48" t="s">
        <v>1099</v>
      </c>
      <c r="F2281" s="48" t="s">
        <v>1376</v>
      </c>
      <c r="G2281" s="48" t="s">
        <v>1377</v>
      </c>
      <c r="H2281" s="47" t="s">
        <v>1378</v>
      </c>
      <c r="I2281" s="47" t="s">
        <v>1379</v>
      </c>
      <c r="J2281" s="47" t="s">
        <v>26</v>
      </c>
    </row>
    <row r="2282" ht="54" customHeight="1" spans="1:10">
      <c r="A2282" s="48" t="s">
        <v>701</v>
      </c>
      <c r="B2282" s="48" t="s">
        <v>3700</v>
      </c>
      <c r="C2282" s="47" t="s">
        <v>1967</v>
      </c>
      <c r="D2282" s="48" t="s">
        <v>965</v>
      </c>
      <c r="E2282" s="48" t="s">
        <v>966</v>
      </c>
      <c r="F2282" s="48" t="s">
        <v>1968</v>
      </c>
      <c r="G2282" s="48" t="s">
        <v>1969</v>
      </c>
      <c r="H2282" s="47" t="s">
        <v>1970</v>
      </c>
      <c r="I2282" s="47" t="s">
        <v>940</v>
      </c>
      <c r="J2282" s="47" t="s">
        <v>26</v>
      </c>
    </row>
    <row r="2283" ht="54" customHeight="1" spans="1:10">
      <c r="A2283" s="48" t="s">
        <v>701</v>
      </c>
      <c r="B2283" s="48" t="s">
        <v>3701</v>
      </c>
      <c r="C2283" s="47" t="s">
        <v>1111</v>
      </c>
      <c r="D2283" s="48" t="s">
        <v>965</v>
      </c>
      <c r="E2283" s="48" t="s">
        <v>966</v>
      </c>
      <c r="F2283" s="48" t="s">
        <v>1112</v>
      </c>
      <c r="G2283" s="48" t="s">
        <v>1113</v>
      </c>
      <c r="H2283" s="47" t="s">
        <v>1114</v>
      </c>
      <c r="I2283" s="47" t="s">
        <v>1115</v>
      </c>
      <c r="J2283" s="47" t="s">
        <v>26</v>
      </c>
    </row>
    <row r="2284" ht="54" customHeight="1" spans="1:10">
      <c r="A2284" s="48" t="s">
        <v>703</v>
      </c>
      <c r="B2284" s="48" t="s">
        <v>3702</v>
      </c>
      <c r="C2284" s="47" t="s">
        <v>1089</v>
      </c>
      <c r="D2284" s="48" t="s">
        <v>957</v>
      </c>
      <c r="E2284" s="48" t="s">
        <v>958</v>
      </c>
      <c r="F2284" s="48" t="s">
        <v>1090</v>
      </c>
      <c r="G2284" s="48" t="s">
        <v>1091</v>
      </c>
      <c r="H2284" s="47" t="s">
        <v>1092</v>
      </c>
      <c r="I2284" s="47" t="s">
        <v>1093</v>
      </c>
      <c r="J2284" s="47" t="s">
        <v>26</v>
      </c>
    </row>
    <row r="2285" ht="54" customHeight="1" spans="1:10">
      <c r="A2285" s="48" t="s">
        <v>703</v>
      </c>
      <c r="B2285" s="48" t="s">
        <v>3703</v>
      </c>
      <c r="C2285" s="47" t="s">
        <v>1170</v>
      </c>
      <c r="D2285" s="48" t="s">
        <v>1171</v>
      </c>
      <c r="E2285" s="48" t="s">
        <v>1172</v>
      </c>
      <c r="F2285" s="48" t="s">
        <v>1173</v>
      </c>
      <c r="G2285" s="48" t="s">
        <v>1174</v>
      </c>
      <c r="H2285" s="47" t="s">
        <v>1175</v>
      </c>
      <c r="I2285" s="47" t="s">
        <v>1176</v>
      </c>
      <c r="J2285" s="47" t="s">
        <v>26</v>
      </c>
    </row>
    <row r="2286" ht="54" customHeight="1" spans="1:10">
      <c r="A2286" s="48" t="s">
        <v>705</v>
      </c>
      <c r="B2286" s="48" t="s">
        <v>3704</v>
      </c>
      <c r="C2286" s="47" t="s">
        <v>1097</v>
      </c>
      <c r="D2286" s="48" t="s">
        <v>1098</v>
      </c>
      <c r="E2286" s="48" t="s">
        <v>1099</v>
      </c>
      <c r="F2286" s="48" t="s">
        <v>1100</v>
      </c>
      <c r="G2286" s="48" t="s">
        <v>1101</v>
      </c>
      <c r="H2286" s="47" t="s">
        <v>1102</v>
      </c>
      <c r="I2286" s="47" t="s">
        <v>1103</v>
      </c>
      <c r="J2286" s="47" t="s">
        <v>26</v>
      </c>
    </row>
    <row r="2287" ht="54" customHeight="1" spans="1:10">
      <c r="A2287" s="48" t="s">
        <v>705</v>
      </c>
      <c r="B2287" s="48" t="s">
        <v>3705</v>
      </c>
      <c r="C2287" s="47" t="s">
        <v>1131</v>
      </c>
      <c r="D2287" s="48" t="s">
        <v>993</v>
      </c>
      <c r="E2287" s="48" t="s">
        <v>994</v>
      </c>
      <c r="F2287" s="48" t="s">
        <v>1132</v>
      </c>
      <c r="G2287" s="48" t="s">
        <v>1133</v>
      </c>
      <c r="H2287" s="47" t="s">
        <v>1134</v>
      </c>
      <c r="I2287" s="47" t="s">
        <v>1135</v>
      </c>
      <c r="J2287" s="47" t="s">
        <v>26</v>
      </c>
    </row>
    <row r="2288" ht="54" customHeight="1" spans="1:10">
      <c r="A2288" s="48" t="s">
        <v>705</v>
      </c>
      <c r="B2288" s="48" t="s">
        <v>3706</v>
      </c>
      <c r="C2288" s="47" t="s">
        <v>971</v>
      </c>
      <c r="D2288" s="48" t="s">
        <v>965</v>
      </c>
      <c r="E2288" s="48" t="s">
        <v>966</v>
      </c>
      <c r="F2288" s="48" t="s">
        <v>972</v>
      </c>
      <c r="G2288" s="48" t="s">
        <v>973</v>
      </c>
      <c r="H2288" s="47" t="s">
        <v>974</v>
      </c>
      <c r="I2288" s="47" t="s">
        <v>975</v>
      </c>
      <c r="J2288" s="47" t="s">
        <v>26</v>
      </c>
    </row>
    <row r="2289" ht="54" customHeight="1" spans="1:10">
      <c r="A2289" s="48" t="s">
        <v>705</v>
      </c>
      <c r="B2289" s="48" t="s">
        <v>3707</v>
      </c>
      <c r="C2289" s="47" t="s">
        <v>1313</v>
      </c>
      <c r="D2289" s="48" t="s">
        <v>1037</v>
      </c>
      <c r="E2289" s="48" t="s">
        <v>1038</v>
      </c>
      <c r="F2289" s="48" t="s">
        <v>1314</v>
      </c>
      <c r="G2289" s="48" t="s">
        <v>1315</v>
      </c>
      <c r="H2289" s="47" t="s">
        <v>1316</v>
      </c>
      <c r="I2289" s="47" t="s">
        <v>1317</v>
      </c>
      <c r="J2289" s="47" t="s">
        <v>26</v>
      </c>
    </row>
    <row r="2290" ht="54" customHeight="1" spans="1:10">
      <c r="A2290" s="48" t="s">
        <v>705</v>
      </c>
      <c r="B2290" s="48" t="s">
        <v>3708</v>
      </c>
      <c r="C2290" s="47" t="s">
        <v>1235</v>
      </c>
      <c r="D2290" s="48" t="s">
        <v>1118</v>
      </c>
      <c r="E2290" s="48" t="s">
        <v>1119</v>
      </c>
      <c r="F2290" s="48" t="s">
        <v>1236</v>
      </c>
      <c r="G2290" s="48" t="s">
        <v>1237</v>
      </c>
      <c r="H2290" s="47" t="s">
        <v>1238</v>
      </c>
      <c r="I2290" s="47" t="s">
        <v>1239</v>
      </c>
      <c r="J2290" s="47" t="s">
        <v>26</v>
      </c>
    </row>
    <row r="2291" ht="54" customHeight="1" spans="1:10">
      <c r="A2291" s="48" t="s">
        <v>705</v>
      </c>
      <c r="B2291" s="48" t="s">
        <v>3709</v>
      </c>
      <c r="C2291" s="47" t="s">
        <v>1145</v>
      </c>
      <c r="D2291" s="48" t="s">
        <v>1146</v>
      </c>
      <c r="E2291" s="48" t="s">
        <v>1147</v>
      </c>
      <c r="F2291" s="48" t="s">
        <v>1148</v>
      </c>
      <c r="G2291" s="48" t="s">
        <v>1149</v>
      </c>
      <c r="H2291" s="47" t="s">
        <v>1150</v>
      </c>
      <c r="I2291" s="47" t="s">
        <v>1151</v>
      </c>
      <c r="J2291" s="47" t="s">
        <v>26</v>
      </c>
    </row>
    <row r="2292" ht="54" customHeight="1" spans="1:10">
      <c r="A2292" s="48" t="s">
        <v>707</v>
      </c>
      <c r="B2292" s="48" t="s">
        <v>3710</v>
      </c>
      <c r="C2292" s="47" t="s">
        <v>1008</v>
      </c>
      <c r="D2292" s="48" t="s">
        <v>1009</v>
      </c>
      <c r="E2292" s="48" t="s">
        <v>1010</v>
      </c>
      <c r="F2292" s="48" t="s">
        <v>1011</v>
      </c>
      <c r="G2292" s="48" t="s">
        <v>1012</v>
      </c>
      <c r="H2292" s="47" t="s">
        <v>1013</v>
      </c>
      <c r="I2292" s="47" t="s">
        <v>1014</v>
      </c>
      <c r="J2292" s="47" t="s">
        <v>26</v>
      </c>
    </row>
    <row r="2293" ht="54" customHeight="1" spans="1:10">
      <c r="A2293" s="48" t="s">
        <v>707</v>
      </c>
      <c r="B2293" s="48" t="s">
        <v>3711</v>
      </c>
      <c r="C2293" s="47" t="s">
        <v>1388</v>
      </c>
      <c r="D2293" s="48" t="s">
        <v>1037</v>
      </c>
      <c r="E2293" s="48" t="s">
        <v>1038</v>
      </c>
      <c r="F2293" s="48" t="s">
        <v>1389</v>
      </c>
      <c r="G2293" s="48" t="s">
        <v>1390</v>
      </c>
      <c r="H2293" s="47" t="s">
        <v>1391</v>
      </c>
      <c r="I2293" s="47" t="s">
        <v>1392</v>
      </c>
      <c r="J2293" s="47" t="s">
        <v>26</v>
      </c>
    </row>
    <row r="2294" ht="54" customHeight="1" spans="1:10">
      <c r="A2294" s="48" t="s">
        <v>707</v>
      </c>
      <c r="B2294" s="48" t="s">
        <v>3712</v>
      </c>
      <c r="C2294" s="47" t="s">
        <v>971</v>
      </c>
      <c r="D2294" s="48" t="s">
        <v>965</v>
      </c>
      <c r="E2294" s="48" t="s">
        <v>966</v>
      </c>
      <c r="F2294" s="48" t="s">
        <v>972</v>
      </c>
      <c r="G2294" s="48" t="s">
        <v>973</v>
      </c>
      <c r="H2294" s="47" t="s">
        <v>974</v>
      </c>
      <c r="I2294" s="47" t="s">
        <v>975</v>
      </c>
      <c r="J2294" s="47" t="s">
        <v>26</v>
      </c>
    </row>
    <row r="2295" ht="54" customHeight="1" spans="1:10">
      <c r="A2295" s="48" t="s">
        <v>707</v>
      </c>
      <c r="B2295" s="48" t="s">
        <v>3713</v>
      </c>
      <c r="C2295" s="47" t="s">
        <v>1313</v>
      </c>
      <c r="D2295" s="48" t="s">
        <v>1037</v>
      </c>
      <c r="E2295" s="48" t="s">
        <v>1038</v>
      </c>
      <c r="F2295" s="48" t="s">
        <v>1314</v>
      </c>
      <c r="G2295" s="48" t="s">
        <v>1315</v>
      </c>
      <c r="H2295" s="47" t="s">
        <v>1316</v>
      </c>
      <c r="I2295" s="47" t="s">
        <v>1317</v>
      </c>
      <c r="J2295" s="47" t="s">
        <v>26</v>
      </c>
    </row>
    <row r="2296" ht="54" customHeight="1" spans="1:10">
      <c r="A2296" s="48" t="s">
        <v>709</v>
      </c>
      <c r="B2296" s="48" t="s">
        <v>3714</v>
      </c>
      <c r="C2296" s="47" t="s">
        <v>1934</v>
      </c>
      <c r="D2296" s="48" t="s">
        <v>1184</v>
      </c>
      <c r="E2296" s="48" t="s">
        <v>1185</v>
      </c>
      <c r="F2296" s="48" t="s">
        <v>1935</v>
      </c>
      <c r="G2296" s="48" t="s">
        <v>1936</v>
      </c>
      <c r="H2296" s="47" t="s">
        <v>1937</v>
      </c>
      <c r="I2296" s="47" t="s">
        <v>1938</v>
      </c>
      <c r="J2296" s="47" t="s">
        <v>26</v>
      </c>
    </row>
    <row r="2297" ht="54" customHeight="1" spans="1:10">
      <c r="A2297" s="48" t="s">
        <v>709</v>
      </c>
      <c r="B2297" s="48" t="s">
        <v>3715</v>
      </c>
      <c r="C2297" s="47" t="s">
        <v>956</v>
      </c>
      <c r="D2297" s="48" t="s">
        <v>957</v>
      </c>
      <c r="E2297" s="48" t="s">
        <v>958</v>
      </c>
      <c r="F2297" s="48" t="s">
        <v>959</v>
      </c>
      <c r="G2297" s="48" t="s">
        <v>960</v>
      </c>
      <c r="H2297" s="47" t="s">
        <v>961</v>
      </c>
      <c r="I2297" s="47" t="s">
        <v>962</v>
      </c>
      <c r="J2297" s="47" t="s">
        <v>26</v>
      </c>
    </row>
    <row r="2298" ht="54" customHeight="1" spans="1:10">
      <c r="A2298" s="48" t="s">
        <v>709</v>
      </c>
      <c r="B2298" s="48" t="s">
        <v>3716</v>
      </c>
      <c r="C2298" s="47" t="s">
        <v>1052</v>
      </c>
      <c r="D2298" s="48" t="s">
        <v>1009</v>
      </c>
      <c r="E2298" s="48" t="s">
        <v>1010</v>
      </c>
      <c r="F2298" s="48" t="s">
        <v>1053</v>
      </c>
      <c r="G2298" s="48" t="s">
        <v>1054</v>
      </c>
      <c r="H2298" s="47" t="s">
        <v>1055</v>
      </c>
      <c r="I2298" s="47" t="s">
        <v>1056</v>
      </c>
      <c r="J2298" s="47" t="s">
        <v>26</v>
      </c>
    </row>
    <row r="2299" ht="54" customHeight="1" spans="1:10">
      <c r="A2299" s="48" t="s">
        <v>709</v>
      </c>
      <c r="B2299" s="48" t="s">
        <v>3717</v>
      </c>
      <c r="C2299" s="47" t="s">
        <v>1388</v>
      </c>
      <c r="D2299" s="48" t="s">
        <v>1037</v>
      </c>
      <c r="E2299" s="48" t="s">
        <v>1038</v>
      </c>
      <c r="F2299" s="48" t="s">
        <v>1389</v>
      </c>
      <c r="G2299" s="48" t="s">
        <v>1390</v>
      </c>
      <c r="H2299" s="47" t="s">
        <v>1391</v>
      </c>
      <c r="I2299" s="47" t="s">
        <v>1392</v>
      </c>
      <c r="J2299" s="47" t="s">
        <v>26</v>
      </c>
    </row>
    <row r="2300" ht="54" customHeight="1" spans="1:10">
      <c r="A2300" s="48" t="s">
        <v>709</v>
      </c>
      <c r="B2300" s="48" t="s">
        <v>3718</v>
      </c>
      <c r="C2300" s="47" t="s">
        <v>1313</v>
      </c>
      <c r="D2300" s="48" t="s">
        <v>1037</v>
      </c>
      <c r="E2300" s="48" t="s">
        <v>1038</v>
      </c>
      <c r="F2300" s="48" t="s">
        <v>1314</v>
      </c>
      <c r="G2300" s="48" t="s">
        <v>1315</v>
      </c>
      <c r="H2300" s="47" t="s">
        <v>1316</v>
      </c>
      <c r="I2300" s="47" t="s">
        <v>1317</v>
      </c>
      <c r="J2300" s="47" t="s">
        <v>26</v>
      </c>
    </row>
    <row r="2301" ht="54" customHeight="1" spans="1:10">
      <c r="A2301" s="48" t="s">
        <v>709</v>
      </c>
      <c r="B2301" s="48" t="s">
        <v>3719</v>
      </c>
      <c r="C2301" s="47" t="s">
        <v>1245</v>
      </c>
      <c r="D2301" s="48" t="s">
        <v>1171</v>
      </c>
      <c r="E2301" s="48" t="s">
        <v>1172</v>
      </c>
      <c r="F2301" s="48" t="s">
        <v>1246</v>
      </c>
      <c r="G2301" s="48" t="s">
        <v>1247</v>
      </c>
      <c r="H2301" s="47" t="s">
        <v>1248</v>
      </c>
      <c r="I2301" s="47" t="s">
        <v>1176</v>
      </c>
      <c r="J2301" s="47" t="s">
        <v>26</v>
      </c>
    </row>
    <row r="2302" ht="54" customHeight="1" spans="1:10">
      <c r="A2302" s="48" t="s">
        <v>711</v>
      </c>
      <c r="B2302" s="48" t="s">
        <v>3720</v>
      </c>
      <c r="C2302" s="47" t="s">
        <v>1022</v>
      </c>
      <c r="D2302" s="48" t="s">
        <v>957</v>
      </c>
      <c r="E2302" s="48" t="s">
        <v>958</v>
      </c>
      <c r="F2302" s="48" t="s">
        <v>1023</v>
      </c>
      <c r="G2302" s="48" t="s">
        <v>1024</v>
      </c>
      <c r="H2302" s="47" t="s">
        <v>1025</v>
      </c>
      <c r="I2302" s="47" t="s">
        <v>1026</v>
      </c>
      <c r="J2302" s="47" t="s">
        <v>26</v>
      </c>
    </row>
    <row r="2303" ht="54" customHeight="1" spans="1:10">
      <c r="A2303" s="48" t="s">
        <v>711</v>
      </c>
      <c r="B2303" s="48" t="s">
        <v>3721</v>
      </c>
      <c r="C2303" s="47" t="s">
        <v>1089</v>
      </c>
      <c r="D2303" s="48" t="s">
        <v>957</v>
      </c>
      <c r="E2303" s="48" t="s">
        <v>958</v>
      </c>
      <c r="F2303" s="48" t="s">
        <v>1090</v>
      </c>
      <c r="G2303" s="48" t="s">
        <v>1091</v>
      </c>
      <c r="H2303" s="47" t="s">
        <v>1092</v>
      </c>
      <c r="I2303" s="47" t="s">
        <v>1093</v>
      </c>
      <c r="J2303" s="47" t="s">
        <v>26</v>
      </c>
    </row>
    <row r="2304" ht="54" customHeight="1" spans="1:10">
      <c r="A2304" s="48" t="s">
        <v>711</v>
      </c>
      <c r="B2304" s="48" t="s">
        <v>3722</v>
      </c>
      <c r="C2304" s="47" t="s">
        <v>956</v>
      </c>
      <c r="D2304" s="48" t="s">
        <v>957</v>
      </c>
      <c r="E2304" s="48" t="s">
        <v>958</v>
      </c>
      <c r="F2304" s="48" t="s">
        <v>959</v>
      </c>
      <c r="G2304" s="48" t="s">
        <v>960</v>
      </c>
      <c r="H2304" s="47" t="s">
        <v>961</v>
      </c>
      <c r="I2304" s="47" t="s">
        <v>962</v>
      </c>
      <c r="J2304" s="47" t="s">
        <v>26</v>
      </c>
    </row>
    <row r="2305" ht="54" customHeight="1" spans="1:10">
      <c r="A2305" s="48" t="s">
        <v>711</v>
      </c>
      <c r="B2305" s="48" t="s">
        <v>3723</v>
      </c>
      <c r="C2305" s="47" t="s">
        <v>1097</v>
      </c>
      <c r="D2305" s="48" t="s">
        <v>1098</v>
      </c>
      <c r="E2305" s="48" t="s">
        <v>1099</v>
      </c>
      <c r="F2305" s="48" t="s">
        <v>1100</v>
      </c>
      <c r="G2305" s="48" t="s">
        <v>1101</v>
      </c>
      <c r="H2305" s="47" t="s">
        <v>1102</v>
      </c>
      <c r="I2305" s="47" t="s">
        <v>1103</v>
      </c>
      <c r="J2305" s="47" t="s">
        <v>26</v>
      </c>
    </row>
    <row r="2306" ht="54" customHeight="1" spans="1:10">
      <c r="A2306" s="48" t="s">
        <v>713</v>
      </c>
      <c r="B2306" s="48" t="s">
        <v>3724</v>
      </c>
      <c r="C2306" s="47" t="s">
        <v>971</v>
      </c>
      <c r="D2306" s="48" t="s">
        <v>965</v>
      </c>
      <c r="E2306" s="48" t="s">
        <v>966</v>
      </c>
      <c r="F2306" s="48" t="s">
        <v>972</v>
      </c>
      <c r="G2306" s="48" t="s">
        <v>973</v>
      </c>
      <c r="H2306" s="47" t="s">
        <v>974</v>
      </c>
      <c r="I2306" s="47" t="s">
        <v>975</v>
      </c>
      <c r="J2306" s="47" t="s">
        <v>26</v>
      </c>
    </row>
    <row r="2307" ht="54" customHeight="1" spans="1:10">
      <c r="A2307" s="48" t="s">
        <v>713</v>
      </c>
      <c r="B2307" s="48" t="s">
        <v>3725</v>
      </c>
      <c r="C2307" s="47" t="s">
        <v>1927</v>
      </c>
      <c r="D2307" s="48" t="s">
        <v>1400</v>
      </c>
      <c r="E2307" s="48" t="s">
        <v>1401</v>
      </c>
      <c r="F2307" s="48" t="s">
        <v>1928</v>
      </c>
      <c r="G2307" s="48" t="s">
        <v>1929</v>
      </c>
      <c r="H2307" s="47" t="s">
        <v>1930</v>
      </c>
      <c r="I2307" s="47" t="s">
        <v>1931</v>
      </c>
      <c r="J2307" s="47" t="s">
        <v>26</v>
      </c>
    </row>
    <row r="2308" ht="54" customHeight="1" spans="1:10">
      <c r="A2308" s="48" t="s">
        <v>715</v>
      </c>
      <c r="B2308" s="48" t="s">
        <v>3726</v>
      </c>
      <c r="C2308" s="47" t="s">
        <v>1117</v>
      </c>
      <c r="D2308" s="48" t="s">
        <v>1118</v>
      </c>
      <c r="E2308" s="48" t="s">
        <v>1119</v>
      </c>
      <c r="F2308" s="48" t="s">
        <v>1120</v>
      </c>
      <c r="G2308" s="48" t="s">
        <v>1121</v>
      </c>
      <c r="H2308" s="47" t="s">
        <v>1122</v>
      </c>
      <c r="I2308" s="47" t="s">
        <v>1123</v>
      </c>
      <c r="J2308" s="47" t="s">
        <v>26</v>
      </c>
    </row>
    <row r="2309" ht="54" customHeight="1" spans="1:10">
      <c r="A2309" s="48" t="s">
        <v>715</v>
      </c>
      <c r="B2309" s="48" t="s">
        <v>3727</v>
      </c>
      <c r="C2309" s="47" t="s">
        <v>1145</v>
      </c>
      <c r="D2309" s="48" t="s">
        <v>1146</v>
      </c>
      <c r="E2309" s="48" t="s">
        <v>1147</v>
      </c>
      <c r="F2309" s="48" t="s">
        <v>1148</v>
      </c>
      <c r="G2309" s="48" t="s">
        <v>1149</v>
      </c>
      <c r="H2309" s="47" t="s">
        <v>1150</v>
      </c>
      <c r="I2309" s="47" t="s">
        <v>1151</v>
      </c>
      <c r="J2309" s="47" t="s">
        <v>26</v>
      </c>
    </row>
    <row r="2310" ht="54" customHeight="1" spans="1:10">
      <c r="A2310" s="48" t="s">
        <v>715</v>
      </c>
      <c r="B2310" s="48" t="s">
        <v>3728</v>
      </c>
      <c r="C2310" s="47" t="s">
        <v>1196</v>
      </c>
      <c r="D2310" s="48" t="s">
        <v>1118</v>
      </c>
      <c r="E2310" s="48" t="s">
        <v>1119</v>
      </c>
      <c r="F2310" s="48" t="s">
        <v>1197</v>
      </c>
      <c r="G2310" s="48" t="s">
        <v>1198</v>
      </c>
      <c r="H2310" s="47" t="s">
        <v>1199</v>
      </c>
      <c r="I2310" s="47" t="s">
        <v>1200</v>
      </c>
      <c r="J2310" s="47" t="s">
        <v>26</v>
      </c>
    </row>
    <row r="2311" ht="54" customHeight="1" spans="1:10">
      <c r="A2311" s="48" t="s">
        <v>717</v>
      </c>
      <c r="B2311" s="48" t="s">
        <v>3729</v>
      </c>
      <c r="C2311" s="47" t="s">
        <v>1252</v>
      </c>
      <c r="D2311" s="48" t="s">
        <v>1001</v>
      </c>
      <c r="E2311" s="48" t="s">
        <v>1002</v>
      </c>
      <c r="F2311" s="48" t="s">
        <v>1253</v>
      </c>
      <c r="G2311" s="48" t="s">
        <v>1254</v>
      </c>
      <c r="H2311" s="47" t="s">
        <v>1255</v>
      </c>
      <c r="I2311" s="47" t="s">
        <v>1256</v>
      </c>
      <c r="J2311" s="47" t="s">
        <v>26</v>
      </c>
    </row>
    <row r="2312" ht="54" customHeight="1" spans="1:10">
      <c r="A2312" s="48" t="s">
        <v>717</v>
      </c>
      <c r="B2312" s="48" t="s">
        <v>3730</v>
      </c>
      <c r="C2312" s="47" t="s">
        <v>1137</v>
      </c>
      <c r="D2312" s="48" t="s">
        <v>1138</v>
      </c>
      <c r="E2312" s="48" t="s">
        <v>1139</v>
      </c>
      <c r="F2312" s="48" t="s">
        <v>1140</v>
      </c>
      <c r="G2312" s="48" t="s">
        <v>1141</v>
      </c>
      <c r="H2312" s="47" t="s">
        <v>1142</v>
      </c>
      <c r="I2312" s="47" t="s">
        <v>940</v>
      </c>
      <c r="J2312" s="47" t="s">
        <v>26</v>
      </c>
    </row>
    <row r="2313" ht="54" customHeight="1" spans="1:10">
      <c r="A2313" s="48" t="s">
        <v>717</v>
      </c>
      <c r="B2313" s="48" t="s">
        <v>3731</v>
      </c>
      <c r="C2313" s="47" t="s">
        <v>1145</v>
      </c>
      <c r="D2313" s="48" t="s">
        <v>1146</v>
      </c>
      <c r="E2313" s="48" t="s">
        <v>1147</v>
      </c>
      <c r="F2313" s="48" t="s">
        <v>1148</v>
      </c>
      <c r="G2313" s="48" t="s">
        <v>1149</v>
      </c>
      <c r="H2313" s="47" t="s">
        <v>1150</v>
      </c>
      <c r="I2313" s="47" t="s">
        <v>1151</v>
      </c>
      <c r="J2313" s="47" t="s">
        <v>26</v>
      </c>
    </row>
    <row r="2314" ht="54" customHeight="1" spans="1:10">
      <c r="A2314" s="48" t="s">
        <v>717</v>
      </c>
      <c r="B2314" s="48" t="s">
        <v>3732</v>
      </c>
      <c r="C2314" s="47" t="s">
        <v>1170</v>
      </c>
      <c r="D2314" s="48" t="s">
        <v>1171</v>
      </c>
      <c r="E2314" s="48" t="s">
        <v>1172</v>
      </c>
      <c r="F2314" s="48" t="s">
        <v>1173</v>
      </c>
      <c r="G2314" s="48" t="s">
        <v>1174</v>
      </c>
      <c r="H2314" s="47" t="s">
        <v>1175</v>
      </c>
      <c r="I2314" s="47" t="s">
        <v>1176</v>
      </c>
      <c r="J2314" s="47" t="s">
        <v>26</v>
      </c>
    </row>
    <row r="2315" ht="54" customHeight="1" spans="1:10">
      <c r="A2315" s="48" t="s">
        <v>717</v>
      </c>
      <c r="B2315" s="48" t="s">
        <v>3733</v>
      </c>
      <c r="C2315" s="47" t="s">
        <v>1196</v>
      </c>
      <c r="D2315" s="48" t="s">
        <v>1118</v>
      </c>
      <c r="E2315" s="48" t="s">
        <v>1119</v>
      </c>
      <c r="F2315" s="48" t="s">
        <v>1197</v>
      </c>
      <c r="G2315" s="48" t="s">
        <v>1198</v>
      </c>
      <c r="H2315" s="47" t="s">
        <v>1199</v>
      </c>
      <c r="I2315" s="47" t="s">
        <v>1200</v>
      </c>
      <c r="J2315" s="47" t="s">
        <v>26</v>
      </c>
    </row>
    <row r="2316" ht="54" customHeight="1" spans="1:10">
      <c r="A2316" s="48" t="s">
        <v>719</v>
      </c>
      <c r="B2316" s="48" t="s">
        <v>3734</v>
      </c>
      <c r="C2316" s="47" t="s">
        <v>1145</v>
      </c>
      <c r="D2316" s="48" t="s">
        <v>1146</v>
      </c>
      <c r="E2316" s="48" t="s">
        <v>1147</v>
      </c>
      <c r="F2316" s="48" t="s">
        <v>1148</v>
      </c>
      <c r="G2316" s="48" t="s">
        <v>1149</v>
      </c>
      <c r="H2316" s="47" t="s">
        <v>1150</v>
      </c>
      <c r="I2316" s="47" t="s">
        <v>1151</v>
      </c>
      <c r="J2316" s="47" t="s">
        <v>26</v>
      </c>
    </row>
    <row r="2317" ht="54" customHeight="1" spans="1:10">
      <c r="A2317" s="48" t="s">
        <v>719</v>
      </c>
      <c r="B2317" s="48" t="s">
        <v>3735</v>
      </c>
      <c r="C2317" s="47" t="s">
        <v>1196</v>
      </c>
      <c r="D2317" s="48" t="s">
        <v>1118</v>
      </c>
      <c r="E2317" s="48" t="s">
        <v>1119</v>
      </c>
      <c r="F2317" s="48" t="s">
        <v>1197</v>
      </c>
      <c r="G2317" s="48" t="s">
        <v>1198</v>
      </c>
      <c r="H2317" s="47" t="s">
        <v>1199</v>
      </c>
      <c r="I2317" s="47" t="s">
        <v>1200</v>
      </c>
      <c r="J2317" s="47" t="s">
        <v>26</v>
      </c>
    </row>
    <row r="2318" ht="54" customHeight="1" spans="1:10">
      <c r="A2318" s="48" t="s">
        <v>721</v>
      </c>
      <c r="B2318" s="48" t="s">
        <v>3736</v>
      </c>
      <c r="C2318" s="47" t="s">
        <v>1927</v>
      </c>
      <c r="D2318" s="48" t="s">
        <v>1400</v>
      </c>
      <c r="E2318" s="48" t="s">
        <v>1401</v>
      </c>
      <c r="F2318" s="48" t="s">
        <v>1928</v>
      </c>
      <c r="G2318" s="48" t="s">
        <v>1929</v>
      </c>
      <c r="H2318" s="47" t="s">
        <v>1930</v>
      </c>
      <c r="I2318" s="47" t="s">
        <v>1931</v>
      </c>
      <c r="J2318" s="47" t="s">
        <v>26</v>
      </c>
    </row>
    <row r="2319" ht="54" customHeight="1" spans="1:10">
      <c r="A2319" s="48" t="s">
        <v>721</v>
      </c>
      <c r="B2319" s="48" t="s">
        <v>3737</v>
      </c>
      <c r="C2319" s="47" t="s">
        <v>3738</v>
      </c>
      <c r="D2319" s="48" t="s">
        <v>1413</v>
      </c>
      <c r="E2319" s="48" t="s">
        <v>1414</v>
      </c>
      <c r="F2319" s="48" t="s">
        <v>3739</v>
      </c>
      <c r="G2319" s="48" t="s">
        <v>3740</v>
      </c>
      <c r="H2319" s="47" t="s">
        <v>3741</v>
      </c>
      <c r="I2319" s="47" t="s">
        <v>940</v>
      </c>
      <c r="J2319" s="47" t="s">
        <v>26</v>
      </c>
    </row>
    <row r="2320" ht="54" customHeight="1" spans="1:10">
      <c r="A2320" s="48" t="s">
        <v>723</v>
      </c>
      <c r="B2320" s="48" t="s">
        <v>3742</v>
      </c>
      <c r="C2320" s="47" t="s">
        <v>1008</v>
      </c>
      <c r="D2320" s="48" t="s">
        <v>1009</v>
      </c>
      <c r="E2320" s="48" t="s">
        <v>1010</v>
      </c>
      <c r="F2320" s="48" t="s">
        <v>1011</v>
      </c>
      <c r="G2320" s="48" t="s">
        <v>1012</v>
      </c>
      <c r="H2320" s="47" t="s">
        <v>1013</v>
      </c>
      <c r="I2320" s="47" t="s">
        <v>1014</v>
      </c>
      <c r="J2320" s="47" t="s">
        <v>29</v>
      </c>
    </row>
    <row r="2321" ht="54" customHeight="1" spans="1:10">
      <c r="A2321" s="48" t="s">
        <v>723</v>
      </c>
      <c r="B2321" s="48" t="s">
        <v>3743</v>
      </c>
      <c r="C2321" s="47" t="s">
        <v>942</v>
      </c>
      <c r="D2321" s="48" t="s">
        <v>943</v>
      </c>
      <c r="E2321" s="48" t="s">
        <v>944</v>
      </c>
      <c r="F2321" s="48" t="s">
        <v>945</v>
      </c>
      <c r="G2321" s="48" t="s">
        <v>946</v>
      </c>
      <c r="H2321" s="47" t="s">
        <v>947</v>
      </c>
      <c r="I2321" s="47" t="s">
        <v>948</v>
      </c>
      <c r="J2321" s="47" t="s">
        <v>29</v>
      </c>
    </row>
    <row r="2322" ht="54" customHeight="1" spans="1:10">
      <c r="A2322" s="48" t="s">
        <v>723</v>
      </c>
      <c r="B2322" s="48" t="s">
        <v>3744</v>
      </c>
      <c r="C2322" s="47" t="s">
        <v>1480</v>
      </c>
      <c r="D2322" s="48" t="s">
        <v>1001</v>
      </c>
      <c r="E2322" s="48" t="s">
        <v>1002</v>
      </c>
      <c r="F2322" s="48" t="s">
        <v>1481</v>
      </c>
      <c r="G2322" s="48" t="s">
        <v>1482</v>
      </c>
      <c r="H2322" s="47" t="s">
        <v>1483</v>
      </c>
      <c r="I2322" s="47" t="s">
        <v>1484</v>
      </c>
      <c r="J2322" s="47" t="s">
        <v>29</v>
      </c>
    </row>
    <row r="2323" ht="54" customHeight="1" spans="1:10">
      <c r="A2323" s="48" t="s">
        <v>723</v>
      </c>
      <c r="B2323" s="48" t="s">
        <v>3745</v>
      </c>
      <c r="C2323" s="47" t="s">
        <v>1081</v>
      </c>
      <c r="D2323" s="48" t="s">
        <v>1082</v>
      </c>
      <c r="E2323" s="48" t="s">
        <v>1083</v>
      </c>
      <c r="F2323" s="48" t="s">
        <v>1084</v>
      </c>
      <c r="G2323" s="48" t="s">
        <v>1085</v>
      </c>
      <c r="H2323" s="47" t="s">
        <v>1086</v>
      </c>
      <c r="I2323" s="47" t="s">
        <v>1087</v>
      </c>
      <c r="J2323" s="47" t="s">
        <v>29</v>
      </c>
    </row>
    <row r="2324" ht="54" customHeight="1" spans="1:10">
      <c r="A2324" s="48" t="s">
        <v>723</v>
      </c>
      <c r="B2324" s="48" t="s">
        <v>3746</v>
      </c>
      <c r="C2324" s="47" t="s">
        <v>1601</v>
      </c>
      <c r="D2324" s="48" t="s">
        <v>1184</v>
      </c>
      <c r="E2324" s="48" t="s">
        <v>1185</v>
      </c>
      <c r="F2324" s="48" t="s">
        <v>1602</v>
      </c>
      <c r="G2324" s="48" t="s">
        <v>1603</v>
      </c>
      <c r="H2324" s="47" t="s">
        <v>1604</v>
      </c>
      <c r="I2324" s="47" t="s">
        <v>1605</v>
      </c>
      <c r="J2324" s="47" t="s">
        <v>29</v>
      </c>
    </row>
    <row r="2325" ht="54" customHeight="1" spans="1:10">
      <c r="A2325" s="48" t="s">
        <v>723</v>
      </c>
      <c r="B2325" s="48" t="s">
        <v>3747</v>
      </c>
      <c r="C2325" s="47" t="s">
        <v>1362</v>
      </c>
      <c r="D2325" s="48" t="s">
        <v>1059</v>
      </c>
      <c r="E2325" s="48" t="s">
        <v>1060</v>
      </c>
      <c r="F2325" s="48" t="s">
        <v>1363</v>
      </c>
      <c r="G2325" s="48" t="s">
        <v>1364</v>
      </c>
      <c r="H2325" s="47" t="s">
        <v>1365</v>
      </c>
      <c r="I2325" s="47" t="s">
        <v>1366</v>
      </c>
      <c r="J2325" s="47" t="s">
        <v>29</v>
      </c>
    </row>
    <row r="2326" ht="54" customHeight="1" spans="1:10">
      <c r="A2326" s="48" t="s">
        <v>723</v>
      </c>
      <c r="B2326" s="48" t="s">
        <v>3748</v>
      </c>
      <c r="C2326" s="47" t="s">
        <v>1105</v>
      </c>
      <c r="D2326" s="48" t="s">
        <v>1009</v>
      </c>
      <c r="E2326" s="48" t="s">
        <v>1010</v>
      </c>
      <c r="F2326" s="48" t="s">
        <v>1106</v>
      </c>
      <c r="G2326" s="48" t="s">
        <v>1107</v>
      </c>
      <c r="H2326" s="47" t="s">
        <v>1108</v>
      </c>
      <c r="I2326" s="47" t="s">
        <v>1109</v>
      </c>
      <c r="J2326" s="47" t="s">
        <v>29</v>
      </c>
    </row>
    <row r="2327" ht="54" customHeight="1" spans="1:10">
      <c r="A2327" s="48" t="s">
        <v>723</v>
      </c>
      <c r="B2327" s="48" t="s">
        <v>3749</v>
      </c>
      <c r="C2327" s="47" t="s">
        <v>1036</v>
      </c>
      <c r="D2327" s="48" t="s">
        <v>1037</v>
      </c>
      <c r="E2327" s="48" t="s">
        <v>1038</v>
      </c>
      <c r="F2327" s="48" t="s">
        <v>1039</v>
      </c>
      <c r="G2327" s="48" t="s">
        <v>1040</v>
      </c>
      <c r="H2327" s="47" t="s">
        <v>1041</v>
      </c>
      <c r="I2327" s="47" t="s">
        <v>1042</v>
      </c>
      <c r="J2327" s="47" t="s">
        <v>29</v>
      </c>
    </row>
    <row r="2328" ht="54" customHeight="1" spans="1:10">
      <c r="A2328" s="48" t="s">
        <v>723</v>
      </c>
      <c r="B2328" s="48" t="s">
        <v>3750</v>
      </c>
      <c r="C2328" s="47" t="s">
        <v>1368</v>
      </c>
      <c r="D2328" s="48" t="s">
        <v>1082</v>
      </c>
      <c r="E2328" s="48" t="s">
        <v>1083</v>
      </c>
      <c r="F2328" s="48" t="s">
        <v>1369</v>
      </c>
      <c r="G2328" s="48" t="s">
        <v>1370</v>
      </c>
      <c r="H2328" s="47" t="s">
        <v>1371</v>
      </c>
      <c r="I2328" s="47" t="s">
        <v>1372</v>
      </c>
      <c r="J2328" s="47" t="s">
        <v>29</v>
      </c>
    </row>
    <row r="2329" ht="54" customHeight="1" spans="1:10">
      <c r="A2329" s="48" t="s">
        <v>723</v>
      </c>
      <c r="B2329" s="48" t="s">
        <v>3751</v>
      </c>
      <c r="C2329" s="47" t="s">
        <v>1097</v>
      </c>
      <c r="D2329" s="48" t="s">
        <v>1098</v>
      </c>
      <c r="E2329" s="48" t="s">
        <v>1099</v>
      </c>
      <c r="F2329" s="48" t="s">
        <v>1100</v>
      </c>
      <c r="G2329" s="48" t="s">
        <v>1101</v>
      </c>
      <c r="H2329" s="47" t="s">
        <v>1102</v>
      </c>
      <c r="I2329" s="47" t="s">
        <v>1103</v>
      </c>
      <c r="J2329" s="47" t="s">
        <v>29</v>
      </c>
    </row>
    <row r="2330" ht="54" customHeight="1" spans="1:10">
      <c r="A2330" s="48" t="s">
        <v>723</v>
      </c>
      <c r="B2330" s="48" t="s">
        <v>3752</v>
      </c>
      <c r="C2330" s="47" t="s">
        <v>1375</v>
      </c>
      <c r="D2330" s="48" t="s">
        <v>1098</v>
      </c>
      <c r="E2330" s="48" t="s">
        <v>1099</v>
      </c>
      <c r="F2330" s="48" t="s">
        <v>1376</v>
      </c>
      <c r="G2330" s="48" t="s">
        <v>1377</v>
      </c>
      <c r="H2330" s="47" t="s">
        <v>1378</v>
      </c>
      <c r="I2330" s="47" t="s">
        <v>1379</v>
      </c>
      <c r="J2330" s="47" t="s">
        <v>29</v>
      </c>
    </row>
    <row r="2331" ht="54" customHeight="1" spans="1:10">
      <c r="A2331" s="48" t="s">
        <v>723</v>
      </c>
      <c r="B2331" s="48" t="s">
        <v>3753</v>
      </c>
      <c r="C2331" s="47" t="s">
        <v>1610</v>
      </c>
      <c r="D2331" s="48" t="s">
        <v>1098</v>
      </c>
      <c r="E2331" s="48" t="s">
        <v>1099</v>
      </c>
      <c r="F2331" s="48" t="s">
        <v>1611</v>
      </c>
      <c r="G2331" s="48" t="s">
        <v>1612</v>
      </c>
      <c r="H2331" s="47" t="s">
        <v>1613</v>
      </c>
      <c r="I2331" s="47" t="s">
        <v>1614</v>
      </c>
      <c r="J2331" s="47" t="s">
        <v>29</v>
      </c>
    </row>
    <row r="2332" ht="54" customHeight="1" spans="1:10">
      <c r="A2332" s="48" t="s">
        <v>725</v>
      </c>
      <c r="B2332" s="48" t="s">
        <v>3754</v>
      </c>
      <c r="C2332" s="47" t="s">
        <v>1216</v>
      </c>
      <c r="D2332" s="48" t="s">
        <v>993</v>
      </c>
      <c r="E2332" s="48" t="s">
        <v>994</v>
      </c>
      <c r="F2332" s="48" t="s">
        <v>1217</v>
      </c>
      <c r="G2332" s="48" t="s">
        <v>1218</v>
      </c>
      <c r="H2332" s="47" t="s">
        <v>1219</v>
      </c>
      <c r="I2332" s="47" t="s">
        <v>1220</v>
      </c>
      <c r="J2332" s="47" t="s">
        <v>26</v>
      </c>
    </row>
    <row r="2333" ht="54" customHeight="1" spans="1:10">
      <c r="A2333" s="48" t="s">
        <v>725</v>
      </c>
      <c r="B2333" s="48" t="s">
        <v>3755</v>
      </c>
      <c r="C2333" s="47" t="s">
        <v>1145</v>
      </c>
      <c r="D2333" s="48" t="s">
        <v>1146</v>
      </c>
      <c r="E2333" s="48" t="s">
        <v>1147</v>
      </c>
      <c r="F2333" s="48" t="s">
        <v>1148</v>
      </c>
      <c r="G2333" s="48" t="s">
        <v>1149</v>
      </c>
      <c r="H2333" s="47" t="s">
        <v>1150</v>
      </c>
      <c r="I2333" s="47" t="s">
        <v>1151</v>
      </c>
      <c r="J2333" s="47" t="s">
        <v>26</v>
      </c>
    </row>
    <row r="2334" ht="54" customHeight="1" spans="1:10">
      <c r="A2334" s="48" t="s">
        <v>725</v>
      </c>
      <c r="B2334" s="48" t="s">
        <v>3756</v>
      </c>
      <c r="C2334" s="47" t="s">
        <v>1170</v>
      </c>
      <c r="D2334" s="48" t="s">
        <v>1171</v>
      </c>
      <c r="E2334" s="48" t="s">
        <v>1172</v>
      </c>
      <c r="F2334" s="48" t="s">
        <v>1173</v>
      </c>
      <c r="G2334" s="48" t="s">
        <v>1174</v>
      </c>
      <c r="H2334" s="47" t="s">
        <v>1175</v>
      </c>
      <c r="I2334" s="47" t="s">
        <v>1176</v>
      </c>
      <c r="J2334" s="47" t="s">
        <v>26</v>
      </c>
    </row>
    <row r="2335" ht="54" customHeight="1" spans="1:10">
      <c r="A2335" s="48" t="s">
        <v>725</v>
      </c>
      <c r="B2335" s="48" t="s">
        <v>3757</v>
      </c>
      <c r="C2335" s="47" t="s">
        <v>1196</v>
      </c>
      <c r="D2335" s="48" t="s">
        <v>1118</v>
      </c>
      <c r="E2335" s="48" t="s">
        <v>1119</v>
      </c>
      <c r="F2335" s="48" t="s">
        <v>1197</v>
      </c>
      <c r="G2335" s="48" t="s">
        <v>1198</v>
      </c>
      <c r="H2335" s="47" t="s">
        <v>1199</v>
      </c>
      <c r="I2335" s="47" t="s">
        <v>1200</v>
      </c>
      <c r="J2335" s="47" t="s">
        <v>26</v>
      </c>
    </row>
    <row r="2336" ht="54" customHeight="1" spans="1:10">
      <c r="A2336" s="48" t="s">
        <v>727</v>
      </c>
      <c r="B2336" s="48" t="s">
        <v>3758</v>
      </c>
      <c r="C2336" s="47" t="s">
        <v>1718</v>
      </c>
      <c r="D2336" s="48" t="s">
        <v>1719</v>
      </c>
      <c r="E2336" s="48" t="s">
        <v>1720</v>
      </c>
      <c r="F2336" s="48" t="s">
        <v>1721</v>
      </c>
      <c r="G2336" s="48" t="s">
        <v>1722</v>
      </c>
      <c r="H2336" s="47" t="s">
        <v>1723</v>
      </c>
      <c r="I2336" s="47" t="s">
        <v>1724</v>
      </c>
      <c r="J2336" s="47" t="s">
        <v>26</v>
      </c>
    </row>
    <row r="2337" ht="54" customHeight="1" spans="1:10">
      <c r="A2337" s="48" t="s">
        <v>727</v>
      </c>
      <c r="B2337" s="48" t="s">
        <v>3759</v>
      </c>
      <c r="C2337" s="47" t="s">
        <v>1111</v>
      </c>
      <c r="D2337" s="48" t="s">
        <v>965</v>
      </c>
      <c r="E2337" s="48" t="s">
        <v>966</v>
      </c>
      <c r="F2337" s="48" t="s">
        <v>1112</v>
      </c>
      <c r="G2337" s="48" t="s">
        <v>1113</v>
      </c>
      <c r="H2337" s="47" t="s">
        <v>1114</v>
      </c>
      <c r="I2337" s="47" t="s">
        <v>1115</v>
      </c>
      <c r="J2337" s="47" t="s">
        <v>26</v>
      </c>
    </row>
    <row r="2338" ht="54" customHeight="1" spans="1:10">
      <c r="A2338" s="48" t="s">
        <v>727</v>
      </c>
      <c r="B2338" s="48" t="s">
        <v>3760</v>
      </c>
      <c r="C2338" s="47" t="s">
        <v>1137</v>
      </c>
      <c r="D2338" s="48" t="s">
        <v>1138</v>
      </c>
      <c r="E2338" s="48" t="s">
        <v>1139</v>
      </c>
      <c r="F2338" s="48" t="s">
        <v>1140</v>
      </c>
      <c r="G2338" s="48" t="s">
        <v>1141</v>
      </c>
      <c r="H2338" s="47" t="s">
        <v>1142</v>
      </c>
      <c r="I2338" s="47" t="s">
        <v>940</v>
      </c>
      <c r="J2338" s="47" t="s">
        <v>26</v>
      </c>
    </row>
    <row r="2339" ht="54" customHeight="1" spans="1:10">
      <c r="A2339" s="48" t="s">
        <v>727</v>
      </c>
      <c r="B2339" s="48" t="s">
        <v>3761</v>
      </c>
      <c r="C2339" s="47" t="s">
        <v>1313</v>
      </c>
      <c r="D2339" s="48" t="s">
        <v>1037</v>
      </c>
      <c r="E2339" s="48" t="s">
        <v>1038</v>
      </c>
      <c r="F2339" s="48" t="s">
        <v>1314</v>
      </c>
      <c r="G2339" s="48" t="s">
        <v>1315</v>
      </c>
      <c r="H2339" s="47" t="s">
        <v>1316</v>
      </c>
      <c r="I2339" s="47" t="s">
        <v>1317</v>
      </c>
      <c r="J2339" s="47" t="s">
        <v>26</v>
      </c>
    </row>
    <row r="2340" ht="54" customHeight="1" spans="1:10">
      <c r="A2340" s="48" t="s">
        <v>727</v>
      </c>
      <c r="B2340" s="48" t="s">
        <v>3762</v>
      </c>
      <c r="C2340" s="47" t="s">
        <v>1216</v>
      </c>
      <c r="D2340" s="48" t="s">
        <v>993</v>
      </c>
      <c r="E2340" s="48" t="s">
        <v>994</v>
      </c>
      <c r="F2340" s="48" t="s">
        <v>1217</v>
      </c>
      <c r="G2340" s="48" t="s">
        <v>1218</v>
      </c>
      <c r="H2340" s="47" t="s">
        <v>1219</v>
      </c>
      <c r="I2340" s="47" t="s">
        <v>1220</v>
      </c>
      <c r="J2340" s="47" t="s">
        <v>26</v>
      </c>
    </row>
    <row r="2341" ht="54" customHeight="1" spans="1:10">
      <c r="A2341" s="48" t="s">
        <v>727</v>
      </c>
      <c r="B2341" s="48" t="s">
        <v>3763</v>
      </c>
      <c r="C2341" s="47" t="s">
        <v>1164</v>
      </c>
      <c r="D2341" s="48" t="s">
        <v>978</v>
      </c>
      <c r="E2341" s="48" t="s">
        <v>979</v>
      </c>
      <c r="F2341" s="48" t="s">
        <v>1165</v>
      </c>
      <c r="G2341" s="48" t="s">
        <v>1166</v>
      </c>
      <c r="H2341" s="47" t="s">
        <v>1167</v>
      </c>
      <c r="I2341" s="47" t="s">
        <v>1168</v>
      </c>
      <c r="J2341" s="47" t="s">
        <v>26</v>
      </c>
    </row>
    <row r="2342" ht="54" customHeight="1" spans="1:10">
      <c r="A2342" s="48" t="s">
        <v>729</v>
      </c>
      <c r="B2342" s="48" t="s">
        <v>3764</v>
      </c>
      <c r="C2342" s="47" t="s">
        <v>1008</v>
      </c>
      <c r="D2342" s="48" t="s">
        <v>1009</v>
      </c>
      <c r="E2342" s="48" t="s">
        <v>1010</v>
      </c>
      <c r="F2342" s="48" t="s">
        <v>1011</v>
      </c>
      <c r="G2342" s="48" t="s">
        <v>1012</v>
      </c>
      <c r="H2342" s="47" t="s">
        <v>1013</v>
      </c>
      <c r="I2342" s="47" t="s">
        <v>1014</v>
      </c>
      <c r="J2342" s="47" t="s">
        <v>26</v>
      </c>
    </row>
    <row r="2343" ht="54" customHeight="1" spans="1:10">
      <c r="A2343" s="48" t="s">
        <v>729</v>
      </c>
      <c r="B2343" s="48" t="s">
        <v>3765</v>
      </c>
      <c r="C2343" s="47" t="s">
        <v>1235</v>
      </c>
      <c r="D2343" s="48" t="s">
        <v>1118</v>
      </c>
      <c r="E2343" s="48" t="s">
        <v>1119</v>
      </c>
      <c r="F2343" s="48" t="s">
        <v>1236</v>
      </c>
      <c r="G2343" s="48" t="s">
        <v>1237</v>
      </c>
      <c r="H2343" s="47" t="s">
        <v>1238</v>
      </c>
      <c r="I2343" s="47" t="s">
        <v>1239</v>
      </c>
      <c r="J2343" s="47" t="s">
        <v>26</v>
      </c>
    </row>
    <row r="2344" ht="54" customHeight="1" spans="1:10">
      <c r="A2344" s="48" t="s">
        <v>729</v>
      </c>
      <c r="B2344" s="48" t="s">
        <v>3766</v>
      </c>
      <c r="C2344" s="47" t="s">
        <v>1145</v>
      </c>
      <c r="D2344" s="48" t="s">
        <v>1146</v>
      </c>
      <c r="E2344" s="48" t="s">
        <v>1147</v>
      </c>
      <c r="F2344" s="48" t="s">
        <v>1148</v>
      </c>
      <c r="G2344" s="48" t="s">
        <v>1149</v>
      </c>
      <c r="H2344" s="47" t="s">
        <v>1150</v>
      </c>
      <c r="I2344" s="47" t="s">
        <v>1151</v>
      </c>
      <c r="J2344" s="47" t="s">
        <v>26</v>
      </c>
    </row>
    <row r="2345" ht="54" customHeight="1" spans="1:10">
      <c r="A2345" s="48" t="s">
        <v>729</v>
      </c>
      <c r="B2345" s="48" t="s">
        <v>3767</v>
      </c>
      <c r="C2345" s="47" t="s">
        <v>1164</v>
      </c>
      <c r="D2345" s="48" t="s">
        <v>978</v>
      </c>
      <c r="E2345" s="48" t="s">
        <v>979</v>
      </c>
      <c r="F2345" s="48" t="s">
        <v>1165</v>
      </c>
      <c r="G2345" s="48" t="s">
        <v>1166</v>
      </c>
      <c r="H2345" s="47" t="s">
        <v>1167</v>
      </c>
      <c r="I2345" s="47" t="s">
        <v>1168</v>
      </c>
      <c r="J2345" s="47" t="s">
        <v>26</v>
      </c>
    </row>
    <row r="2346" ht="54" customHeight="1" spans="1:10">
      <c r="A2346" s="48" t="s">
        <v>731</v>
      </c>
      <c r="B2346" s="48" t="s">
        <v>3768</v>
      </c>
      <c r="C2346" s="47" t="s">
        <v>1375</v>
      </c>
      <c r="D2346" s="48" t="s">
        <v>1098</v>
      </c>
      <c r="E2346" s="48" t="s">
        <v>1099</v>
      </c>
      <c r="F2346" s="48" t="s">
        <v>1376</v>
      </c>
      <c r="G2346" s="48" t="s">
        <v>1377</v>
      </c>
      <c r="H2346" s="47" t="s">
        <v>1378</v>
      </c>
      <c r="I2346" s="47" t="s">
        <v>1379</v>
      </c>
      <c r="J2346" s="47" t="s">
        <v>26</v>
      </c>
    </row>
    <row r="2347" ht="54" customHeight="1" spans="1:10">
      <c r="A2347" s="48" t="s">
        <v>731</v>
      </c>
      <c r="B2347" s="48" t="s">
        <v>3769</v>
      </c>
      <c r="C2347" s="47" t="s">
        <v>1927</v>
      </c>
      <c r="D2347" s="48" t="s">
        <v>1400</v>
      </c>
      <c r="E2347" s="48" t="s">
        <v>1401</v>
      </c>
      <c r="F2347" s="48" t="s">
        <v>1928</v>
      </c>
      <c r="G2347" s="48" t="s">
        <v>1929</v>
      </c>
      <c r="H2347" s="47" t="s">
        <v>1930</v>
      </c>
      <c r="I2347" s="47" t="s">
        <v>1931</v>
      </c>
      <c r="J2347" s="47" t="s">
        <v>26</v>
      </c>
    </row>
    <row r="2348" ht="54" customHeight="1" spans="1:10">
      <c r="A2348" s="48" t="s">
        <v>733</v>
      </c>
      <c r="B2348" s="48" t="s">
        <v>3770</v>
      </c>
      <c r="C2348" s="47" t="s">
        <v>1205</v>
      </c>
      <c r="D2348" s="48" t="s">
        <v>978</v>
      </c>
      <c r="E2348" s="48" t="s">
        <v>979</v>
      </c>
      <c r="F2348" s="48" t="s">
        <v>1206</v>
      </c>
      <c r="G2348" s="48" t="s">
        <v>1207</v>
      </c>
      <c r="H2348" s="47" t="s">
        <v>1208</v>
      </c>
      <c r="I2348" s="47" t="s">
        <v>1209</v>
      </c>
      <c r="J2348" s="47" t="s">
        <v>26</v>
      </c>
    </row>
    <row r="2349" ht="54" customHeight="1" spans="1:10">
      <c r="A2349" s="48" t="s">
        <v>733</v>
      </c>
      <c r="B2349" s="48" t="s">
        <v>3771</v>
      </c>
      <c r="C2349" s="47" t="s">
        <v>1927</v>
      </c>
      <c r="D2349" s="48" t="s">
        <v>1400</v>
      </c>
      <c r="E2349" s="48" t="s">
        <v>1401</v>
      </c>
      <c r="F2349" s="48" t="s">
        <v>1928</v>
      </c>
      <c r="G2349" s="48" t="s">
        <v>1929</v>
      </c>
      <c r="H2349" s="47" t="s">
        <v>1930</v>
      </c>
      <c r="I2349" s="47" t="s">
        <v>1931</v>
      </c>
      <c r="J2349" s="47" t="s">
        <v>26</v>
      </c>
    </row>
    <row r="2350" ht="54" customHeight="1" spans="1:10">
      <c r="A2350" s="48" t="s">
        <v>735</v>
      </c>
      <c r="B2350" s="48" t="s">
        <v>3772</v>
      </c>
      <c r="C2350" s="47" t="s">
        <v>956</v>
      </c>
      <c r="D2350" s="48" t="s">
        <v>957</v>
      </c>
      <c r="E2350" s="48" t="s">
        <v>958</v>
      </c>
      <c r="F2350" s="48" t="s">
        <v>959</v>
      </c>
      <c r="G2350" s="48" t="s">
        <v>960</v>
      </c>
      <c r="H2350" s="47" t="s">
        <v>961</v>
      </c>
      <c r="I2350" s="47" t="s">
        <v>962</v>
      </c>
      <c r="J2350" s="47" t="s">
        <v>26</v>
      </c>
    </row>
    <row r="2351" ht="54" customHeight="1" spans="1:10">
      <c r="A2351" s="48" t="s">
        <v>735</v>
      </c>
      <c r="B2351" s="48" t="s">
        <v>3773</v>
      </c>
      <c r="C2351" s="47" t="s">
        <v>1105</v>
      </c>
      <c r="D2351" s="48" t="s">
        <v>1009</v>
      </c>
      <c r="E2351" s="48" t="s">
        <v>1010</v>
      </c>
      <c r="F2351" s="48" t="s">
        <v>1106</v>
      </c>
      <c r="G2351" s="48" t="s">
        <v>1107</v>
      </c>
      <c r="H2351" s="47" t="s">
        <v>1108</v>
      </c>
      <c r="I2351" s="47" t="s">
        <v>1109</v>
      </c>
      <c r="J2351" s="47" t="s">
        <v>26</v>
      </c>
    </row>
    <row r="2352" ht="54" customHeight="1" spans="1:10">
      <c r="A2352" s="48" t="s">
        <v>735</v>
      </c>
      <c r="B2352" s="48" t="s">
        <v>3774</v>
      </c>
      <c r="C2352" s="47" t="s">
        <v>1036</v>
      </c>
      <c r="D2352" s="48" t="s">
        <v>1037</v>
      </c>
      <c r="E2352" s="48" t="s">
        <v>1038</v>
      </c>
      <c r="F2352" s="48" t="s">
        <v>1039</v>
      </c>
      <c r="G2352" s="48" t="s">
        <v>1040</v>
      </c>
      <c r="H2352" s="47" t="s">
        <v>1041</v>
      </c>
      <c r="I2352" s="47" t="s">
        <v>1042</v>
      </c>
      <c r="J2352" s="47" t="s">
        <v>26</v>
      </c>
    </row>
    <row r="2353" ht="54" customHeight="1" spans="1:10">
      <c r="A2353" s="48" t="s">
        <v>735</v>
      </c>
      <c r="B2353" s="48" t="s">
        <v>3775</v>
      </c>
      <c r="C2353" s="47" t="s">
        <v>1589</v>
      </c>
      <c r="D2353" s="48" t="s">
        <v>943</v>
      </c>
      <c r="E2353" s="48" t="s">
        <v>944</v>
      </c>
      <c r="F2353" s="48" t="s">
        <v>1590</v>
      </c>
      <c r="G2353" s="48" t="s">
        <v>1591</v>
      </c>
      <c r="H2353" s="47" t="s">
        <v>1592</v>
      </c>
      <c r="I2353" s="47" t="s">
        <v>1593</v>
      </c>
      <c r="J2353" s="47" t="s">
        <v>26</v>
      </c>
    </row>
    <row r="2354" ht="54" customHeight="1" spans="1:10">
      <c r="A2354" s="48" t="s">
        <v>737</v>
      </c>
      <c r="B2354" s="48" t="s">
        <v>3776</v>
      </c>
      <c r="C2354" s="47" t="s">
        <v>1036</v>
      </c>
      <c r="D2354" s="48" t="s">
        <v>1037</v>
      </c>
      <c r="E2354" s="48" t="s">
        <v>1038</v>
      </c>
      <c r="F2354" s="48" t="s">
        <v>1039</v>
      </c>
      <c r="G2354" s="48" t="s">
        <v>1040</v>
      </c>
      <c r="H2354" s="47" t="s">
        <v>1041</v>
      </c>
      <c r="I2354" s="47" t="s">
        <v>1042</v>
      </c>
      <c r="J2354" s="47" t="s">
        <v>26</v>
      </c>
    </row>
    <row r="2355" ht="54" customHeight="1" spans="1:10">
      <c r="A2355" s="48" t="s">
        <v>737</v>
      </c>
      <c r="B2355" s="48" t="s">
        <v>3777</v>
      </c>
      <c r="C2355" s="47" t="s">
        <v>1313</v>
      </c>
      <c r="D2355" s="48" t="s">
        <v>1037</v>
      </c>
      <c r="E2355" s="48" t="s">
        <v>1038</v>
      </c>
      <c r="F2355" s="48" t="s">
        <v>1314</v>
      </c>
      <c r="G2355" s="48" t="s">
        <v>1315</v>
      </c>
      <c r="H2355" s="47" t="s">
        <v>1316</v>
      </c>
      <c r="I2355" s="47" t="s">
        <v>1317</v>
      </c>
      <c r="J2355" s="47" t="s">
        <v>26</v>
      </c>
    </row>
    <row r="2356" ht="54" customHeight="1" spans="1:10">
      <c r="A2356" s="48" t="s">
        <v>737</v>
      </c>
      <c r="B2356" s="48" t="s">
        <v>3778</v>
      </c>
      <c r="C2356" s="47" t="s">
        <v>1145</v>
      </c>
      <c r="D2356" s="48" t="s">
        <v>1146</v>
      </c>
      <c r="E2356" s="48" t="s">
        <v>1147</v>
      </c>
      <c r="F2356" s="48" t="s">
        <v>1148</v>
      </c>
      <c r="G2356" s="48" t="s">
        <v>1149</v>
      </c>
      <c r="H2356" s="47" t="s">
        <v>1150</v>
      </c>
      <c r="I2356" s="47" t="s">
        <v>1151</v>
      </c>
      <c r="J2356" s="47" t="s">
        <v>26</v>
      </c>
    </row>
    <row r="2357" ht="54" customHeight="1" spans="1:10">
      <c r="A2357" s="48" t="s">
        <v>737</v>
      </c>
      <c r="B2357" s="48" t="s">
        <v>3779</v>
      </c>
      <c r="C2357" s="47" t="s">
        <v>1170</v>
      </c>
      <c r="D2357" s="48" t="s">
        <v>1171</v>
      </c>
      <c r="E2357" s="48" t="s">
        <v>1172</v>
      </c>
      <c r="F2357" s="48" t="s">
        <v>1173</v>
      </c>
      <c r="G2357" s="48" t="s">
        <v>1174</v>
      </c>
      <c r="H2357" s="47" t="s">
        <v>1175</v>
      </c>
      <c r="I2357" s="47" t="s">
        <v>1176</v>
      </c>
      <c r="J2357" s="47" t="s">
        <v>26</v>
      </c>
    </row>
    <row r="2358" ht="54" customHeight="1" spans="1:10">
      <c r="A2358" s="48" t="s">
        <v>739</v>
      </c>
      <c r="B2358" s="48" t="s">
        <v>3780</v>
      </c>
      <c r="C2358" s="47" t="s">
        <v>1534</v>
      </c>
      <c r="D2358" s="48" t="s">
        <v>935</v>
      </c>
      <c r="E2358" s="48" t="s">
        <v>936</v>
      </c>
      <c r="F2358" s="48" t="s">
        <v>1535</v>
      </c>
      <c r="G2358" s="48" t="s">
        <v>1536</v>
      </c>
      <c r="H2358" s="47" t="s">
        <v>1537</v>
      </c>
      <c r="I2358" s="47" t="s">
        <v>940</v>
      </c>
      <c r="J2358" s="47" t="s">
        <v>26</v>
      </c>
    </row>
    <row r="2359" ht="54" customHeight="1" spans="1:10">
      <c r="A2359" s="48" t="s">
        <v>739</v>
      </c>
      <c r="B2359" s="48" t="s">
        <v>3781</v>
      </c>
      <c r="C2359" s="47" t="s">
        <v>1153</v>
      </c>
      <c r="D2359" s="48" t="s">
        <v>943</v>
      </c>
      <c r="E2359" s="48" t="s">
        <v>944</v>
      </c>
      <c r="F2359" s="48" t="s">
        <v>1154</v>
      </c>
      <c r="G2359" s="48" t="s">
        <v>1155</v>
      </c>
      <c r="H2359" s="47" t="s">
        <v>1156</v>
      </c>
      <c r="I2359" s="47" t="s">
        <v>1157</v>
      </c>
      <c r="J2359" s="47" t="s">
        <v>26</v>
      </c>
    </row>
    <row r="2360" ht="54" customHeight="1" spans="1:10">
      <c r="A2360" s="48" t="s">
        <v>739</v>
      </c>
      <c r="B2360" s="48" t="s">
        <v>3782</v>
      </c>
      <c r="C2360" s="47" t="s">
        <v>1097</v>
      </c>
      <c r="D2360" s="48" t="s">
        <v>1098</v>
      </c>
      <c r="E2360" s="48" t="s">
        <v>1099</v>
      </c>
      <c r="F2360" s="48" t="s">
        <v>1100</v>
      </c>
      <c r="G2360" s="48" t="s">
        <v>1101</v>
      </c>
      <c r="H2360" s="47" t="s">
        <v>1102</v>
      </c>
      <c r="I2360" s="47" t="s">
        <v>1103</v>
      </c>
      <c r="J2360" s="47" t="s">
        <v>26</v>
      </c>
    </row>
    <row r="2361" ht="54" customHeight="1" spans="1:10">
      <c r="A2361" s="48" t="s">
        <v>739</v>
      </c>
      <c r="B2361" s="48" t="s">
        <v>3783</v>
      </c>
      <c r="C2361" s="47" t="s">
        <v>1388</v>
      </c>
      <c r="D2361" s="48" t="s">
        <v>1037</v>
      </c>
      <c r="E2361" s="48" t="s">
        <v>1038</v>
      </c>
      <c r="F2361" s="48" t="s">
        <v>1389</v>
      </c>
      <c r="G2361" s="48" t="s">
        <v>1390</v>
      </c>
      <c r="H2361" s="47" t="s">
        <v>1391</v>
      </c>
      <c r="I2361" s="47" t="s">
        <v>1392</v>
      </c>
      <c r="J2361" s="47" t="s">
        <v>26</v>
      </c>
    </row>
    <row r="2362" ht="54" customHeight="1" spans="1:10">
      <c r="A2362" s="48" t="s">
        <v>739</v>
      </c>
      <c r="B2362" s="48" t="s">
        <v>3784</v>
      </c>
      <c r="C2362" s="47" t="s">
        <v>1111</v>
      </c>
      <c r="D2362" s="48" t="s">
        <v>965</v>
      </c>
      <c r="E2362" s="48" t="s">
        <v>966</v>
      </c>
      <c r="F2362" s="48" t="s">
        <v>1112</v>
      </c>
      <c r="G2362" s="48" t="s">
        <v>1113</v>
      </c>
      <c r="H2362" s="47" t="s">
        <v>1114</v>
      </c>
      <c r="I2362" s="47" t="s">
        <v>1115</v>
      </c>
      <c r="J2362" s="47" t="s">
        <v>26</v>
      </c>
    </row>
    <row r="2363" ht="54" customHeight="1" spans="1:10">
      <c r="A2363" s="48" t="s">
        <v>739</v>
      </c>
      <c r="B2363" s="48" t="s">
        <v>3785</v>
      </c>
      <c r="C2363" s="47" t="s">
        <v>1545</v>
      </c>
      <c r="D2363" s="48" t="s">
        <v>1138</v>
      </c>
      <c r="E2363" s="48" t="s">
        <v>1139</v>
      </c>
      <c r="F2363" s="48" t="s">
        <v>1546</v>
      </c>
      <c r="G2363" s="48" t="s">
        <v>1547</v>
      </c>
      <c r="H2363" s="47" t="s">
        <v>1548</v>
      </c>
      <c r="I2363" s="47" t="s">
        <v>940</v>
      </c>
      <c r="J2363" s="47" t="s">
        <v>26</v>
      </c>
    </row>
    <row r="2364" ht="54" customHeight="1" spans="1:10">
      <c r="A2364" s="48" t="s">
        <v>739</v>
      </c>
      <c r="B2364" s="48" t="s">
        <v>3786</v>
      </c>
      <c r="C2364" s="47" t="s">
        <v>1137</v>
      </c>
      <c r="D2364" s="48" t="s">
        <v>1138</v>
      </c>
      <c r="E2364" s="48" t="s">
        <v>1139</v>
      </c>
      <c r="F2364" s="48" t="s">
        <v>1140</v>
      </c>
      <c r="G2364" s="48" t="s">
        <v>1141</v>
      </c>
      <c r="H2364" s="47" t="s">
        <v>1142</v>
      </c>
      <c r="I2364" s="47" t="s">
        <v>940</v>
      </c>
      <c r="J2364" s="47" t="s">
        <v>26</v>
      </c>
    </row>
    <row r="2365" ht="54" customHeight="1" spans="1:10">
      <c r="A2365" s="48" t="s">
        <v>739</v>
      </c>
      <c r="B2365" s="48" t="s">
        <v>3787</v>
      </c>
      <c r="C2365" s="47" t="s">
        <v>1313</v>
      </c>
      <c r="D2365" s="48" t="s">
        <v>1037</v>
      </c>
      <c r="E2365" s="48" t="s">
        <v>1038</v>
      </c>
      <c r="F2365" s="48" t="s">
        <v>1314</v>
      </c>
      <c r="G2365" s="48" t="s">
        <v>1315</v>
      </c>
      <c r="H2365" s="47" t="s">
        <v>1316</v>
      </c>
      <c r="I2365" s="47" t="s">
        <v>1317</v>
      </c>
      <c r="J2365" s="47" t="s">
        <v>26</v>
      </c>
    </row>
    <row r="2366" ht="54" customHeight="1" spans="1:10">
      <c r="A2366" s="48" t="s">
        <v>739</v>
      </c>
      <c r="B2366" s="48" t="s">
        <v>3788</v>
      </c>
      <c r="C2366" s="47" t="s">
        <v>1211</v>
      </c>
      <c r="D2366" s="48" t="s">
        <v>965</v>
      </c>
      <c r="E2366" s="48" t="s">
        <v>966</v>
      </c>
      <c r="F2366" s="48" t="s">
        <v>1212</v>
      </c>
      <c r="G2366" s="48" t="s">
        <v>1213</v>
      </c>
      <c r="H2366" s="47" t="s">
        <v>1214</v>
      </c>
      <c r="I2366" s="47" t="s">
        <v>940</v>
      </c>
      <c r="J2366" s="47" t="s">
        <v>26</v>
      </c>
    </row>
    <row r="2367" ht="54" customHeight="1" spans="1:10">
      <c r="A2367" s="48" t="s">
        <v>739</v>
      </c>
      <c r="B2367" s="48" t="s">
        <v>3789</v>
      </c>
      <c r="C2367" s="47" t="s">
        <v>1145</v>
      </c>
      <c r="D2367" s="48" t="s">
        <v>1146</v>
      </c>
      <c r="E2367" s="48" t="s">
        <v>1147</v>
      </c>
      <c r="F2367" s="48" t="s">
        <v>1148</v>
      </c>
      <c r="G2367" s="48" t="s">
        <v>1149</v>
      </c>
      <c r="H2367" s="47" t="s">
        <v>1150</v>
      </c>
      <c r="I2367" s="47" t="s">
        <v>1151</v>
      </c>
      <c r="J2367" s="47" t="s">
        <v>26</v>
      </c>
    </row>
    <row r="2368" ht="54" customHeight="1" spans="1:10">
      <c r="A2368" s="48" t="s">
        <v>741</v>
      </c>
      <c r="B2368" s="48" t="s">
        <v>3790</v>
      </c>
      <c r="C2368" s="47" t="s">
        <v>1421</v>
      </c>
      <c r="D2368" s="48" t="s">
        <v>1422</v>
      </c>
      <c r="E2368" s="48" t="s">
        <v>1423</v>
      </c>
      <c r="F2368" s="48" t="s">
        <v>1424</v>
      </c>
      <c r="G2368" s="48" t="s">
        <v>1423</v>
      </c>
      <c r="H2368" s="47" t="s">
        <v>1425</v>
      </c>
      <c r="I2368" s="47" t="s">
        <v>1426</v>
      </c>
      <c r="J2368" s="47" t="s">
        <v>26</v>
      </c>
    </row>
    <row r="2369" ht="54" customHeight="1" spans="1:10">
      <c r="A2369" s="48" t="s">
        <v>741</v>
      </c>
      <c r="B2369" s="48" t="s">
        <v>3791</v>
      </c>
      <c r="C2369" s="47" t="s">
        <v>1459</v>
      </c>
      <c r="D2369" s="48" t="s">
        <v>957</v>
      </c>
      <c r="E2369" s="48" t="s">
        <v>958</v>
      </c>
      <c r="F2369" s="48" t="s">
        <v>1460</v>
      </c>
      <c r="G2369" s="48" t="s">
        <v>1461</v>
      </c>
      <c r="H2369" s="47" t="s">
        <v>1462</v>
      </c>
      <c r="I2369" s="47" t="s">
        <v>1463</v>
      </c>
      <c r="J2369" s="47" t="s">
        <v>26</v>
      </c>
    </row>
    <row r="2370" ht="54" customHeight="1" spans="1:10">
      <c r="A2370" s="48" t="s">
        <v>741</v>
      </c>
      <c r="B2370" s="48" t="s">
        <v>3792</v>
      </c>
      <c r="C2370" s="47" t="s">
        <v>1337</v>
      </c>
      <c r="D2370" s="48" t="s">
        <v>1009</v>
      </c>
      <c r="E2370" s="48" t="s">
        <v>1010</v>
      </c>
      <c r="F2370" s="48" t="s">
        <v>1338</v>
      </c>
      <c r="G2370" s="48" t="s">
        <v>1339</v>
      </c>
      <c r="H2370" s="47" t="s">
        <v>1340</v>
      </c>
      <c r="I2370" s="47" t="s">
        <v>1341</v>
      </c>
      <c r="J2370" s="47" t="s">
        <v>26</v>
      </c>
    </row>
    <row r="2371" ht="54" customHeight="1" spans="1:10">
      <c r="A2371" s="48" t="s">
        <v>741</v>
      </c>
      <c r="B2371" s="48" t="s">
        <v>3793</v>
      </c>
      <c r="C2371" s="47" t="s">
        <v>1105</v>
      </c>
      <c r="D2371" s="48" t="s">
        <v>1009</v>
      </c>
      <c r="E2371" s="48" t="s">
        <v>1010</v>
      </c>
      <c r="F2371" s="48" t="s">
        <v>1106</v>
      </c>
      <c r="G2371" s="48" t="s">
        <v>1107</v>
      </c>
      <c r="H2371" s="47" t="s">
        <v>1108</v>
      </c>
      <c r="I2371" s="47" t="s">
        <v>1109</v>
      </c>
      <c r="J2371" s="47" t="s">
        <v>26</v>
      </c>
    </row>
    <row r="2372" ht="54" customHeight="1" spans="1:10">
      <c r="A2372" s="48" t="s">
        <v>741</v>
      </c>
      <c r="B2372" s="48" t="s">
        <v>3794</v>
      </c>
      <c r="C2372" s="47" t="s">
        <v>1097</v>
      </c>
      <c r="D2372" s="48" t="s">
        <v>1098</v>
      </c>
      <c r="E2372" s="48" t="s">
        <v>1099</v>
      </c>
      <c r="F2372" s="48" t="s">
        <v>1100</v>
      </c>
      <c r="G2372" s="48" t="s">
        <v>1101</v>
      </c>
      <c r="H2372" s="47" t="s">
        <v>1102</v>
      </c>
      <c r="I2372" s="47" t="s">
        <v>1103</v>
      </c>
      <c r="J2372" s="47" t="s">
        <v>26</v>
      </c>
    </row>
    <row r="2373" ht="54" customHeight="1" spans="1:10">
      <c r="A2373" s="48" t="s">
        <v>741</v>
      </c>
      <c r="B2373" s="48" t="s">
        <v>3795</v>
      </c>
      <c r="C2373" s="47" t="s">
        <v>1638</v>
      </c>
      <c r="D2373" s="48" t="s">
        <v>1118</v>
      </c>
      <c r="E2373" s="48" t="s">
        <v>1119</v>
      </c>
      <c r="F2373" s="48" t="s">
        <v>1639</v>
      </c>
      <c r="G2373" s="48" t="s">
        <v>1640</v>
      </c>
      <c r="H2373" s="47" t="s">
        <v>1641</v>
      </c>
      <c r="I2373" s="47" t="s">
        <v>1642</v>
      </c>
      <c r="J2373" s="47" t="s">
        <v>26</v>
      </c>
    </row>
    <row r="2374" ht="54" customHeight="1" spans="1:10">
      <c r="A2374" s="48" t="s">
        <v>741</v>
      </c>
      <c r="B2374" s="48" t="s">
        <v>3796</v>
      </c>
      <c r="C2374" s="47" t="s">
        <v>1111</v>
      </c>
      <c r="D2374" s="48" t="s">
        <v>965</v>
      </c>
      <c r="E2374" s="48" t="s">
        <v>966</v>
      </c>
      <c r="F2374" s="48" t="s">
        <v>1112</v>
      </c>
      <c r="G2374" s="48" t="s">
        <v>1113</v>
      </c>
      <c r="H2374" s="47" t="s">
        <v>1114</v>
      </c>
      <c r="I2374" s="47" t="s">
        <v>1115</v>
      </c>
      <c r="J2374" s="47" t="s">
        <v>26</v>
      </c>
    </row>
    <row r="2375" ht="54" customHeight="1" spans="1:10">
      <c r="A2375" s="48" t="s">
        <v>741</v>
      </c>
      <c r="B2375" s="48" t="s">
        <v>3797</v>
      </c>
      <c r="C2375" s="47" t="s">
        <v>1137</v>
      </c>
      <c r="D2375" s="48" t="s">
        <v>1138</v>
      </c>
      <c r="E2375" s="48" t="s">
        <v>1139</v>
      </c>
      <c r="F2375" s="48" t="s">
        <v>1140</v>
      </c>
      <c r="G2375" s="48" t="s">
        <v>1141</v>
      </c>
      <c r="H2375" s="47" t="s">
        <v>1142</v>
      </c>
      <c r="I2375" s="47" t="s">
        <v>940</v>
      </c>
      <c r="J2375" s="47" t="s">
        <v>26</v>
      </c>
    </row>
    <row r="2376" ht="54" customHeight="1" spans="1:10">
      <c r="A2376" s="48" t="s">
        <v>741</v>
      </c>
      <c r="B2376" s="48" t="s">
        <v>3798</v>
      </c>
      <c r="C2376" s="47" t="s">
        <v>1291</v>
      </c>
      <c r="D2376" s="48" t="s">
        <v>965</v>
      </c>
      <c r="E2376" s="48" t="s">
        <v>966</v>
      </c>
      <c r="F2376" s="48" t="s">
        <v>1292</v>
      </c>
      <c r="G2376" s="48" t="s">
        <v>1293</v>
      </c>
      <c r="H2376" s="47" t="s">
        <v>1294</v>
      </c>
      <c r="I2376" s="47" t="s">
        <v>1295</v>
      </c>
      <c r="J2376" s="47" t="s">
        <v>26</v>
      </c>
    </row>
    <row r="2377" ht="54" customHeight="1" spans="1:10">
      <c r="A2377" s="48" t="s">
        <v>741</v>
      </c>
      <c r="B2377" s="48" t="s">
        <v>3799</v>
      </c>
      <c r="C2377" s="47" t="s">
        <v>1211</v>
      </c>
      <c r="D2377" s="48" t="s">
        <v>965</v>
      </c>
      <c r="E2377" s="48" t="s">
        <v>966</v>
      </c>
      <c r="F2377" s="48" t="s">
        <v>1212</v>
      </c>
      <c r="G2377" s="48" t="s">
        <v>1213</v>
      </c>
      <c r="H2377" s="47" t="s">
        <v>1214</v>
      </c>
      <c r="I2377" s="47" t="s">
        <v>940</v>
      </c>
      <c r="J2377" s="47" t="s">
        <v>26</v>
      </c>
    </row>
    <row r="2378" ht="54" customHeight="1" spans="1:10">
      <c r="A2378" s="48" t="s">
        <v>743</v>
      </c>
      <c r="B2378" s="48" t="s">
        <v>3800</v>
      </c>
      <c r="C2378" s="47" t="s">
        <v>1927</v>
      </c>
      <c r="D2378" s="48" t="s">
        <v>1400</v>
      </c>
      <c r="E2378" s="48" t="s">
        <v>1401</v>
      </c>
      <c r="F2378" s="48" t="s">
        <v>1928</v>
      </c>
      <c r="G2378" s="48" t="s">
        <v>1929</v>
      </c>
      <c r="H2378" s="47" t="s">
        <v>1930</v>
      </c>
      <c r="I2378" s="47" t="s">
        <v>1931</v>
      </c>
      <c r="J2378" s="47" t="s">
        <v>26</v>
      </c>
    </row>
    <row r="2379" ht="54" customHeight="1" spans="1:10">
      <c r="A2379" s="48" t="s">
        <v>743</v>
      </c>
      <c r="B2379" s="48" t="s">
        <v>3801</v>
      </c>
      <c r="C2379" s="47" t="s">
        <v>3738</v>
      </c>
      <c r="D2379" s="48" t="s">
        <v>1413</v>
      </c>
      <c r="E2379" s="48" t="s">
        <v>1414</v>
      </c>
      <c r="F2379" s="48" t="s">
        <v>3739</v>
      </c>
      <c r="G2379" s="48" t="s">
        <v>3740</v>
      </c>
      <c r="H2379" s="47" t="s">
        <v>3741</v>
      </c>
      <c r="I2379" s="47" t="s">
        <v>940</v>
      </c>
      <c r="J2379" s="47" t="s">
        <v>26</v>
      </c>
    </row>
    <row r="2380" ht="54" customHeight="1" spans="1:10">
      <c r="A2380" s="48" t="s">
        <v>745</v>
      </c>
      <c r="B2380" s="48" t="s">
        <v>3802</v>
      </c>
      <c r="C2380" s="47" t="s">
        <v>1421</v>
      </c>
      <c r="D2380" s="48" t="s">
        <v>1422</v>
      </c>
      <c r="E2380" s="48" t="s">
        <v>1423</v>
      </c>
      <c r="F2380" s="48" t="s">
        <v>1424</v>
      </c>
      <c r="G2380" s="48" t="s">
        <v>1423</v>
      </c>
      <c r="H2380" s="47" t="s">
        <v>1425</v>
      </c>
      <c r="I2380" s="47" t="s">
        <v>1426</v>
      </c>
      <c r="J2380" s="47" t="s">
        <v>26</v>
      </c>
    </row>
    <row r="2381" ht="54" customHeight="1" spans="1:10">
      <c r="A2381" s="48" t="s">
        <v>745</v>
      </c>
      <c r="B2381" s="48" t="s">
        <v>3803</v>
      </c>
      <c r="C2381" s="47" t="s">
        <v>1089</v>
      </c>
      <c r="D2381" s="48" t="s">
        <v>957</v>
      </c>
      <c r="E2381" s="48" t="s">
        <v>958</v>
      </c>
      <c r="F2381" s="48" t="s">
        <v>1090</v>
      </c>
      <c r="G2381" s="48" t="s">
        <v>1091</v>
      </c>
      <c r="H2381" s="47" t="s">
        <v>1092</v>
      </c>
      <c r="I2381" s="47" t="s">
        <v>1093</v>
      </c>
      <c r="J2381" s="47" t="s">
        <v>26</v>
      </c>
    </row>
    <row r="2382" ht="54" customHeight="1" spans="1:10">
      <c r="A2382" s="48" t="s">
        <v>745</v>
      </c>
      <c r="B2382" s="48" t="s">
        <v>3804</v>
      </c>
      <c r="C2382" s="47" t="s">
        <v>1131</v>
      </c>
      <c r="D2382" s="48" t="s">
        <v>993</v>
      </c>
      <c r="E2382" s="48" t="s">
        <v>994</v>
      </c>
      <c r="F2382" s="48" t="s">
        <v>1132</v>
      </c>
      <c r="G2382" s="48" t="s">
        <v>1133</v>
      </c>
      <c r="H2382" s="47" t="s">
        <v>1134</v>
      </c>
      <c r="I2382" s="47" t="s">
        <v>1135</v>
      </c>
      <c r="J2382" s="47" t="s">
        <v>26</v>
      </c>
    </row>
    <row r="2383" ht="54" customHeight="1" spans="1:10">
      <c r="A2383" s="48" t="s">
        <v>745</v>
      </c>
      <c r="B2383" s="48" t="s">
        <v>3805</v>
      </c>
      <c r="C2383" s="47" t="s">
        <v>1137</v>
      </c>
      <c r="D2383" s="48" t="s">
        <v>1138</v>
      </c>
      <c r="E2383" s="48" t="s">
        <v>1139</v>
      </c>
      <c r="F2383" s="48" t="s">
        <v>1140</v>
      </c>
      <c r="G2383" s="48" t="s">
        <v>1141</v>
      </c>
      <c r="H2383" s="47" t="s">
        <v>1142</v>
      </c>
      <c r="I2383" s="47" t="s">
        <v>940</v>
      </c>
      <c r="J2383" s="47" t="s">
        <v>26</v>
      </c>
    </row>
    <row r="2384" ht="54" customHeight="1" spans="1:10">
      <c r="A2384" s="48" t="s">
        <v>745</v>
      </c>
      <c r="B2384" s="48" t="s">
        <v>3806</v>
      </c>
      <c r="C2384" s="47" t="s">
        <v>1211</v>
      </c>
      <c r="D2384" s="48" t="s">
        <v>965</v>
      </c>
      <c r="E2384" s="48" t="s">
        <v>966</v>
      </c>
      <c r="F2384" s="48" t="s">
        <v>1212</v>
      </c>
      <c r="G2384" s="48" t="s">
        <v>1213</v>
      </c>
      <c r="H2384" s="47" t="s">
        <v>1214</v>
      </c>
      <c r="I2384" s="47" t="s">
        <v>940</v>
      </c>
      <c r="J2384" s="47" t="s">
        <v>26</v>
      </c>
    </row>
    <row r="2385" ht="54" customHeight="1" spans="1:10">
      <c r="A2385" s="48" t="s">
        <v>747</v>
      </c>
      <c r="B2385" s="48" t="s">
        <v>3807</v>
      </c>
      <c r="C2385" s="47" t="s">
        <v>1421</v>
      </c>
      <c r="D2385" s="48" t="s">
        <v>1422</v>
      </c>
      <c r="E2385" s="48" t="s">
        <v>1423</v>
      </c>
      <c r="F2385" s="48" t="s">
        <v>1424</v>
      </c>
      <c r="G2385" s="48" t="s">
        <v>1423</v>
      </c>
      <c r="H2385" s="47" t="s">
        <v>1425</v>
      </c>
      <c r="I2385" s="47" t="s">
        <v>1426</v>
      </c>
      <c r="J2385" s="47" t="s">
        <v>26</v>
      </c>
    </row>
    <row r="2386" ht="54" customHeight="1" spans="1:10">
      <c r="A2386" s="48" t="s">
        <v>747</v>
      </c>
      <c r="B2386" s="48" t="s">
        <v>3808</v>
      </c>
      <c r="C2386" s="47" t="s">
        <v>1081</v>
      </c>
      <c r="D2386" s="48" t="s">
        <v>1082</v>
      </c>
      <c r="E2386" s="48" t="s">
        <v>1083</v>
      </c>
      <c r="F2386" s="48" t="s">
        <v>1084</v>
      </c>
      <c r="G2386" s="48" t="s">
        <v>1085</v>
      </c>
      <c r="H2386" s="47" t="s">
        <v>1086</v>
      </c>
      <c r="I2386" s="47" t="s">
        <v>1087</v>
      </c>
      <c r="J2386" s="47" t="s">
        <v>26</v>
      </c>
    </row>
    <row r="2387" ht="54" customHeight="1" spans="1:10">
      <c r="A2387" s="48" t="s">
        <v>747</v>
      </c>
      <c r="B2387" s="48" t="s">
        <v>3809</v>
      </c>
      <c r="C2387" s="47" t="s">
        <v>1105</v>
      </c>
      <c r="D2387" s="48" t="s">
        <v>1009</v>
      </c>
      <c r="E2387" s="48" t="s">
        <v>1010</v>
      </c>
      <c r="F2387" s="48" t="s">
        <v>1106</v>
      </c>
      <c r="G2387" s="48" t="s">
        <v>1107</v>
      </c>
      <c r="H2387" s="47" t="s">
        <v>1108</v>
      </c>
      <c r="I2387" s="47" t="s">
        <v>1109</v>
      </c>
      <c r="J2387" s="47" t="s">
        <v>26</v>
      </c>
    </row>
    <row r="2388" ht="54" customHeight="1" spans="1:10">
      <c r="A2388" s="48" t="s">
        <v>747</v>
      </c>
      <c r="B2388" s="48" t="s">
        <v>3810</v>
      </c>
      <c r="C2388" s="47" t="s">
        <v>1052</v>
      </c>
      <c r="D2388" s="48" t="s">
        <v>1009</v>
      </c>
      <c r="E2388" s="48" t="s">
        <v>1010</v>
      </c>
      <c r="F2388" s="48" t="s">
        <v>1053</v>
      </c>
      <c r="G2388" s="48" t="s">
        <v>1054</v>
      </c>
      <c r="H2388" s="47" t="s">
        <v>1055</v>
      </c>
      <c r="I2388" s="47" t="s">
        <v>1056</v>
      </c>
      <c r="J2388" s="47" t="s">
        <v>26</v>
      </c>
    </row>
    <row r="2389" ht="54" customHeight="1" spans="1:10">
      <c r="A2389" s="48" t="s">
        <v>747</v>
      </c>
      <c r="B2389" s="48" t="s">
        <v>3811</v>
      </c>
      <c r="C2389" s="47" t="s">
        <v>1058</v>
      </c>
      <c r="D2389" s="48" t="s">
        <v>1059</v>
      </c>
      <c r="E2389" s="48" t="s">
        <v>1060</v>
      </c>
      <c r="F2389" s="48" t="s">
        <v>1061</v>
      </c>
      <c r="G2389" s="48" t="s">
        <v>1062</v>
      </c>
      <c r="H2389" s="47" t="s">
        <v>1063</v>
      </c>
      <c r="I2389" s="47" t="s">
        <v>1064</v>
      </c>
      <c r="J2389" s="47" t="s">
        <v>26</v>
      </c>
    </row>
    <row r="2390" ht="54" customHeight="1" spans="1:10">
      <c r="A2390" s="48" t="s">
        <v>747</v>
      </c>
      <c r="B2390" s="48" t="s">
        <v>3812</v>
      </c>
      <c r="C2390" s="47" t="s">
        <v>1097</v>
      </c>
      <c r="D2390" s="48" t="s">
        <v>1098</v>
      </c>
      <c r="E2390" s="48" t="s">
        <v>1099</v>
      </c>
      <c r="F2390" s="48" t="s">
        <v>1100</v>
      </c>
      <c r="G2390" s="48" t="s">
        <v>1101</v>
      </c>
      <c r="H2390" s="47" t="s">
        <v>1102</v>
      </c>
      <c r="I2390" s="47" t="s">
        <v>1103</v>
      </c>
      <c r="J2390" s="47" t="s">
        <v>26</v>
      </c>
    </row>
    <row r="2391" ht="54" customHeight="1" spans="1:10">
      <c r="A2391" s="48" t="s">
        <v>747</v>
      </c>
      <c r="B2391" s="48" t="s">
        <v>3813</v>
      </c>
      <c r="C2391" s="47" t="s">
        <v>1375</v>
      </c>
      <c r="D2391" s="48" t="s">
        <v>1098</v>
      </c>
      <c r="E2391" s="48" t="s">
        <v>1099</v>
      </c>
      <c r="F2391" s="48" t="s">
        <v>1376</v>
      </c>
      <c r="G2391" s="48" t="s">
        <v>1377</v>
      </c>
      <c r="H2391" s="47" t="s">
        <v>1378</v>
      </c>
      <c r="I2391" s="47" t="s">
        <v>1379</v>
      </c>
      <c r="J2391" s="47" t="s">
        <v>26</v>
      </c>
    </row>
    <row r="2392" ht="54" customHeight="1" spans="1:10">
      <c r="A2392" s="48" t="s">
        <v>747</v>
      </c>
      <c r="B2392" s="48" t="s">
        <v>3814</v>
      </c>
      <c r="C2392" s="47" t="s">
        <v>1111</v>
      </c>
      <c r="D2392" s="48" t="s">
        <v>965</v>
      </c>
      <c r="E2392" s="48" t="s">
        <v>966</v>
      </c>
      <c r="F2392" s="48" t="s">
        <v>1112</v>
      </c>
      <c r="G2392" s="48" t="s">
        <v>1113</v>
      </c>
      <c r="H2392" s="47" t="s">
        <v>1114</v>
      </c>
      <c r="I2392" s="47" t="s">
        <v>1115</v>
      </c>
      <c r="J2392" s="47" t="s">
        <v>26</v>
      </c>
    </row>
    <row r="2393" ht="54" customHeight="1" spans="1:10">
      <c r="A2393" s="48" t="s">
        <v>747</v>
      </c>
      <c r="B2393" s="48" t="s">
        <v>3815</v>
      </c>
      <c r="C2393" s="47" t="s">
        <v>1137</v>
      </c>
      <c r="D2393" s="48" t="s">
        <v>1138</v>
      </c>
      <c r="E2393" s="48" t="s">
        <v>1139</v>
      </c>
      <c r="F2393" s="48" t="s">
        <v>1140</v>
      </c>
      <c r="G2393" s="48" t="s">
        <v>1141</v>
      </c>
      <c r="H2393" s="47" t="s">
        <v>1142</v>
      </c>
      <c r="I2393" s="47" t="s">
        <v>940</v>
      </c>
      <c r="J2393" s="47" t="s">
        <v>26</v>
      </c>
    </row>
    <row r="2394" ht="54" customHeight="1" spans="1:10">
      <c r="A2394" s="48" t="s">
        <v>747</v>
      </c>
      <c r="B2394" s="48" t="s">
        <v>3816</v>
      </c>
      <c r="C2394" s="47" t="s">
        <v>1205</v>
      </c>
      <c r="D2394" s="48" t="s">
        <v>978</v>
      </c>
      <c r="E2394" s="48" t="s">
        <v>979</v>
      </c>
      <c r="F2394" s="48" t="s">
        <v>1206</v>
      </c>
      <c r="G2394" s="48" t="s">
        <v>1207</v>
      </c>
      <c r="H2394" s="47" t="s">
        <v>1208</v>
      </c>
      <c r="I2394" s="47" t="s">
        <v>1209</v>
      </c>
      <c r="J2394" s="47" t="s">
        <v>26</v>
      </c>
    </row>
    <row r="2395" ht="54" customHeight="1" spans="1:10">
      <c r="A2395" s="48" t="s">
        <v>747</v>
      </c>
      <c r="B2395" s="48" t="s">
        <v>3817</v>
      </c>
      <c r="C2395" s="47" t="s">
        <v>1170</v>
      </c>
      <c r="D2395" s="48" t="s">
        <v>1171</v>
      </c>
      <c r="E2395" s="48" t="s">
        <v>1172</v>
      </c>
      <c r="F2395" s="48" t="s">
        <v>1173</v>
      </c>
      <c r="G2395" s="48" t="s">
        <v>1174</v>
      </c>
      <c r="H2395" s="47" t="s">
        <v>1175</v>
      </c>
      <c r="I2395" s="47" t="s">
        <v>1176</v>
      </c>
      <c r="J2395" s="47" t="s">
        <v>26</v>
      </c>
    </row>
    <row r="2396" ht="54" customHeight="1" spans="1:10">
      <c r="A2396" s="48" t="s">
        <v>749</v>
      </c>
      <c r="B2396" s="48" t="s">
        <v>3818</v>
      </c>
      <c r="C2396" s="47" t="s">
        <v>2797</v>
      </c>
      <c r="D2396" s="48" t="s">
        <v>1073</v>
      </c>
      <c r="E2396" s="48" t="s">
        <v>1074</v>
      </c>
      <c r="F2396" s="48" t="s">
        <v>2798</v>
      </c>
      <c r="G2396" s="48" t="s">
        <v>2799</v>
      </c>
      <c r="H2396" s="47" t="s">
        <v>2800</v>
      </c>
      <c r="I2396" s="47" t="s">
        <v>2801</v>
      </c>
      <c r="J2396" s="47" t="s">
        <v>26</v>
      </c>
    </row>
    <row r="2397" ht="54" customHeight="1" spans="1:10">
      <c r="A2397" s="48" t="s">
        <v>749</v>
      </c>
      <c r="B2397" s="48" t="s">
        <v>3819</v>
      </c>
      <c r="C2397" s="47" t="s">
        <v>1601</v>
      </c>
      <c r="D2397" s="48" t="s">
        <v>1184</v>
      </c>
      <c r="E2397" s="48" t="s">
        <v>1185</v>
      </c>
      <c r="F2397" s="48" t="s">
        <v>1602</v>
      </c>
      <c r="G2397" s="48" t="s">
        <v>1603</v>
      </c>
      <c r="H2397" s="47" t="s">
        <v>1604</v>
      </c>
      <c r="I2397" s="47" t="s">
        <v>1605</v>
      </c>
      <c r="J2397" s="47" t="s">
        <v>26</v>
      </c>
    </row>
    <row r="2398" ht="54" customHeight="1" spans="1:10">
      <c r="A2398" s="48" t="s">
        <v>749</v>
      </c>
      <c r="B2398" s="48" t="s">
        <v>3820</v>
      </c>
      <c r="C2398" s="47" t="s">
        <v>956</v>
      </c>
      <c r="D2398" s="48" t="s">
        <v>957</v>
      </c>
      <c r="E2398" s="48" t="s">
        <v>958</v>
      </c>
      <c r="F2398" s="48" t="s">
        <v>959</v>
      </c>
      <c r="G2398" s="48" t="s">
        <v>960</v>
      </c>
      <c r="H2398" s="47" t="s">
        <v>961</v>
      </c>
      <c r="I2398" s="47" t="s">
        <v>962</v>
      </c>
      <c r="J2398" s="47" t="s">
        <v>26</v>
      </c>
    </row>
    <row r="2399" ht="54" customHeight="1" spans="1:10">
      <c r="A2399" s="48" t="s">
        <v>749</v>
      </c>
      <c r="B2399" s="48" t="s">
        <v>3821</v>
      </c>
      <c r="C2399" s="47" t="s">
        <v>1097</v>
      </c>
      <c r="D2399" s="48" t="s">
        <v>1098</v>
      </c>
      <c r="E2399" s="48" t="s">
        <v>1099</v>
      </c>
      <c r="F2399" s="48" t="s">
        <v>1100</v>
      </c>
      <c r="G2399" s="48" t="s">
        <v>1101</v>
      </c>
      <c r="H2399" s="47" t="s">
        <v>1102</v>
      </c>
      <c r="I2399" s="47" t="s">
        <v>1103</v>
      </c>
      <c r="J2399" s="47" t="s">
        <v>26</v>
      </c>
    </row>
    <row r="2400" ht="54" customHeight="1" spans="1:10">
      <c r="A2400" s="48" t="s">
        <v>751</v>
      </c>
      <c r="B2400" s="48" t="s">
        <v>3822</v>
      </c>
      <c r="C2400" s="47" t="s">
        <v>1022</v>
      </c>
      <c r="D2400" s="48" t="s">
        <v>957</v>
      </c>
      <c r="E2400" s="48" t="s">
        <v>958</v>
      </c>
      <c r="F2400" s="48" t="s">
        <v>1023</v>
      </c>
      <c r="G2400" s="48" t="s">
        <v>1024</v>
      </c>
      <c r="H2400" s="47" t="s">
        <v>1025</v>
      </c>
      <c r="I2400" s="47" t="s">
        <v>1026</v>
      </c>
      <c r="J2400" s="47" t="s">
        <v>26</v>
      </c>
    </row>
    <row r="2401" ht="54" customHeight="1" spans="1:10">
      <c r="A2401" s="48" t="s">
        <v>751</v>
      </c>
      <c r="B2401" s="48" t="s">
        <v>3823</v>
      </c>
      <c r="C2401" s="47" t="s">
        <v>1277</v>
      </c>
      <c r="D2401" s="48" t="s">
        <v>1278</v>
      </c>
      <c r="E2401" s="48" t="s">
        <v>1279</v>
      </c>
      <c r="F2401" s="48" t="s">
        <v>1280</v>
      </c>
      <c r="G2401" s="48" t="s">
        <v>1281</v>
      </c>
      <c r="H2401" s="47" t="s">
        <v>1282</v>
      </c>
      <c r="I2401" s="47" t="s">
        <v>1283</v>
      </c>
      <c r="J2401" s="47" t="s">
        <v>26</v>
      </c>
    </row>
    <row r="2402" ht="54" customHeight="1" spans="1:10">
      <c r="A2402" s="48" t="s">
        <v>751</v>
      </c>
      <c r="B2402" s="48" t="s">
        <v>3824</v>
      </c>
      <c r="C2402" s="47" t="s">
        <v>971</v>
      </c>
      <c r="D2402" s="48" t="s">
        <v>965</v>
      </c>
      <c r="E2402" s="48" t="s">
        <v>966</v>
      </c>
      <c r="F2402" s="48" t="s">
        <v>972</v>
      </c>
      <c r="G2402" s="48" t="s">
        <v>973</v>
      </c>
      <c r="H2402" s="47" t="s">
        <v>974</v>
      </c>
      <c r="I2402" s="47" t="s">
        <v>975</v>
      </c>
      <c r="J2402" s="47" t="s">
        <v>26</v>
      </c>
    </row>
    <row r="2403" ht="54" customHeight="1" spans="1:10">
      <c r="A2403" s="48" t="s">
        <v>751</v>
      </c>
      <c r="B2403" s="48" t="s">
        <v>3825</v>
      </c>
      <c r="C2403" s="47" t="s">
        <v>1216</v>
      </c>
      <c r="D2403" s="48" t="s">
        <v>993</v>
      </c>
      <c r="E2403" s="48" t="s">
        <v>994</v>
      </c>
      <c r="F2403" s="48" t="s">
        <v>1217</v>
      </c>
      <c r="G2403" s="48" t="s">
        <v>1218</v>
      </c>
      <c r="H2403" s="47" t="s">
        <v>1219</v>
      </c>
      <c r="I2403" s="47" t="s">
        <v>1220</v>
      </c>
      <c r="J2403" s="47" t="s">
        <v>26</v>
      </c>
    </row>
    <row r="2404" ht="54" customHeight="1" spans="1:10">
      <c r="A2404" s="48" t="s">
        <v>751</v>
      </c>
      <c r="B2404" s="48" t="s">
        <v>3826</v>
      </c>
      <c r="C2404" s="47" t="s">
        <v>1145</v>
      </c>
      <c r="D2404" s="48" t="s">
        <v>1146</v>
      </c>
      <c r="E2404" s="48" t="s">
        <v>1147</v>
      </c>
      <c r="F2404" s="48" t="s">
        <v>1148</v>
      </c>
      <c r="G2404" s="48" t="s">
        <v>1149</v>
      </c>
      <c r="H2404" s="47" t="s">
        <v>1150</v>
      </c>
      <c r="I2404" s="47" t="s">
        <v>1151</v>
      </c>
      <c r="J2404" s="47" t="s">
        <v>26</v>
      </c>
    </row>
    <row r="2405" ht="54" customHeight="1" spans="1:10">
      <c r="A2405" s="48" t="s">
        <v>751</v>
      </c>
      <c r="B2405" s="48" t="s">
        <v>3827</v>
      </c>
      <c r="C2405" s="47" t="s">
        <v>1245</v>
      </c>
      <c r="D2405" s="48" t="s">
        <v>1171</v>
      </c>
      <c r="E2405" s="48" t="s">
        <v>1172</v>
      </c>
      <c r="F2405" s="48" t="s">
        <v>1246</v>
      </c>
      <c r="G2405" s="48" t="s">
        <v>1247</v>
      </c>
      <c r="H2405" s="47" t="s">
        <v>1248</v>
      </c>
      <c r="I2405" s="47" t="s">
        <v>1176</v>
      </c>
      <c r="J2405" s="47" t="s">
        <v>26</v>
      </c>
    </row>
    <row r="2406" ht="54" customHeight="1" spans="1:10">
      <c r="A2406" s="48" t="s">
        <v>751</v>
      </c>
      <c r="B2406" s="48" t="s">
        <v>3828</v>
      </c>
      <c r="C2406" s="47" t="s">
        <v>1196</v>
      </c>
      <c r="D2406" s="48" t="s">
        <v>1118</v>
      </c>
      <c r="E2406" s="48" t="s">
        <v>1119</v>
      </c>
      <c r="F2406" s="48" t="s">
        <v>1197</v>
      </c>
      <c r="G2406" s="48" t="s">
        <v>1198</v>
      </c>
      <c r="H2406" s="47" t="s">
        <v>1199</v>
      </c>
      <c r="I2406" s="47" t="s">
        <v>1200</v>
      </c>
      <c r="J2406" s="47" t="s">
        <v>26</v>
      </c>
    </row>
    <row r="2407" ht="54" customHeight="1" spans="1:10">
      <c r="A2407" s="48" t="s">
        <v>753</v>
      </c>
      <c r="B2407" s="48" t="s">
        <v>3829</v>
      </c>
      <c r="C2407" s="47" t="s">
        <v>1505</v>
      </c>
      <c r="D2407" s="48" t="s">
        <v>1506</v>
      </c>
      <c r="E2407" s="48" t="s">
        <v>1507</v>
      </c>
      <c r="F2407" s="48" t="s">
        <v>1508</v>
      </c>
      <c r="G2407" s="48" t="s">
        <v>1507</v>
      </c>
      <c r="H2407" s="47" t="s">
        <v>1509</v>
      </c>
      <c r="I2407" s="47" t="s">
        <v>1510</v>
      </c>
      <c r="J2407" s="47" t="s">
        <v>26</v>
      </c>
    </row>
    <row r="2408" ht="54" customHeight="1" spans="1:10">
      <c r="A2408" s="48" t="s">
        <v>753</v>
      </c>
      <c r="B2408" s="48" t="s">
        <v>3830</v>
      </c>
      <c r="C2408" s="47" t="s">
        <v>1362</v>
      </c>
      <c r="D2408" s="48" t="s">
        <v>1059</v>
      </c>
      <c r="E2408" s="48" t="s">
        <v>1060</v>
      </c>
      <c r="F2408" s="48" t="s">
        <v>1363</v>
      </c>
      <c r="G2408" s="48" t="s">
        <v>1364</v>
      </c>
      <c r="H2408" s="47" t="s">
        <v>1365</v>
      </c>
      <c r="I2408" s="47" t="s">
        <v>1366</v>
      </c>
      <c r="J2408" s="47" t="s">
        <v>26</v>
      </c>
    </row>
    <row r="2409" ht="54" customHeight="1" spans="1:10">
      <c r="A2409" s="48" t="s">
        <v>753</v>
      </c>
      <c r="B2409" s="48" t="s">
        <v>3831</v>
      </c>
      <c r="C2409" s="47" t="s">
        <v>1105</v>
      </c>
      <c r="D2409" s="48" t="s">
        <v>1009</v>
      </c>
      <c r="E2409" s="48" t="s">
        <v>1010</v>
      </c>
      <c r="F2409" s="48" t="s">
        <v>1106</v>
      </c>
      <c r="G2409" s="48" t="s">
        <v>1107</v>
      </c>
      <c r="H2409" s="47" t="s">
        <v>1108</v>
      </c>
      <c r="I2409" s="47" t="s">
        <v>1109</v>
      </c>
      <c r="J2409" s="47" t="s">
        <v>26</v>
      </c>
    </row>
    <row r="2410" ht="54" customHeight="1" spans="1:10">
      <c r="A2410" s="48" t="s">
        <v>753</v>
      </c>
      <c r="B2410" s="48" t="s">
        <v>3832</v>
      </c>
      <c r="C2410" s="47" t="s">
        <v>1268</v>
      </c>
      <c r="D2410" s="48" t="s">
        <v>957</v>
      </c>
      <c r="E2410" s="48" t="s">
        <v>958</v>
      </c>
      <c r="F2410" s="48" t="s">
        <v>1269</v>
      </c>
      <c r="G2410" s="48" t="s">
        <v>1270</v>
      </c>
      <c r="H2410" s="47" t="s">
        <v>1271</v>
      </c>
      <c r="I2410" s="47" t="s">
        <v>1272</v>
      </c>
      <c r="J2410" s="47" t="s">
        <v>26</v>
      </c>
    </row>
    <row r="2411" ht="54" customHeight="1" spans="1:10">
      <c r="A2411" s="48" t="s">
        <v>753</v>
      </c>
      <c r="B2411" s="48" t="s">
        <v>3833</v>
      </c>
      <c r="C2411" s="47" t="s">
        <v>1052</v>
      </c>
      <c r="D2411" s="48" t="s">
        <v>1009</v>
      </c>
      <c r="E2411" s="48" t="s">
        <v>1010</v>
      </c>
      <c r="F2411" s="48" t="s">
        <v>1053</v>
      </c>
      <c r="G2411" s="48" t="s">
        <v>1054</v>
      </c>
      <c r="H2411" s="47" t="s">
        <v>1055</v>
      </c>
      <c r="I2411" s="47" t="s">
        <v>1056</v>
      </c>
      <c r="J2411" s="47" t="s">
        <v>26</v>
      </c>
    </row>
    <row r="2412" ht="54" customHeight="1" spans="1:10">
      <c r="A2412" s="48" t="s">
        <v>753</v>
      </c>
      <c r="B2412" s="48" t="s">
        <v>3834</v>
      </c>
      <c r="C2412" s="47" t="s">
        <v>1097</v>
      </c>
      <c r="D2412" s="48" t="s">
        <v>1098</v>
      </c>
      <c r="E2412" s="48" t="s">
        <v>1099</v>
      </c>
      <c r="F2412" s="48" t="s">
        <v>1100</v>
      </c>
      <c r="G2412" s="48" t="s">
        <v>1101</v>
      </c>
      <c r="H2412" s="47" t="s">
        <v>1102</v>
      </c>
      <c r="I2412" s="47" t="s">
        <v>1103</v>
      </c>
      <c r="J2412" s="47" t="s">
        <v>26</v>
      </c>
    </row>
    <row r="2413" ht="54" customHeight="1" spans="1:10">
      <c r="A2413" s="48" t="s">
        <v>753</v>
      </c>
      <c r="B2413" s="48" t="s">
        <v>3835</v>
      </c>
      <c r="C2413" s="47" t="s">
        <v>1137</v>
      </c>
      <c r="D2413" s="48" t="s">
        <v>1138</v>
      </c>
      <c r="E2413" s="48" t="s">
        <v>1139</v>
      </c>
      <c r="F2413" s="48" t="s">
        <v>1140</v>
      </c>
      <c r="G2413" s="48" t="s">
        <v>1141</v>
      </c>
      <c r="H2413" s="47" t="s">
        <v>1142</v>
      </c>
      <c r="I2413" s="47" t="s">
        <v>940</v>
      </c>
      <c r="J2413" s="47" t="s">
        <v>26</v>
      </c>
    </row>
    <row r="2414" ht="54" customHeight="1" spans="1:10">
      <c r="A2414" s="48" t="s">
        <v>753</v>
      </c>
      <c r="B2414" s="48" t="s">
        <v>3836</v>
      </c>
      <c r="C2414" s="47" t="s">
        <v>1325</v>
      </c>
      <c r="D2414" s="48" t="s">
        <v>1278</v>
      </c>
      <c r="E2414" s="48" t="s">
        <v>1279</v>
      </c>
      <c r="F2414" s="48" t="s">
        <v>1326</v>
      </c>
      <c r="G2414" s="48" t="s">
        <v>1327</v>
      </c>
      <c r="H2414" s="47" t="s">
        <v>1328</v>
      </c>
      <c r="I2414" s="47" t="s">
        <v>1329</v>
      </c>
      <c r="J2414" s="47" t="s">
        <v>26</v>
      </c>
    </row>
    <row r="2415" ht="54" customHeight="1" spans="1:10">
      <c r="A2415" s="48" t="s">
        <v>753</v>
      </c>
      <c r="B2415" s="48" t="s">
        <v>3837</v>
      </c>
      <c r="C2415" s="47" t="s">
        <v>1235</v>
      </c>
      <c r="D2415" s="48" t="s">
        <v>1118</v>
      </c>
      <c r="E2415" s="48" t="s">
        <v>1119</v>
      </c>
      <c r="F2415" s="48" t="s">
        <v>1236</v>
      </c>
      <c r="G2415" s="48" t="s">
        <v>1237</v>
      </c>
      <c r="H2415" s="47" t="s">
        <v>1238</v>
      </c>
      <c r="I2415" s="47" t="s">
        <v>1239</v>
      </c>
      <c r="J2415" s="47" t="s">
        <v>26</v>
      </c>
    </row>
    <row r="2416" ht="54" customHeight="1" spans="1:10">
      <c r="A2416" s="48" t="s">
        <v>753</v>
      </c>
      <c r="B2416" s="48" t="s">
        <v>3838</v>
      </c>
      <c r="C2416" s="47" t="s">
        <v>1216</v>
      </c>
      <c r="D2416" s="48" t="s">
        <v>993</v>
      </c>
      <c r="E2416" s="48" t="s">
        <v>994</v>
      </c>
      <c r="F2416" s="48" t="s">
        <v>1217</v>
      </c>
      <c r="G2416" s="48" t="s">
        <v>1218</v>
      </c>
      <c r="H2416" s="47" t="s">
        <v>1219</v>
      </c>
      <c r="I2416" s="47" t="s">
        <v>1220</v>
      </c>
      <c r="J2416" s="47" t="s">
        <v>26</v>
      </c>
    </row>
    <row r="2417" ht="54" customHeight="1" spans="1:10">
      <c r="A2417" s="48" t="s">
        <v>755</v>
      </c>
      <c r="B2417" s="48" t="s">
        <v>3839</v>
      </c>
      <c r="C2417" s="47" t="s">
        <v>1421</v>
      </c>
      <c r="D2417" s="48" t="s">
        <v>1422</v>
      </c>
      <c r="E2417" s="48" t="s">
        <v>1423</v>
      </c>
      <c r="F2417" s="48" t="s">
        <v>1424</v>
      </c>
      <c r="G2417" s="48" t="s">
        <v>1423</v>
      </c>
      <c r="H2417" s="47" t="s">
        <v>1425</v>
      </c>
      <c r="I2417" s="47" t="s">
        <v>1426</v>
      </c>
      <c r="J2417" s="47" t="s">
        <v>26</v>
      </c>
    </row>
    <row r="2418" ht="54" customHeight="1" spans="1:10">
      <c r="A2418" s="48" t="s">
        <v>755</v>
      </c>
      <c r="B2418" s="48" t="s">
        <v>3840</v>
      </c>
      <c r="C2418" s="47" t="s">
        <v>1934</v>
      </c>
      <c r="D2418" s="48" t="s">
        <v>1184</v>
      </c>
      <c r="E2418" s="48" t="s">
        <v>1185</v>
      </c>
      <c r="F2418" s="48" t="s">
        <v>1935</v>
      </c>
      <c r="G2418" s="48" t="s">
        <v>1936</v>
      </c>
      <c r="H2418" s="47" t="s">
        <v>1937</v>
      </c>
      <c r="I2418" s="47" t="s">
        <v>1938</v>
      </c>
      <c r="J2418" s="47" t="s">
        <v>26</v>
      </c>
    </row>
    <row r="2419" ht="54" customHeight="1" spans="1:10">
      <c r="A2419" s="48" t="s">
        <v>755</v>
      </c>
      <c r="B2419" s="48" t="s">
        <v>3841</v>
      </c>
      <c r="C2419" s="47" t="s">
        <v>1767</v>
      </c>
      <c r="D2419" s="48" t="s">
        <v>957</v>
      </c>
      <c r="E2419" s="48" t="s">
        <v>958</v>
      </c>
      <c r="F2419" s="48" t="s">
        <v>1768</v>
      </c>
      <c r="G2419" s="48" t="s">
        <v>1769</v>
      </c>
      <c r="H2419" s="47" t="s">
        <v>1770</v>
      </c>
      <c r="I2419" s="47" t="s">
        <v>1771</v>
      </c>
      <c r="J2419" s="47" t="s">
        <v>26</v>
      </c>
    </row>
    <row r="2420" ht="54" customHeight="1" spans="1:10">
      <c r="A2420" s="48" t="s">
        <v>755</v>
      </c>
      <c r="B2420" s="48" t="s">
        <v>3842</v>
      </c>
      <c r="C2420" s="47" t="s">
        <v>1097</v>
      </c>
      <c r="D2420" s="48" t="s">
        <v>1098</v>
      </c>
      <c r="E2420" s="48" t="s">
        <v>1099</v>
      </c>
      <c r="F2420" s="48" t="s">
        <v>1100</v>
      </c>
      <c r="G2420" s="48" t="s">
        <v>1101</v>
      </c>
      <c r="H2420" s="47" t="s">
        <v>1102</v>
      </c>
      <c r="I2420" s="47" t="s">
        <v>1103</v>
      </c>
      <c r="J2420" s="47" t="s">
        <v>26</v>
      </c>
    </row>
    <row r="2421" ht="54" customHeight="1" spans="1:10">
      <c r="A2421" s="48" t="s">
        <v>755</v>
      </c>
      <c r="B2421" s="48" t="s">
        <v>3843</v>
      </c>
      <c r="C2421" s="47" t="s">
        <v>1226</v>
      </c>
      <c r="D2421" s="48" t="s">
        <v>965</v>
      </c>
      <c r="E2421" s="48" t="s">
        <v>966</v>
      </c>
      <c r="F2421" s="48" t="s">
        <v>1227</v>
      </c>
      <c r="G2421" s="48" t="s">
        <v>1228</v>
      </c>
      <c r="H2421" s="47" t="s">
        <v>1229</v>
      </c>
      <c r="I2421" s="47" t="s">
        <v>940</v>
      </c>
      <c r="J2421" s="47" t="s">
        <v>26</v>
      </c>
    </row>
    <row r="2422" ht="54" customHeight="1" spans="1:10">
      <c r="A2422" s="48" t="s">
        <v>755</v>
      </c>
      <c r="B2422" s="48" t="s">
        <v>3844</v>
      </c>
      <c r="C2422" s="47" t="s">
        <v>1131</v>
      </c>
      <c r="D2422" s="48" t="s">
        <v>993</v>
      </c>
      <c r="E2422" s="48" t="s">
        <v>994</v>
      </c>
      <c r="F2422" s="48" t="s">
        <v>1132</v>
      </c>
      <c r="G2422" s="48" t="s">
        <v>1133</v>
      </c>
      <c r="H2422" s="47" t="s">
        <v>1134</v>
      </c>
      <c r="I2422" s="47" t="s">
        <v>1135</v>
      </c>
      <c r="J2422" s="47" t="s">
        <v>26</v>
      </c>
    </row>
    <row r="2423" ht="54" customHeight="1" spans="1:10">
      <c r="A2423" s="48" t="s">
        <v>755</v>
      </c>
      <c r="B2423" s="48" t="s">
        <v>3845</v>
      </c>
      <c r="C2423" s="47" t="s">
        <v>1137</v>
      </c>
      <c r="D2423" s="48" t="s">
        <v>1138</v>
      </c>
      <c r="E2423" s="48" t="s">
        <v>1139</v>
      </c>
      <c r="F2423" s="48" t="s">
        <v>1140</v>
      </c>
      <c r="G2423" s="48" t="s">
        <v>1141</v>
      </c>
      <c r="H2423" s="47" t="s">
        <v>1142</v>
      </c>
      <c r="I2423" s="47" t="s">
        <v>940</v>
      </c>
      <c r="J2423" s="47" t="s">
        <v>26</v>
      </c>
    </row>
    <row r="2424" ht="54" customHeight="1" spans="1:10">
      <c r="A2424" s="48" t="s">
        <v>755</v>
      </c>
      <c r="B2424" s="48" t="s">
        <v>3846</v>
      </c>
      <c r="C2424" s="47" t="s">
        <v>971</v>
      </c>
      <c r="D2424" s="48" t="s">
        <v>965</v>
      </c>
      <c r="E2424" s="48" t="s">
        <v>966</v>
      </c>
      <c r="F2424" s="48" t="s">
        <v>972</v>
      </c>
      <c r="G2424" s="48" t="s">
        <v>973</v>
      </c>
      <c r="H2424" s="47" t="s">
        <v>974</v>
      </c>
      <c r="I2424" s="47" t="s">
        <v>975</v>
      </c>
      <c r="J2424" s="47" t="s">
        <v>26</v>
      </c>
    </row>
    <row r="2425" ht="54" customHeight="1" spans="1:10">
      <c r="A2425" s="48" t="s">
        <v>757</v>
      </c>
      <c r="B2425" s="48" t="s">
        <v>3847</v>
      </c>
      <c r="C2425" s="47" t="s">
        <v>1089</v>
      </c>
      <c r="D2425" s="48" t="s">
        <v>957</v>
      </c>
      <c r="E2425" s="48" t="s">
        <v>958</v>
      </c>
      <c r="F2425" s="48" t="s">
        <v>1090</v>
      </c>
      <c r="G2425" s="48" t="s">
        <v>1091</v>
      </c>
      <c r="H2425" s="47" t="s">
        <v>1092</v>
      </c>
      <c r="I2425" s="47" t="s">
        <v>1093</v>
      </c>
      <c r="J2425" s="47" t="s">
        <v>26</v>
      </c>
    </row>
    <row r="2426" ht="54" customHeight="1" spans="1:10">
      <c r="A2426" s="48" t="s">
        <v>757</v>
      </c>
      <c r="B2426" s="48" t="s">
        <v>3848</v>
      </c>
      <c r="C2426" s="47" t="s">
        <v>1052</v>
      </c>
      <c r="D2426" s="48" t="s">
        <v>1009</v>
      </c>
      <c r="E2426" s="48" t="s">
        <v>1010</v>
      </c>
      <c r="F2426" s="48" t="s">
        <v>1053</v>
      </c>
      <c r="G2426" s="48" t="s">
        <v>1054</v>
      </c>
      <c r="H2426" s="47" t="s">
        <v>1055</v>
      </c>
      <c r="I2426" s="47" t="s">
        <v>1056</v>
      </c>
      <c r="J2426" s="47" t="s">
        <v>26</v>
      </c>
    </row>
    <row r="2427" ht="54" customHeight="1" spans="1:10">
      <c r="A2427" s="48" t="s">
        <v>757</v>
      </c>
      <c r="B2427" s="48" t="s">
        <v>3849</v>
      </c>
      <c r="C2427" s="47" t="s">
        <v>971</v>
      </c>
      <c r="D2427" s="48" t="s">
        <v>965</v>
      </c>
      <c r="E2427" s="48" t="s">
        <v>966</v>
      </c>
      <c r="F2427" s="48" t="s">
        <v>972</v>
      </c>
      <c r="G2427" s="48" t="s">
        <v>973</v>
      </c>
      <c r="H2427" s="47" t="s">
        <v>974</v>
      </c>
      <c r="I2427" s="47" t="s">
        <v>975</v>
      </c>
      <c r="J2427" s="47" t="s">
        <v>26</v>
      </c>
    </row>
    <row r="2428" ht="54" customHeight="1" spans="1:10">
      <c r="A2428" s="48" t="s">
        <v>757</v>
      </c>
      <c r="B2428" s="48" t="s">
        <v>3850</v>
      </c>
      <c r="C2428" s="47" t="s">
        <v>1205</v>
      </c>
      <c r="D2428" s="48" t="s">
        <v>978</v>
      </c>
      <c r="E2428" s="48" t="s">
        <v>979</v>
      </c>
      <c r="F2428" s="48" t="s">
        <v>1206</v>
      </c>
      <c r="G2428" s="48" t="s">
        <v>1207</v>
      </c>
      <c r="H2428" s="47" t="s">
        <v>1208</v>
      </c>
      <c r="I2428" s="47" t="s">
        <v>1209</v>
      </c>
      <c r="J2428" s="47" t="s">
        <v>26</v>
      </c>
    </row>
    <row r="2429" ht="54" customHeight="1" spans="1:10">
      <c r="A2429" s="48" t="s">
        <v>757</v>
      </c>
      <c r="B2429" s="48" t="s">
        <v>3851</v>
      </c>
      <c r="C2429" s="47" t="s">
        <v>1245</v>
      </c>
      <c r="D2429" s="48" t="s">
        <v>1171</v>
      </c>
      <c r="E2429" s="48" t="s">
        <v>1172</v>
      </c>
      <c r="F2429" s="48" t="s">
        <v>1246</v>
      </c>
      <c r="G2429" s="48" t="s">
        <v>1247</v>
      </c>
      <c r="H2429" s="47" t="s">
        <v>1248</v>
      </c>
      <c r="I2429" s="47" t="s">
        <v>1176</v>
      </c>
      <c r="J2429" s="47" t="s">
        <v>26</v>
      </c>
    </row>
    <row r="2430" ht="54" customHeight="1" spans="1:10">
      <c r="A2430" s="48" t="s">
        <v>759</v>
      </c>
      <c r="B2430" s="48" t="s">
        <v>3852</v>
      </c>
      <c r="C2430" s="47" t="s">
        <v>1016</v>
      </c>
      <c r="D2430" s="48" t="s">
        <v>935</v>
      </c>
      <c r="E2430" s="48" t="s">
        <v>936</v>
      </c>
      <c r="F2430" s="48" t="s">
        <v>1017</v>
      </c>
      <c r="G2430" s="48" t="s">
        <v>1018</v>
      </c>
      <c r="H2430" s="47" t="s">
        <v>1019</v>
      </c>
      <c r="I2430" s="47" t="s">
        <v>1020</v>
      </c>
      <c r="J2430" s="47" t="s">
        <v>26</v>
      </c>
    </row>
    <row r="2431" ht="54" customHeight="1" spans="1:10">
      <c r="A2431" s="48" t="s">
        <v>759</v>
      </c>
      <c r="B2431" s="48" t="s">
        <v>3853</v>
      </c>
      <c r="C2431" s="47" t="s">
        <v>956</v>
      </c>
      <c r="D2431" s="48" t="s">
        <v>957</v>
      </c>
      <c r="E2431" s="48" t="s">
        <v>958</v>
      </c>
      <c r="F2431" s="48" t="s">
        <v>959</v>
      </c>
      <c r="G2431" s="48" t="s">
        <v>960</v>
      </c>
      <c r="H2431" s="47" t="s">
        <v>961</v>
      </c>
      <c r="I2431" s="47" t="s">
        <v>962</v>
      </c>
      <c r="J2431" s="47" t="s">
        <v>26</v>
      </c>
    </row>
    <row r="2432" ht="54" customHeight="1" spans="1:10">
      <c r="A2432" s="48" t="s">
        <v>759</v>
      </c>
      <c r="B2432" s="48" t="s">
        <v>3854</v>
      </c>
      <c r="C2432" s="47" t="s">
        <v>1105</v>
      </c>
      <c r="D2432" s="48" t="s">
        <v>1009</v>
      </c>
      <c r="E2432" s="48" t="s">
        <v>1010</v>
      </c>
      <c r="F2432" s="48" t="s">
        <v>1106</v>
      </c>
      <c r="G2432" s="48" t="s">
        <v>1107</v>
      </c>
      <c r="H2432" s="47" t="s">
        <v>1108</v>
      </c>
      <c r="I2432" s="47" t="s">
        <v>1109</v>
      </c>
      <c r="J2432" s="47" t="s">
        <v>26</v>
      </c>
    </row>
    <row r="2433" ht="54" customHeight="1" spans="1:10">
      <c r="A2433" s="48" t="s">
        <v>759</v>
      </c>
      <c r="B2433" s="48" t="s">
        <v>3855</v>
      </c>
      <c r="C2433" s="47" t="s">
        <v>1097</v>
      </c>
      <c r="D2433" s="48" t="s">
        <v>1098</v>
      </c>
      <c r="E2433" s="48" t="s">
        <v>1099</v>
      </c>
      <c r="F2433" s="48" t="s">
        <v>1100</v>
      </c>
      <c r="G2433" s="48" t="s">
        <v>1101</v>
      </c>
      <c r="H2433" s="47" t="s">
        <v>1102</v>
      </c>
      <c r="I2433" s="47" t="s">
        <v>1103</v>
      </c>
      <c r="J2433" s="47" t="s">
        <v>26</v>
      </c>
    </row>
    <row r="2434" ht="54" customHeight="1" spans="1:10">
      <c r="A2434" s="48" t="s">
        <v>759</v>
      </c>
      <c r="B2434" s="48" t="s">
        <v>3856</v>
      </c>
      <c r="C2434" s="47" t="s">
        <v>1066</v>
      </c>
      <c r="D2434" s="48" t="s">
        <v>935</v>
      </c>
      <c r="E2434" s="48" t="s">
        <v>936</v>
      </c>
      <c r="F2434" s="48" t="s">
        <v>1067</v>
      </c>
      <c r="G2434" s="48" t="s">
        <v>1068</v>
      </c>
      <c r="H2434" s="47" t="s">
        <v>1069</v>
      </c>
      <c r="I2434" s="47" t="s">
        <v>940</v>
      </c>
      <c r="J2434" s="47" t="s">
        <v>26</v>
      </c>
    </row>
    <row r="2435" ht="54" customHeight="1" spans="1:10">
      <c r="A2435" s="48" t="s">
        <v>759</v>
      </c>
      <c r="B2435" s="48" t="s">
        <v>3857</v>
      </c>
      <c r="C2435" s="47" t="s">
        <v>1388</v>
      </c>
      <c r="D2435" s="48" t="s">
        <v>1037</v>
      </c>
      <c r="E2435" s="48" t="s">
        <v>1038</v>
      </c>
      <c r="F2435" s="48" t="s">
        <v>1389</v>
      </c>
      <c r="G2435" s="48" t="s">
        <v>1390</v>
      </c>
      <c r="H2435" s="47" t="s">
        <v>1391</v>
      </c>
      <c r="I2435" s="47" t="s">
        <v>1392</v>
      </c>
      <c r="J2435" s="47" t="s">
        <v>26</v>
      </c>
    </row>
    <row r="2436" ht="54" customHeight="1" spans="1:10">
      <c r="A2436" s="48" t="s">
        <v>759</v>
      </c>
      <c r="B2436" s="48" t="s">
        <v>3858</v>
      </c>
      <c r="C2436" s="47" t="s">
        <v>1111</v>
      </c>
      <c r="D2436" s="48" t="s">
        <v>965</v>
      </c>
      <c r="E2436" s="48" t="s">
        <v>966</v>
      </c>
      <c r="F2436" s="48" t="s">
        <v>1112</v>
      </c>
      <c r="G2436" s="48" t="s">
        <v>1113</v>
      </c>
      <c r="H2436" s="47" t="s">
        <v>1114</v>
      </c>
      <c r="I2436" s="47" t="s">
        <v>1115</v>
      </c>
      <c r="J2436" s="47" t="s">
        <v>26</v>
      </c>
    </row>
    <row r="2437" ht="54" customHeight="1" spans="1:10">
      <c r="A2437" s="48" t="s">
        <v>759</v>
      </c>
      <c r="B2437" s="48" t="s">
        <v>3859</v>
      </c>
      <c r="C2437" s="47" t="s">
        <v>1226</v>
      </c>
      <c r="D2437" s="48" t="s">
        <v>965</v>
      </c>
      <c r="E2437" s="48" t="s">
        <v>966</v>
      </c>
      <c r="F2437" s="48" t="s">
        <v>1227</v>
      </c>
      <c r="G2437" s="48" t="s">
        <v>1228</v>
      </c>
      <c r="H2437" s="47" t="s">
        <v>1229</v>
      </c>
      <c r="I2437" s="47" t="s">
        <v>940</v>
      </c>
      <c r="J2437" s="47" t="s">
        <v>26</v>
      </c>
    </row>
    <row r="2438" ht="54" customHeight="1" spans="1:10">
      <c r="A2438" s="48" t="s">
        <v>761</v>
      </c>
      <c r="B2438" s="48" t="s">
        <v>3860</v>
      </c>
      <c r="C2438" s="47" t="s">
        <v>1022</v>
      </c>
      <c r="D2438" s="48" t="s">
        <v>957</v>
      </c>
      <c r="E2438" s="48" t="s">
        <v>958</v>
      </c>
      <c r="F2438" s="48" t="s">
        <v>1023</v>
      </c>
      <c r="G2438" s="48" t="s">
        <v>1024</v>
      </c>
      <c r="H2438" s="47" t="s">
        <v>1025</v>
      </c>
      <c r="I2438" s="47" t="s">
        <v>1026</v>
      </c>
      <c r="J2438" s="47" t="s">
        <v>26</v>
      </c>
    </row>
    <row r="2439" ht="54" customHeight="1" spans="1:10">
      <c r="A2439" s="48" t="s">
        <v>761</v>
      </c>
      <c r="B2439" s="48" t="s">
        <v>3861</v>
      </c>
      <c r="C2439" s="47" t="s">
        <v>956</v>
      </c>
      <c r="D2439" s="48" t="s">
        <v>957</v>
      </c>
      <c r="E2439" s="48" t="s">
        <v>958</v>
      </c>
      <c r="F2439" s="48" t="s">
        <v>959</v>
      </c>
      <c r="G2439" s="48" t="s">
        <v>960</v>
      </c>
      <c r="H2439" s="47" t="s">
        <v>961</v>
      </c>
      <c r="I2439" s="47" t="s">
        <v>962</v>
      </c>
      <c r="J2439" s="47" t="s">
        <v>26</v>
      </c>
    </row>
    <row r="2440" ht="54" customHeight="1" spans="1:10">
      <c r="A2440" s="48" t="s">
        <v>761</v>
      </c>
      <c r="B2440" s="48" t="s">
        <v>3862</v>
      </c>
      <c r="C2440" s="47" t="s">
        <v>1285</v>
      </c>
      <c r="D2440" s="48" t="s">
        <v>965</v>
      </c>
      <c r="E2440" s="48" t="s">
        <v>966</v>
      </c>
      <c r="F2440" s="48" t="s">
        <v>1286</v>
      </c>
      <c r="G2440" s="48" t="s">
        <v>1287</v>
      </c>
      <c r="H2440" s="47" t="s">
        <v>1288</v>
      </c>
      <c r="I2440" s="47" t="s">
        <v>1289</v>
      </c>
      <c r="J2440" s="47" t="s">
        <v>26</v>
      </c>
    </row>
    <row r="2441" ht="54" customHeight="1" spans="1:10">
      <c r="A2441" s="48" t="s">
        <v>761</v>
      </c>
      <c r="B2441" s="48" t="s">
        <v>3863</v>
      </c>
      <c r="C2441" s="47" t="s">
        <v>1291</v>
      </c>
      <c r="D2441" s="48" t="s">
        <v>965</v>
      </c>
      <c r="E2441" s="48" t="s">
        <v>966</v>
      </c>
      <c r="F2441" s="48" t="s">
        <v>1292</v>
      </c>
      <c r="G2441" s="48" t="s">
        <v>1293</v>
      </c>
      <c r="H2441" s="47" t="s">
        <v>1294</v>
      </c>
      <c r="I2441" s="47" t="s">
        <v>1295</v>
      </c>
      <c r="J2441" s="47" t="s">
        <v>26</v>
      </c>
    </row>
    <row r="2442" ht="54" customHeight="1" spans="1:10">
      <c r="A2442" s="48" t="s">
        <v>763</v>
      </c>
      <c r="B2442" s="48" t="s">
        <v>3864</v>
      </c>
      <c r="C2442" s="47" t="s">
        <v>1421</v>
      </c>
      <c r="D2442" s="48" t="s">
        <v>1422</v>
      </c>
      <c r="E2442" s="48" t="s">
        <v>1423</v>
      </c>
      <c r="F2442" s="48" t="s">
        <v>1424</v>
      </c>
      <c r="G2442" s="48" t="s">
        <v>1423</v>
      </c>
      <c r="H2442" s="47" t="s">
        <v>1425</v>
      </c>
      <c r="I2442" s="47" t="s">
        <v>1426</v>
      </c>
      <c r="J2442" s="47" t="s">
        <v>26</v>
      </c>
    </row>
    <row r="2443" ht="54" customHeight="1" spans="1:10">
      <c r="A2443" s="48" t="s">
        <v>763</v>
      </c>
      <c r="B2443" s="48" t="s">
        <v>3865</v>
      </c>
      <c r="C2443" s="47" t="s">
        <v>956</v>
      </c>
      <c r="D2443" s="48" t="s">
        <v>957</v>
      </c>
      <c r="E2443" s="48" t="s">
        <v>958</v>
      </c>
      <c r="F2443" s="48" t="s">
        <v>959</v>
      </c>
      <c r="G2443" s="48" t="s">
        <v>960</v>
      </c>
      <c r="H2443" s="47" t="s">
        <v>961</v>
      </c>
      <c r="I2443" s="47" t="s">
        <v>962</v>
      </c>
      <c r="J2443" s="47" t="s">
        <v>26</v>
      </c>
    </row>
    <row r="2444" ht="54" customHeight="1" spans="1:10">
      <c r="A2444" s="48" t="s">
        <v>763</v>
      </c>
      <c r="B2444" s="48" t="s">
        <v>3866</v>
      </c>
      <c r="C2444" s="47" t="s">
        <v>1105</v>
      </c>
      <c r="D2444" s="48" t="s">
        <v>1009</v>
      </c>
      <c r="E2444" s="48" t="s">
        <v>1010</v>
      </c>
      <c r="F2444" s="48" t="s">
        <v>1106</v>
      </c>
      <c r="G2444" s="48" t="s">
        <v>1107</v>
      </c>
      <c r="H2444" s="47" t="s">
        <v>1108</v>
      </c>
      <c r="I2444" s="47" t="s">
        <v>1109</v>
      </c>
      <c r="J2444" s="47" t="s">
        <v>26</v>
      </c>
    </row>
    <row r="2445" ht="54" customHeight="1" spans="1:10">
      <c r="A2445" s="48" t="s">
        <v>763</v>
      </c>
      <c r="B2445" s="48" t="s">
        <v>3867</v>
      </c>
      <c r="C2445" s="47" t="s">
        <v>1638</v>
      </c>
      <c r="D2445" s="48" t="s">
        <v>1118</v>
      </c>
      <c r="E2445" s="48" t="s">
        <v>1119</v>
      </c>
      <c r="F2445" s="48" t="s">
        <v>1639</v>
      </c>
      <c r="G2445" s="48" t="s">
        <v>1640</v>
      </c>
      <c r="H2445" s="47" t="s">
        <v>1641</v>
      </c>
      <c r="I2445" s="47" t="s">
        <v>1642</v>
      </c>
      <c r="J2445" s="47" t="s">
        <v>26</v>
      </c>
    </row>
    <row r="2446" ht="54" customHeight="1" spans="1:10">
      <c r="A2446" s="48" t="s">
        <v>765</v>
      </c>
      <c r="B2446" s="48" t="s">
        <v>3868</v>
      </c>
      <c r="C2446" s="47" t="s">
        <v>1008</v>
      </c>
      <c r="D2446" s="48" t="s">
        <v>1009</v>
      </c>
      <c r="E2446" s="48" t="s">
        <v>1010</v>
      </c>
      <c r="F2446" s="48" t="s">
        <v>1011</v>
      </c>
      <c r="G2446" s="48" t="s">
        <v>1012</v>
      </c>
      <c r="H2446" s="47" t="s">
        <v>1013</v>
      </c>
      <c r="I2446" s="47" t="s">
        <v>1014</v>
      </c>
      <c r="J2446" s="47" t="s">
        <v>26</v>
      </c>
    </row>
    <row r="2447" ht="54" customHeight="1" spans="1:10">
      <c r="A2447" s="48" t="s">
        <v>765</v>
      </c>
      <c r="B2447" s="48" t="s">
        <v>3869</v>
      </c>
      <c r="C2447" s="47" t="s">
        <v>1480</v>
      </c>
      <c r="D2447" s="48" t="s">
        <v>1001</v>
      </c>
      <c r="E2447" s="48" t="s">
        <v>1002</v>
      </c>
      <c r="F2447" s="48" t="s">
        <v>1481</v>
      </c>
      <c r="G2447" s="48" t="s">
        <v>1482</v>
      </c>
      <c r="H2447" s="47" t="s">
        <v>1483</v>
      </c>
      <c r="I2447" s="47" t="s">
        <v>1484</v>
      </c>
      <c r="J2447" s="47" t="s">
        <v>26</v>
      </c>
    </row>
    <row r="2448" ht="54" customHeight="1" spans="1:10">
      <c r="A2448" s="48" t="s">
        <v>765</v>
      </c>
      <c r="B2448" s="48" t="s">
        <v>3870</v>
      </c>
      <c r="C2448" s="47" t="s">
        <v>956</v>
      </c>
      <c r="D2448" s="48" t="s">
        <v>957</v>
      </c>
      <c r="E2448" s="48" t="s">
        <v>958</v>
      </c>
      <c r="F2448" s="48" t="s">
        <v>959</v>
      </c>
      <c r="G2448" s="48" t="s">
        <v>960</v>
      </c>
      <c r="H2448" s="47" t="s">
        <v>961</v>
      </c>
      <c r="I2448" s="47" t="s">
        <v>962</v>
      </c>
      <c r="J2448" s="47" t="s">
        <v>26</v>
      </c>
    </row>
    <row r="2449" ht="54" customHeight="1" spans="1:10">
      <c r="A2449" s="48" t="s">
        <v>765</v>
      </c>
      <c r="B2449" s="48" t="s">
        <v>3871</v>
      </c>
      <c r="C2449" s="47" t="s">
        <v>1105</v>
      </c>
      <c r="D2449" s="48" t="s">
        <v>1009</v>
      </c>
      <c r="E2449" s="48" t="s">
        <v>1010</v>
      </c>
      <c r="F2449" s="48" t="s">
        <v>1106</v>
      </c>
      <c r="G2449" s="48" t="s">
        <v>1107</v>
      </c>
      <c r="H2449" s="47" t="s">
        <v>1108</v>
      </c>
      <c r="I2449" s="47" t="s">
        <v>1109</v>
      </c>
      <c r="J2449" s="47" t="s">
        <v>26</v>
      </c>
    </row>
    <row r="2450" ht="54" customHeight="1" spans="1:10">
      <c r="A2450" s="48" t="s">
        <v>765</v>
      </c>
      <c r="B2450" s="48" t="s">
        <v>3872</v>
      </c>
      <c r="C2450" s="47" t="s">
        <v>1097</v>
      </c>
      <c r="D2450" s="48" t="s">
        <v>1098</v>
      </c>
      <c r="E2450" s="48" t="s">
        <v>1099</v>
      </c>
      <c r="F2450" s="48" t="s">
        <v>1100</v>
      </c>
      <c r="G2450" s="48" t="s">
        <v>1101</v>
      </c>
      <c r="H2450" s="47" t="s">
        <v>1102</v>
      </c>
      <c r="I2450" s="47" t="s">
        <v>1103</v>
      </c>
      <c r="J2450" s="47" t="s">
        <v>26</v>
      </c>
    </row>
    <row r="2451" ht="54" customHeight="1" spans="1:10">
      <c r="A2451" s="48" t="s">
        <v>765</v>
      </c>
      <c r="B2451" s="48" t="s">
        <v>3873</v>
      </c>
      <c r="C2451" s="47" t="s">
        <v>1291</v>
      </c>
      <c r="D2451" s="48" t="s">
        <v>965</v>
      </c>
      <c r="E2451" s="48" t="s">
        <v>966</v>
      </c>
      <c r="F2451" s="48" t="s">
        <v>1292</v>
      </c>
      <c r="G2451" s="48" t="s">
        <v>1293</v>
      </c>
      <c r="H2451" s="47" t="s">
        <v>1294</v>
      </c>
      <c r="I2451" s="47" t="s">
        <v>1295</v>
      </c>
      <c r="J2451" s="47" t="s">
        <v>26</v>
      </c>
    </row>
    <row r="2452" ht="54" customHeight="1" spans="1:10">
      <c r="A2452" s="48" t="s">
        <v>767</v>
      </c>
      <c r="B2452" s="48" t="s">
        <v>3874</v>
      </c>
      <c r="C2452" s="47" t="s">
        <v>1052</v>
      </c>
      <c r="D2452" s="48" t="s">
        <v>1009</v>
      </c>
      <c r="E2452" s="48" t="s">
        <v>1010</v>
      </c>
      <c r="F2452" s="48" t="s">
        <v>1053</v>
      </c>
      <c r="G2452" s="48" t="s">
        <v>1054</v>
      </c>
      <c r="H2452" s="47" t="s">
        <v>1055</v>
      </c>
      <c r="I2452" s="47" t="s">
        <v>1056</v>
      </c>
      <c r="J2452" s="47" t="s">
        <v>26</v>
      </c>
    </row>
    <row r="2453" ht="54" customHeight="1" spans="1:10">
      <c r="A2453" s="48" t="s">
        <v>767</v>
      </c>
      <c r="B2453" s="48" t="s">
        <v>3875</v>
      </c>
      <c r="C2453" s="47" t="s">
        <v>1226</v>
      </c>
      <c r="D2453" s="48" t="s">
        <v>965</v>
      </c>
      <c r="E2453" s="48" t="s">
        <v>966</v>
      </c>
      <c r="F2453" s="48" t="s">
        <v>1227</v>
      </c>
      <c r="G2453" s="48" t="s">
        <v>1228</v>
      </c>
      <c r="H2453" s="47" t="s">
        <v>1229</v>
      </c>
      <c r="I2453" s="47" t="s">
        <v>940</v>
      </c>
      <c r="J2453" s="47" t="s">
        <v>26</v>
      </c>
    </row>
    <row r="2454" ht="54" customHeight="1" spans="1:10">
      <c r="A2454" s="48" t="s">
        <v>769</v>
      </c>
      <c r="B2454" s="48" t="s">
        <v>3876</v>
      </c>
      <c r="C2454" s="47" t="s">
        <v>1044</v>
      </c>
      <c r="D2454" s="48" t="s">
        <v>1045</v>
      </c>
      <c r="E2454" s="48" t="s">
        <v>1046</v>
      </c>
      <c r="F2454" s="48" t="s">
        <v>1047</v>
      </c>
      <c r="G2454" s="48" t="s">
        <v>1048</v>
      </c>
      <c r="H2454" s="47" t="s">
        <v>1049</v>
      </c>
      <c r="I2454" s="47" t="s">
        <v>1050</v>
      </c>
      <c r="J2454" s="47" t="s">
        <v>26</v>
      </c>
    </row>
    <row r="2455" ht="54" customHeight="1" spans="1:10">
      <c r="A2455" s="48" t="s">
        <v>769</v>
      </c>
      <c r="B2455" s="48" t="s">
        <v>3877</v>
      </c>
      <c r="C2455" s="47" t="s">
        <v>1052</v>
      </c>
      <c r="D2455" s="48" t="s">
        <v>1009</v>
      </c>
      <c r="E2455" s="48" t="s">
        <v>1010</v>
      </c>
      <c r="F2455" s="48" t="s">
        <v>1053</v>
      </c>
      <c r="G2455" s="48" t="s">
        <v>1054</v>
      </c>
      <c r="H2455" s="47" t="s">
        <v>1055</v>
      </c>
      <c r="I2455" s="47" t="s">
        <v>1056</v>
      </c>
      <c r="J2455" s="47" t="s">
        <v>26</v>
      </c>
    </row>
    <row r="2456" ht="54" customHeight="1" spans="1:10">
      <c r="A2456" s="48" t="s">
        <v>769</v>
      </c>
      <c r="B2456" s="48" t="s">
        <v>3878</v>
      </c>
      <c r="C2456" s="47" t="s">
        <v>1097</v>
      </c>
      <c r="D2456" s="48" t="s">
        <v>1098</v>
      </c>
      <c r="E2456" s="48" t="s">
        <v>1099</v>
      </c>
      <c r="F2456" s="48" t="s">
        <v>1100</v>
      </c>
      <c r="G2456" s="48" t="s">
        <v>1101</v>
      </c>
      <c r="H2456" s="47" t="s">
        <v>1102</v>
      </c>
      <c r="I2456" s="47" t="s">
        <v>1103</v>
      </c>
      <c r="J2456" s="47" t="s">
        <v>26</v>
      </c>
    </row>
    <row r="2457" ht="54" customHeight="1" spans="1:10">
      <c r="A2457" s="48" t="s">
        <v>769</v>
      </c>
      <c r="B2457" s="48" t="s">
        <v>3879</v>
      </c>
      <c r="C2457" s="47" t="s">
        <v>1111</v>
      </c>
      <c r="D2457" s="48" t="s">
        <v>965</v>
      </c>
      <c r="E2457" s="48" t="s">
        <v>966</v>
      </c>
      <c r="F2457" s="48" t="s">
        <v>1112</v>
      </c>
      <c r="G2457" s="48" t="s">
        <v>1113</v>
      </c>
      <c r="H2457" s="47" t="s">
        <v>1114</v>
      </c>
      <c r="I2457" s="47" t="s">
        <v>1115</v>
      </c>
      <c r="J2457" s="47" t="s">
        <v>26</v>
      </c>
    </row>
    <row r="2458" ht="54" customHeight="1" spans="1:10">
      <c r="A2458" s="48" t="s">
        <v>769</v>
      </c>
      <c r="B2458" s="48" t="s">
        <v>3880</v>
      </c>
      <c r="C2458" s="47" t="s">
        <v>1226</v>
      </c>
      <c r="D2458" s="48" t="s">
        <v>965</v>
      </c>
      <c r="E2458" s="48" t="s">
        <v>966</v>
      </c>
      <c r="F2458" s="48" t="s">
        <v>1227</v>
      </c>
      <c r="G2458" s="48" t="s">
        <v>1228</v>
      </c>
      <c r="H2458" s="47" t="s">
        <v>1229</v>
      </c>
      <c r="I2458" s="47" t="s">
        <v>940</v>
      </c>
      <c r="J2458" s="47" t="s">
        <v>26</v>
      </c>
    </row>
    <row r="2459" ht="54" customHeight="1" spans="1:10">
      <c r="A2459" s="48" t="s">
        <v>769</v>
      </c>
      <c r="B2459" s="48" t="s">
        <v>3881</v>
      </c>
      <c r="C2459" s="47" t="s">
        <v>1291</v>
      </c>
      <c r="D2459" s="48" t="s">
        <v>965</v>
      </c>
      <c r="E2459" s="48" t="s">
        <v>966</v>
      </c>
      <c r="F2459" s="48" t="s">
        <v>1292</v>
      </c>
      <c r="G2459" s="48" t="s">
        <v>1293</v>
      </c>
      <c r="H2459" s="47" t="s">
        <v>1294</v>
      </c>
      <c r="I2459" s="47" t="s">
        <v>1295</v>
      </c>
      <c r="J2459" s="47" t="s">
        <v>26</v>
      </c>
    </row>
    <row r="2460" ht="54" customHeight="1" spans="1:10">
      <c r="A2460" s="48" t="s">
        <v>771</v>
      </c>
      <c r="B2460" s="48" t="s">
        <v>3882</v>
      </c>
      <c r="C2460" s="47" t="s">
        <v>1022</v>
      </c>
      <c r="D2460" s="48" t="s">
        <v>957</v>
      </c>
      <c r="E2460" s="48" t="s">
        <v>958</v>
      </c>
      <c r="F2460" s="48" t="s">
        <v>1023</v>
      </c>
      <c r="G2460" s="48" t="s">
        <v>1024</v>
      </c>
      <c r="H2460" s="47" t="s">
        <v>1025</v>
      </c>
      <c r="I2460" s="47" t="s">
        <v>1026</v>
      </c>
      <c r="J2460" s="47" t="s">
        <v>26</v>
      </c>
    </row>
    <row r="2461" ht="54" customHeight="1" spans="1:10">
      <c r="A2461" s="48" t="s">
        <v>771</v>
      </c>
      <c r="B2461" s="48" t="s">
        <v>3883</v>
      </c>
      <c r="C2461" s="47" t="s">
        <v>1089</v>
      </c>
      <c r="D2461" s="48" t="s">
        <v>957</v>
      </c>
      <c r="E2461" s="48" t="s">
        <v>958</v>
      </c>
      <c r="F2461" s="48" t="s">
        <v>1090</v>
      </c>
      <c r="G2461" s="48" t="s">
        <v>1091</v>
      </c>
      <c r="H2461" s="47" t="s">
        <v>1092</v>
      </c>
      <c r="I2461" s="47" t="s">
        <v>1093</v>
      </c>
      <c r="J2461" s="47" t="s">
        <v>26</v>
      </c>
    </row>
    <row r="2462" ht="54" customHeight="1" spans="1:10">
      <c r="A2462" s="48" t="s">
        <v>771</v>
      </c>
      <c r="B2462" s="48" t="s">
        <v>3884</v>
      </c>
      <c r="C2462" s="47" t="s">
        <v>1036</v>
      </c>
      <c r="D2462" s="48" t="s">
        <v>1037</v>
      </c>
      <c r="E2462" s="48" t="s">
        <v>1038</v>
      </c>
      <c r="F2462" s="48" t="s">
        <v>1039</v>
      </c>
      <c r="G2462" s="48" t="s">
        <v>1040</v>
      </c>
      <c r="H2462" s="47" t="s">
        <v>1041</v>
      </c>
      <c r="I2462" s="47" t="s">
        <v>1042</v>
      </c>
      <c r="J2462" s="47" t="s">
        <v>26</v>
      </c>
    </row>
    <row r="2463" ht="54" customHeight="1" spans="1:10">
      <c r="A2463" s="48" t="s">
        <v>771</v>
      </c>
      <c r="B2463" s="48" t="s">
        <v>3885</v>
      </c>
      <c r="C2463" s="47" t="s">
        <v>1097</v>
      </c>
      <c r="D2463" s="48" t="s">
        <v>1098</v>
      </c>
      <c r="E2463" s="48" t="s">
        <v>1099</v>
      </c>
      <c r="F2463" s="48" t="s">
        <v>1100</v>
      </c>
      <c r="G2463" s="48" t="s">
        <v>1101</v>
      </c>
      <c r="H2463" s="47" t="s">
        <v>1102</v>
      </c>
      <c r="I2463" s="47" t="s">
        <v>1103</v>
      </c>
      <c r="J2463" s="47" t="s">
        <v>26</v>
      </c>
    </row>
    <row r="2464" ht="54" customHeight="1" spans="1:10">
      <c r="A2464" s="48" t="s">
        <v>771</v>
      </c>
      <c r="B2464" s="48" t="s">
        <v>3886</v>
      </c>
      <c r="C2464" s="47" t="s">
        <v>1388</v>
      </c>
      <c r="D2464" s="48" t="s">
        <v>1037</v>
      </c>
      <c r="E2464" s="48" t="s">
        <v>1038</v>
      </c>
      <c r="F2464" s="48" t="s">
        <v>1389</v>
      </c>
      <c r="G2464" s="48" t="s">
        <v>1390</v>
      </c>
      <c r="H2464" s="47" t="s">
        <v>1391</v>
      </c>
      <c r="I2464" s="47" t="s">
        <v>1392</v>
      </c>
      <c r="J2464" s="47" t="s">
        <v>26</v>
      </c>
    </row>
    <row r="2465" ht="54" customHeight="1" spans="1:10">
      <c r="A2465" s="48" t="s">
        <v>771</v>
      </c>
      <c r="B2465" s="48" t="s">
        <v>3887</v>
      </c>
      <c r="C2465" s="47" t="s">
        <v>1226</v>
      </c>
      <c r="D2465" s="48" t="s">
        <v>965</v>
      </c>
      <c r="E2465" s="48" t="s">
        <v>966</v>
      </c>
      <c r="F2465" s="48" t="s">
        <v>1227</v>
      </c>
      <c r="G2465" s="48" t="s">
        <v>1228</v>
      </c>
      <c r="H2465" s="47" t="s">
        <v>1229</v>
      </c>
      <c r="I2465" s="47" t="s">
        <v>940</v>
      </c>
      <c r="J2465" s="47" t="s">
        <v>26</v>
      </c>
    </row>
    <row r="2466" ht="54" customHeight="1" spans="1:10">
      <c r="A2466" s="48" t="s">
        <v>771</v>
      </c>
      <c r="B2466" s="48" t="s">
        <v>3888</v>
      </c>
      <c r="C2466" s="47" t="s">
        <v>1313</v>
      </c>
      <c r="D2466" s="48" t="s">
        <v>1037</v>
      </c>
      <c r="E2466" s="48" t="s">
        <v>1038</v>
      </c>
      <c r="F2466" s="48" t="s">
        <v>1314</v>
      </c>
      <c r="G2466" s="48" t="s">
        <v>1315</v>
      </c>
      <c r="H2466" s="47" t="s">
        <v>1316</v>
      </c>
      <c r="I2466" s="47" t="s">
        <v>1317</v>
      </c>
      <c r="J2466" s="47" t="s">
        <v>26</v>
      </c>
    </row>
    <row r="2467" ht="54" customHeight="1" spans="1:10">
      <c r="A2467" s="48" t="s">
        <v>771</v>
      </c>
      <c r="B2467" s="48" t="s">
        <v>3889</v>
      </c>
      <c r="C2467" s="47" t="s">
        <v>1750</v>
      </c>
      <c r="D2467" s="48" t="s">
        <v>965</v>
      </c>
      <c r="E2467" s="48" t="s">
        <v>966</v>
      </c>
      <c r="F2467" s="48" t="s">
        <v>1751</v>
      </c>
      <c r="G2467" s="48" t="s">
        <v>1752</v>
      </c>
      <c r="H2467" s="47" t="s">
        <v>1753</v>
      </c>
      <c r="I2467" s="47" t="s">
        <v>940</v>
      </c>
      <c r="J2467" s="47" t="s">
        <v>26</v>
      </c>
    </row>
    <row r="2468" ht="54" customHeight="1" spans="1:10">
      <c r="A2468" s="48" t="s">
        <v>773</v>
      </c>
      <c r="B2468" s="48" t="s">
        <v>3890</v>
      </c>
      <c r="C2468" s="47" t="s">
        <v>1975</v>
      </c>
      <c r="D2468" s="48" t="s">
        <v>1009</v>
      </c>
      <c r="E2468" s="48" t="s">
        <v>1010</v>
      </c>
      <c r="F2468" s="48" t="s">
        <v>1976</v>
      </c>
      <c r="G2468" s="48" t="s">
        <v>1977</v>
      </c>
      <c r="H2468" s="47" t="s">
        <v>1978</v>
      </c>
      <c r="I2468" s="47" t="s">
        <v>1979</v>
      </c>
      <c r="J2468" s="47" t="s">
        <v>26</v>
      </c>
    </row>
    <row r="2469" ht="54" customHeight="1" spans="1:10">
      <c r="A2469" s="48" t="s">
        <v>773</v>
      </c>
      <c r="B2469" s="48" t="s">
        <v>3891</v>
      </c>
      <c r="C2469" s="47" t="s">
        <v>1767</v>
      </c>
      <c r="D2469" s="48" t="s">
        <v>957</v>
      </c>
      <c r="E2469" s="48" t="s">
        <v>958</v>
      </c>
      <c r="F2469" s="48" t="s">
        <v>1768</v>
      </c>
      <c r="G2469" s="48" t="s">
        <v>1769</v>
      </c>
      <c r="H2469" s="47" t="s">
        <v>1770</v>
      </c>
      <c r="I2469" s="47" t="s">
        <v>1771</v>
      </c>
      <c r="J2469" s="47" t="s">
        <v>26</v>
      </c>
    </row>
    <row r="2470" ht="54" customHeight="1" spans="1:10">
      <c r="A2470" s="48" t="s">
        <v>773</v>
      </c>
      <c r="B2470" s="48" t="s">
        <v>3892</v>
      </c>
      <c r="C2470" s="47" t="s">
        <v>1036</v>
      </c>
      <c r="D2470" s="48" t="s">
        <v>1037</v>
      </c>
      <c r="E2470" s="48" t="s">
        <v>1038</v>
      </c>
      <c r="F2470" s="48" t="s">
        <v>1039</v>
      </c>
      <c r="G2470" s="48" t="s">
        <v>1040</v>
      </c>
      <c r="H2470" s="47" t="s">
        <v>1041</v>
      </c>
      <c r="I2470" s="47" t="s">
        <v>1042</v>
      </c>
      <c r="J2470" s="47" t="s">
        <v>26</v>
      </c>
    </row>
    <row r="2471" ht="54" customHeight="1" spans="1:10">
      <c r="A2471" s="48" t="s">
        <v>773</v>
      </c>
      <c r="B2471" s="48" t="s">
        <v>3893</v>
      </c>
      <c r="C2471" s="47" t="s">
        <v>1052</v>
      </c>
      <c r="D2471" s="48" t="s">
        <v>1009</v>
      </c>
      <c r="E2471" s="48" t="s">
        <v>1010</v>
      </c>
      <c r="F2471" s="48" t="s">
        <v>1053</v>
      </c>
      <c r="G2471" s="48" t="s">
        <v>1054</v>
      </c>
      <c r="H2471" s="47" t="s">
        <v>1055</v>
      </c>
      <c r="I2471" s="47" t="s">
        <v>1056</v>
      </c>
      <c r="J2471" s="47" t="s">
        <v>26</v>
      </c>
    </row>
    <row r="2472" ht="54" customHeight="1" spans="1:10">
      <c r="A2472" s="48" t="s">
        <v>773</v>
      </c>
      <c r="B2472" s="48" t="s">
        <v>3894</v>
      </c>
      <c r="C2472" s="47" t="s">
        <v>1097</v>
      </c>
      <c r="D2472" s="48" t="s">
        <v>1098</v>
      </c>
      <c r="E2472" s="48" t="s">
        <v>1099</v>
      </c>
      <c r="F2472" s="48" t="s">
        <v>1100</v>
      </c>
      <c r="G2472" s="48" t="s">
        <v>1101</v>
      </c>
      <c r="H2472" s="47" t="s">
        <v>1102</v>
      </c>
      <c r="I2472" s="47" t="s">
        <v>1103</v>
      </c>
      <c r="J2472" s="47" t="s">
        <v>26</v>
      </c>
    </row>
    <row r="2473" ht="54" customHeight="1" spans="1:10">
      <c r="A2473" s="48" t="s">
        <v>773</v>
      </c>
      <c r="B2473" s="48" t="s">
        <v>3895</v>
      </c>
      <c r="C2473" s="47" t="s">
        <v>1375</v>
      </c>
      <c r="D2473" s="48" t="s">
        <v>1098</v>
      </c>
      <c r="E2473" s="48" t="s">
        <v>1099</v>
      </c>
      <c r="F2473" s="48" t="s">
        <v>1376</v>
      </c>
      <c r="G2473" s="48" t="s">
        <v>1377</v>
      </c>
      <c r="H2473" s="47" t="s">
        <v>1378</v>
      </c>
      <c r="I2473" s="47" t="s">
        <v>1379</v>
      </c>
      <c r="J2473" s="47" t="s">
        <v>26</v>
      </c>
    </row>
    <row r="2474" ht="54" customHeight="1" spans="1:10">
      <c r="A2474" s="48" t="s">
        <v>773</v>
      </c>
      <c r="B2474" s="48" t="s">
        <v>3896</v>
      </c>
      <c r="C2474" s="47" t="s">
        <v>1388</v>
      </c>
      <c r="D2474" s="48" t="s">
        <v>1037</v>
      </c>
      <c r="E2474" s="48" t="s">
        <v>1038</v>
      </c>
      <c r="F2474" s="48" t="s">
        <v>1389</v>
      </c>
      <c r="G2474" s="48" t="s">
        <v>1390</v>
      </c>
      <c r="H2474" s="47" t="s">
        <v>1391</v>
      </c>
      <c r="I2474" s="47" t="s">
        <v>1392</v>
      </c>
      <c r="J2474" s="47" t="s">
        <v>26</v>
      </c>
    </row>
    <row r="2475" ht="54" customHeight="1" spans="1:10">
      <c r="A2475" s="48" t="s">
        <v>773</v>
      </c>
      <c r="B2475" s="48" t="s">
        <v>3897</v>
      </c>
      <c r="C2475" s="47" t="s">
        <v>1137</v>
      </c>
      <c r="D2475" s="48" t="s">
        <v>1138</v>
      </c>
      <c r="E2475" s="48" t="s">
        <v>1139</v>
      </c>
      <c r="F2475" s="48" t="s">
        <v>1140</v>
      </c>
      <c r="G2475" s="48" t="s">
        <v>1141</v>
      </c>
      <c r="H2475" s="47" t="s">
        <v>1142</v>
      </c>
      <c r="I2475" s="47" t="s">
        <v>940</v>
      </c>
      <c r="J2475" s="47" t="s">
        <v>26</v>
      </c>
    </row>
    <row r="2476" ht="54" customHeight="1" spans="1:10">
      <c r="A2476" s="48" t="s">
        <v>775</v>
      </c>
      <c r="B2476" s="48" t="s">
        <v>3898</v>
      </c>
      <c r="C2476" s="47" t="s">
        <v>1022</v>
      </c>
      <c r="D2476" s="48" t="s">
        <v>957</v>
      </c>
      <c r="E2476" s="48" t="s">
        <v>958</v>
      </c>
      <c r="F2476" s="48" t="s">
        <v>1023</v>
      </c>
      <c r="G2476" s="48" t="s">
        <v>1024</v>
      </c>
      <c r="H2476" s="47" t="s">
        <v>1025</v>
      </c>
      <c r="I2476" s="47" t="s">
        <v>1026</v>
      </c>
      <c r="J2476" s="47" t="s">
        <v>26</v>
      </c>
    </row>
    <row r="2477" ht="54" customHeight="1" spans="1:10">
      <c r="A2477" s="48" t="s">
        <v>775</v>
      </c>
      <c r="B2477" s="48" t="s">
        <v>3899</v>
      </c>
      <c r="C2477" s="47" t="s">
        <v>956</v>
      </c>
      <c r="D2477" s="48" t="s">
        <v>957</v>
      </c>
      <c r="E2477" s="48" t="s">
        <v>958</v>
      </c>
      <c r="F2477" s="48" t="s">
        <v>959</v>
      </c>
      <c r="G2477" s="48" t="s">
        <v>960</v>
      </c>
      <c r="H2477" s="47" t="s">
        <v>961</v>
      </c>
      <c r="I2477" s="47" t="s">
        <v>962</v>
      </c>
      <c r="J2477" s="47" t="s">
        <v>26</v>
      </c>
    </row>
    <row r="2478" ht="54" customHeight="1" spans="1:10">
      <c r="A2478" s="48" t="s">
        <v>775</v>
      </c>
      <c r="B2478" s="48" t="s">
        <v>3900</v>
      </c>
      <c r="C2478" s="47" t="s">
        <v>1348</v>
      </c>
      <c r="D2478" s="48" t="s">
        <v>1082</v>
      </c>
      <c r="E2478" s="48" t="s">
        <v>1083</v>
      </c>
      <c r="F2478" s="48" t="s">
        <v>1349</v>
      </c>
      <c r="G2478" s="48" t="s">
        <v>1350</v>
      </c>
      <c r="H2478" s="47" t="s">
        <v>1351</v>
      </c>
      <c r="I2478" s="47" t="s">
        <v>1352</v>
      </c>
      <c r="J2478" s="47" t="s">
        <v>26</v>
      </c>
    </row>
    <row r="2479" ht="54" customHeight="1" spans="1:10">
      <c r="A2479" s="48" t="s">
        <v>775</v>
      </c>
      <c r="B2479" s="48" t="s">
        <v>3901</v>
      </c>
      <c r="C2479" s="47" t="s">
        <v>1097</v>
      </c>
      <c r="D2479" s="48" t="s">
        <v>1098</v>
      </c>
      <c r="E2479" s="48" t="s">
        <v>1099</v>
      </c>
      <c r="F2479" s="48" t="s">
        <v>1100</v>
      </c>
      <c r="G2479" s="48" t="s">
        <v>1101</v>
      </c>
      <c r="H2479" s="47" t="s">
        <v>1102</v>
      </c>
      <c r="I2479" s="47" t="s">
        <v>1103</v>
      </c>
      <c r="J2479" s="47" t="s">
        <v>26</v>
      </c>
    </row>
    <row r="2480" ht="54" customHeight="1" spans="1:10">
      <c r="A2480" s="48" t="s">
        <v>775</v>
      </c>
      <c r="B2480" s="48" t="s">
        <v>3902</v>
      </c>
      <c r="C2480" s="47" t="s">
        <v>1291</v>
      </c>
      <c r="D2480" s="48" t="s">
        <v>965</v>
      </c>
      <c r="E2480" s="48" t="s">
        <v>966</v>
      </c>
      <c r="F2480" s="48" t="s">
        <v>1292</v>
      </c>
      <c r="G2480" s="48" t="s">
        <v>1293</v>
      </c>
      <c r="H2480" s="47" t="s">
        <v>1294</v>
      </c>
      <c r="I2480" s="47" t="s">
        <v>1295</v>
      </c>
      <c r="J2480" s="47" t="s">
        <v>26</v>
      </c>
    </row>
    <row r="2481" ht="54" customHeight="1" spans="1:10">
      <c r="A2481" s="48" t="s">
        <v>775</v>
      </c>
      <c r="B2481" s="48" t="s">
        <v>3903</v>
      </c>
      <c r="C2481" s="47" t="s">
        <v>977</v>
      </c>
      <c r="D2481" s="48" t="s">
        <v>978</v>
      </c>
      <c r="E2481" s="48" t="s">
        <v>979</v>
      </c>
      <c r="F2481" s="48" t="s">
        <v>980</v>
      </c>
      <c r="G2481" s="48" t="s">
        <v>981</v>
      </c>
      <c r="H2481" s="47" t="s">
        <v>982</v>
      </c>
      <c r="I2481" s="47" t="s">
        <v>983</v>
      </c>
      <c r="J2481" s="47" t="s">
        <v>26</v>
      </c>
    </row>
    <row r="2482" ht="54" customHeight="1" spans="1:10">
      <c r="A2482" s="48" t="s">
        <v>777</v>
      </c>
      <c r="B2482" s="48" t="s">
        <v>3904</v>
      </c>
      <c r="C2482" s="47" t="s">
        <v>1089</v>
      </c>
      <c r="D2482" s="48" t="s">
        <v>957</v>
      </c>
      <c r="E2482" s="48" t="s">
        <v>958</v>
      </c>
      <c r="F2482" s="48" t="s">
        <v>1090</v>
      </c>
      <c r="G2482" s="48" t="s">
        <v>1091</v>
      </c>
      <c r="H2482" s="47" t="s">
        <v>1092</v>
      </c>
      <c r="I2482" s="47" t="s">
        <v>1093</v>
      </c>
      <c r="J2482" s="47" t="s">
        <v>26</v>
      </c>
    </row>
    <row r="2483" ht="54" customHeight="1" spans="1:10">
      <c r="A2483" s="48" t="s">
        <v>777</v>
      </c>
      <c r="B2483" s="48" t="s">
        <v>3905</v>
      </c>
      <c r="C2483" s="47" t="s">
        <v>1105</v>
      </c>
      <c r="D2483" s="48" t="s">
        <v>1009</v>
      </c>
      <c r="E2483" s="48" t="s">
        <v>1010</v>
      </c>
      <c r="F2483" s="48" t="s">
        <v>1106</v>
      </c>
      <c r="G2483" s="48" t="s">
        <v>1107</v>
      </c>
      <c r="H2483" s="47" t="s">
        <v>1108</v>
      </c>
      <c r="I2483" s="47" t="s">
        <v>1109</v>
      </c>
      <c r="J2483" s="47" t="s">
        <v>26</v>
      </c>
    </row>
    <row r="2484" ht="54" customHeight="1" spans="1:10">
      <c r="A2484" s="48" t="s">
        <v>777</v>
      </c>
      <c r="B2484" s="48" t="s">
        <v>3906</v>
      </c>
      <c r="C2484" s="47" t="s">
        <v>1131</v>
      </c>
      <c r="D2484" s="48" t="s">
        <v>993</v>
      </c>
      <c r="E2484" s="48" t="s">
        <v>994</v>
      </c>
      <c r="F2484" s="48" t="s">
        <v>1132</v>
      </c>
      <c r="G2484" s="48" t="s">
        <v>1133</v>
      </c>
      <c r="H2484" s="47" t="s">
        <v>1134</v>
      </c>
      <c r="I2484" s="47" t="s">
        <v>1135</v>
      </c>
      <c r="J2484" s="47" t="s">
        <v>26</v>
      </c>
    </row>
    <row r="2485" ht="54" customHeight="1" spans="1:10">
      <c r="A2485" s="48" t="s">
        <v>777</v>
      </c>
      <c r="B2485" s="48" t="s">
        <v>3907</v>
      </c>
      <c r="C2485" s="47" t="s">
        <v>971</v>
      </c>
      <c r="D2485" s="48" t="s">
        <v>965</v>
      </c>
      <c r="E2485" s="48" t="s">
        <v>966</v>
      </c>
      <c r="F2485" s="48" t="s">
        <v>972</v>
      </c>
      <c r="G2485" s="48" t="s">
        <v>973</v>
      </c>
      <c r="H2485" s="47" t="s">
        <v>974</v>
      </c>
      <c r="I2485" s="47" t="s">
        <v>975</v>
      </c>
      <c r="J2485" s="47" t="s">
        <v>26</v>
      </c>
    </row>
    <row r="2486" ht="54" customHeight="1" spans="1:10">
      <c r="A2486" s="48" t="s">
        <v>777</v>
      </c>
      <c r="B2486" s="48" t="s">
        <v>3908</v>
      </c>
      <c r="C2486" s="47" t="s">
        <v>1205</v>
      </c>
      <c r="D2486" s="48" t="s">
        <v>978</v>
      </c>
      <c r="E2486" s="48" t="s">
        <v>979</v>
      </c>
      <c r="F2486" s="48" t="s">
        <v>1206</v>
      </c>
      <c r="G2486" s="48" t="s">
        <v>1207</v>
      </c>
      <c r="H2486" s="47" t="s">
        <v>1208</v>
      </c>
      <c r="I2486" s="47" t="s">
        <v>1209</v>
      </c>
      <c r="J2486" s="47" t="s">
        <v>26</v>
      </c>
    </row>
    <row r="2487" ht="54" customHeight="1" spans="1:10">
      <c r="A2487" s="48" t="s">
        <v>777</v>
      </c>
      <c r="B2487" s="48" t="s">
        <v>3909</v>
      </c>
      <c r="C2487" s="47" t="s">
        <v>1211</v>
      </c>
      <c r="D2487" s="48" t="s">
        <v>965</v>
      </c>
      <c r="E2487" s="48" t="s">
        <v>966</v>
      </c>
      <c r="F2487" s="48" t="s">
        <v>1212</v>
      </c>
      <c r="G2487" s="48" t="s">
        <v>1213</v>
      </c>
      <c r="H2487" s="47" t="s">
        <v>1214</v>
      </c>
      <c r="I2487" s="47" t="s">
        <v>940</v>
      </c>
      <c r="J2487" s="47" t="s">
        <v>26</v>
      </c>
    </row>
    <row r="2488" ht="54" customHeight="1" spans="1:10">
      <c r="A2488" s="48" t="s">
        <v>779</v>
      </c>
      <c r="B2488" s="48" t="s">
        <v>3910</v>
      </c>
      <c r="C2488" s="47" t="s">
        <v>1072</v>
      </c>
      <c r="D2488" s="48" t="s">
        <v>1073</v>
      </c>
      <c r="E2488" s="48" t="s">
        <v>1074</v>
      </c>
      <c r="F2488" s="48" t="s">
        <v>1075</v>
      </c>
      <c r="G2488" s="48" t="s">
        <v>1076</v>
      </c>
      <c r="H2488" s="47" t="s">
        <v>1077</v>
      </c>
      <c r="I2488" s="47" t="s">
        <v>1078</v>
      </c>
      <c r="J2488" s="47" t="s">
        <v>26</v>
      </c>
    </row>
    <row r="2489" ht="54" customHeight="1" spans="1:10">
      <c r="A2489" s="48" t="s">
        <v>779</v>
      </c>
      <c r="B2489" s="48" t="s">
        <v>3911</v>
      </c>
      <c r="C2489" s="47" t="s">
        <v>1105</v>
      </c>
      <c r="D2489" s="48" t="s">
        <v>1009</v>
      </c>
      <c r="E2489" s="48" t="s">
        <v>1010</v>
      </c>
      <c r="F2489" s="48" t="s">
        <v>1106</v>
      </c>
      <c r="G2489" s="48" t="s">
        <v>1107</v>
      </c>
      <c r="H2489" s="47" t="s">
        <v>1108</v>
      </c>
      <c r="I2489" s="47" t="s">
        <v>1109</v>
      </c>
      <c r="J2489" s="47" t="s">
        <v>26</v>
      </c>
    </row>
    <row r="2490" ht="54" customHeight="1" spans="1:10">
      <c r="A2490" s="48" t="s">
        <v>779</v>
      </c>
      <c r="B2490" s="48" t="s">
        <v>3912</v>
      </c>
      <c r="C2490" s="47" t="s">
        <v>1268</v>
      </c>
      <c r="D2490" s="48" t="s">
        <v>957</v>
      </c>
      <c r="E2490" s="48" t="s">
        <v>958</v>
      </c>
      <c r="F2490" s="48" t="s">
        <v>1269</v>
      </c>
      <c r="G2490" s="48" t="s">
        <v>1270</v>
      </c>
      <c r="H2490" s="47" t="s">
        <v>1271</v>
      </c>
      <c r="I2490" s="47" t="s">
        <v>1272</v>
      </c>
      <c r="J2490" s="47" t="s">
        <v>26</v>
      </c>
    </row>
    <row r="2491" ht="54" customHeight="1" spans="1:10">
      <c r="A2491" s="48" t="s">
        <v>779</v>
      </c>
      <c r="B2491" s="48" t="s">
        <v>3913</v>
      </c>
      <c r="C2491" s="47" t="s">
        <v>1388</v>
      </c>
      <c r="D2491" s="48" t="s">
        <v>1037</v>
      </c>
      <c r="E2491" s="48" t="s">
        <v>1038</v>
      </c>
      <c r="F2491" s="48" t="s">
        <v>1389</v>
      </c>
      <c r="G2491" s="48" t="s">
        <v>1390</v>
      </c>
      <c r="H2491" s="47" t="s">
        <v>1391</v>
      </c>
      <c r="I2491" s="47" t="s">
        <v>1392</v>
      </c>
      <c r="J2491" s="47" t="s">
        <v>26</v>
      </c>
    </row>
    <row r="2492" ht="54" customHeight="1" spans="1:10">
      <c r="A2492" s="48" t="s">
        <v>779</v>
      </c>
      <c r="B2492" s="48" t="s">
        <v>3914</v>
      </c>
      <c r="C2492" s="47" t="s">
        <v>1137</v>
      </c>
      <c r="D2492" s="48" t="s">
        <v>1138</v>
      </c>
      <c r="E2492" s="48" t="s">
        <v>1139</v>
      </c>
      <c r="F2492" s="48" t="s">
        <v>1140</v>
      </c>
      <c r="G2492" s="48" t="s">
        <v>1141</v>
      </c>
      <c r="H2492" s="47" t="s">
        <v>1142</v>
      </c>
      <c r="I2492" s="47" t="s">
        <v>940</v>
      </c>
      <c r="J2492" s="47" t="s">
        <v>26</v>
      </c>
    </row>
    <row r="2493" ht="54" customHeight="1" spans="1:10">
      <c r="A2493" s="48" t="s">
        <v>779</v>
      </c>
      <c r="B2493" s="48" t="s">
        <v>3915</v>
      </c>
      <c r="C2493" s="47" t="s">
        <v>971</v>
      </c>
      <c r="D2493" s="48" t="s">
        <v>965</v>
      </c>
      <c r="E2493" s="48" t="s">
        <v>966</v>
      </c>
      <c r="F2493" s="48" t="s">
        <v>972</v>
      </c>
      <c r="G2493" s="48" t="s">
        <v>973</v>
      </c>
      <c r="H2493" s="47" t="s">
        <v>974</v>
      </c>
      <c r="I2493" s="47" t="s">
        <v>975</v>
      </c>
      <c r="J2493" s="47" t="s">
        <v>26</v>
      </c>
    </row>
    <row r="2494" ht="54" customHeight="1" spans="1:10">
      <c r="A2494" s="48" t="s">
        <v>779</v>
      </c>
      <c r="B2494" s="48" t="s">
        <v>3916</v>
      </c>
      <c r="C2494" s="47" t="s">
        <v>1291</v>
      </c>
      <c r="D2494" s="48" t="s">
        <v>965</v>
      </c>
      <c r="E2494" s="48" t="s">
        <v>966</v>
      </c>
      <c r="F2494" s="48" t="s">
        <v>1292</v>
      </c>
      <c r="G2494" s="48" t="s">
        <v>1293</v>
      </c>
      <c r="H2494" s="47" t="s">
        <v>1294</v>
      </c>
      <c r="I2494" s="47" t="s">
        <v>1295</v>
      </c>
      <c r="J2494" s="47" t="s">
        <v>26</v>
      </c>
    </row>
    <row r="2495" ht="54" customHeight="1" spans="1:10">
      <c r="A2495" s="48" t="s">
        <v>779</v>
      </c>
      <c r="B2495" s="48" t="s">
        <v>3917</v>
      </c>
      <c r="C2495" s="47" t="s">
        <v>1313</v>
      </c>
      <c r="D2495" s="48" t="s">
        <v>1037</v>
      </c>
      <c r="E2495" s="48" t="s">
        <v>1038</v>
      </c>
      <c r="F2495" s="48" t="s">
        <v>1314</v>
      </c>
      <c r="G2495" s="48" t="s">
        <v>1315</v>
      </c>
      <c r="H2495" s="47" t="s">
        <v>1316</v>
      </c>
      <c r="I2495" s="47" t="s">
        <v>1317</v>
      </c>
      <c r="J2495" s="47" t="s">
        <v>26</v>
      </c>
    </row>
    <row r="2496" ht="54" customHeight="1" spans="1:10">
      <c r="A2496" s="48" t="s">
        <v>779</v>
      </c>
      <c r="B2496" s="48" t="s">
        <v>3918</v>
      </c>
      <c r="C2496" s="47" t="s">
        <v>1145</v>
      </c>
      <c r="D2496" s="48" t="s">
        <v>1146</v>
      </c>
      <c r="E2496" s="48" t="s">
        <v>1147</v>
      </c>
      <c r="F2496" s="48" t="s">
        <v>1148</v>
      </c>
      <c r="G2496" s="48" t="s">
        <v>1149</v>
      </c>
      <c r="H2496" s="47" t="s">
        <v>1150</v>
      </c>
      <c r="I2496" s="47" t="s">
        <v>1151</v>
      </c>
      <c r="J2496" s="47" t="s">
        <v>26</v>
      </c>
    </row>
    <row r="2497" ht="54" customHeight="1" spans="1:10">
      <c r="A2497" s="48" t="s">
        <v>779</v>
      </c>
      <c r="B2497" s="48" t="s">
        <v>3919</v>
      </c>
      <c r="C2497" s="47" t="s">
        <v>1170</v>
      </c>
      <c r="D2497" s="48" t="s">
        <v>1171</v>
      </c>
      <c r="E2497" s="48" t="s">
        <v>1172</v>
      </c>
      <c r="F2497" s="48" t="s">
        <v>1173</v>
      </c>
      <c r="G2497" s="48" t="s">
        <v>1174</v>
      </c>
      <c r="H2497" s="47" t="s">
        <v>1175</v>
      </c>
      <c r="I2497" s="47" t="s">
        <v>1176</v>
      </c>
      <c r="J2497" s="47" t="s">
        <v>26</v>
      </c>
    </row>
    <row r="2498" ht="54" customHeight="1" spans="1:10">
      <c r="A2498" s="48" t="s">
        <v>779</v>
      </c>
      <c r="B2498" s="48" t="s">
        <v>3920</v>
      </c>
      <c r="C2498" s="47" t="s">
        <v>1196</v>
      </c>
      <c r="D2498" s="48" t="s">
        <v>1118</v>
      </c>
      <c r="E2498" s="48" t="s">
        <v>1119</v>
      </c>
      <c r="F2498" s="48" t="s">
        <v>1197</v>
      </c>
      <c r="G2498" s="48" t="s">
        <v>1198</v>
      </c>
      <c r="H2498" s="47" t="s">
        <v>1199</v>
      </c>
      <c r="I2498" s="47" t="s">
        <v>1200</v>
      </c>
      <c r="J2498" s="47" t="s">
        <v>26</v>
      </c>
    </row>
    <row r="2499" ht="54" customHeight="1" spans="1:10">
      <c r="A2499" s="48" t="s">
        <v>781</v>
      </c>
      <c r="B2499" s="48" t="s">
        <v>3921</v>
      </c>
      <c r="C2499" s="47" t="s">
        <v>1022</v>
      </c>
      <c r="D2499" s="48" t="s">
        <v>957</v>
      </c>
      <c r="E2499" s="48" t="s">
        <v>958</v>
      </c>
      <c r="F2499" s="48" t="s">
        <v>1023</v>
      </c>
      <c r="G2499" s="48" t="s">
        <v>1024</v>
      </c>
      <c r="H2499" s="47" t="s">
        <v>1025</v>
      </c>
      <c r="I2499" s="47" t="s">
        <v>1026</v>
      </c>
      <c r="J2499" s="47" t="s">
        <v>26</v>
      </c>
    </row>
    <row r="2500" ht="54" customHeight="1" spans="1:10">
      <c r="A2500" s="48" t="s">
        <v>781</v>
      </c>
      <c r="B2500" s="48" t="s">
        <v>3922</v>
      </c>
      <c r="C2500" s="47" t="s">
        <v>1105</v>
      </c>
      <c r="D2500" s="48" t="s">
        <v>1009</v>
      </c>
      <c r="E2500" s="48" t="s">
        <v>1010</v>
      </c>
      <c r="F2500" s="48" t="s">
        <v>1106</v>
      </c>
      <c r="G2500" s="48" t="s">
        <v>1107</v>
      </c>
      <c r="H2500" s="47" t="s">
        <v>1108</v>
      </c>
      <c r="I2500" s="47" t="s">
        <v>1109</v>
      </c>
      <c r="J2500" s="47" t="s">
        <v>26</v>
      </c>
    </row>
    <row r="2501" ht="54" customHeight="1" spans="1:10">
      <c r="A2501" s="48" t="s">
        <v>781</v>
      </c>
      <c r="B2501" s="48" t="s">
        <v>3923</v>
      </c>
      <c r="C2501" s="47" t="s">
        <v>1767</v>
      </c>
      <c r="D2501" s="48" t="s">
        <v>957</v>
      </c>
      <c r="E2501" s="48" t="s">
        <v>958</v>
      </c>
      <c r="F2501" s="48" t="s">
        <v>1768</v>
      </c>
      <c r="G2501" s="48" t="s">
        <v>1769</v>
      </c>
      <c r="H2501" s="47" t="s">
        <v>1770</v>
      </c>
      <c r="I2501" s="47" t="s">
        <v>1771</v>
      </c>
      <c r="J2501" s="47" t="s">
        <v>26</v>
      </c>
    </row>
    <row r="2502" ht="54" customHeight="1" spans="1:10">
      <c r="A2502" s="48" t="s">
        <v>781</v>
      </c>
      <c r="B2502" s="48" t="s">
        <v>3924</v>
      </c>
      <c r="C2502" s="47" t="s">
        <v>1097</v>
      </c>
      <c r="D2502" s="48" t="s">
        <v>1098</v>
      </c>
      <c r="E2502" s="48" t="s">
        <v>1099</v>
      </c>
      <c r="F2502" s="48" t="s">
        <v>1100</v>
      </c>
      <c r="G2502" s="48" t="s">
        <v>1101</v>
      </c>
      <c r="H2502" s="47" t="s">
        <v>1102</v>
      </c>
      <c r="I2502" s="47" t="s">
        <v>1103</v>
      </c>
      <c r="J2502" s="47" t="s">
        <v>26</v>
      </c>
    </row>
    <row r="2503" ht="54" customHeight="1" spans="1:10">
      <c r="A2503" s="48" t="s">
        <v>781</v>
      </c>
      <c r="B2503" s="48" t="s">
        <v>3925</v>
      </c>
      <c r="C2503" s="47" t="s">
        <v>1252</v>
      </c>
      <c r="D2503" s="48" t="s">
        <v>1001</v>
      </c>
      <c r="E2503" s="48" t="s">
        <v>1002</v>
      </c>
      <c r="F2503" s="48" t="s">
        <v>1253</v>
      </c>
      <c r="G2503" s="48" t="s">
        <v>1254</v>
      </c>
      <c r="H2503" s="47" t="s">
        <v>1255</v>
      </c>
      <c r="I2503" s="47" t="s">
        <v>1256</v>
      </c>
      <c r="J2503" s="47" t="s">
        <v>26</v>
      </c>
    </row>
    <row r="2504" ht="54" customHeight="1" spans="1:10">
      <c r="A2504" s="48" t="s">
        <v>781</v>
      </c>
      <c r="B2504" s="48" t="s">
        <v>3926</v>
      </c>
      <c r="C2504" s="47" t="s">
        <v>1111</v>
      </c>
      <c r="D2504" s="48" t="s">
        <v>965</v>
      </c>
      <c r="E2504" s="48" t="s">
        <v>966</v>
      </c>
      <c r="F2504" s="48" t="s">
        <v>1112</v>
      </c>
      <c r="G2504" s="48" t="s">
        <v>1113</v>
      </c>
      <c r="H2504" s="47" t="s">
        <v>1114</v>
      </c>
      <c r="I2504" s="47" t="s">
        <v>1115</v>
      </c>
      <c r="J2504" s="47" t="s">
        <v>26</v>
      </c>
    </row>
    <row r="2505" ht="54" customHeight="1" spans="1:10">
      <c r="A2505" s="48" t="s">
        <v>781</v>
      </c>
      <c r="B2505" s="48" t="s">
        <v>3927</v>
      </c>
      <c r="C2505" s="47" t="s">
        <v>1137</v>
      </c>
      <c r="D2505" s="48" t="s">
        <v>1138</v>
      </c>
      <c r="E2505" s="48" t="s">
        <v>1139</v>
      </c>
      <c r="F2505" s="48" t="s">
        <v>1140</v>
      </c>
      <c r="G2505" s="48" t="s">
        <v>1141</v>
      </c>
      <c r="H2505" s="47" t="s">
        <v>1142</v>
      </c>
      <c r="I2505" s="47" t="s">
        <v>940</v>
      </c>
      <c r="J2505" s="47" t="s">
        <v>26</v>
      </c>
    </row>
    <row r="2506" ht="54" customHeight="1" spans="1:10">
      <c r="A2506" s="48" t="s">
        <v>781</v>
      </c>
      <c r="B2506" s="48" t="s">
        <v>3928</v>
      </c>
      <c r="C2506" s="47" t="s">
        <v>971</v>
      </c>
      <c r="D2506" s="48" t="s">
        <v>965</v>
      </c>
      <c r="E2506" s="48" t="s">
        <v>966</v>
      </c>
      <c r="F2506" s="48" t="s">
        <v>972</v>
      </c>
      <c r="G2506" s="48" t="s">
        <v>973</v>
      </c>
      <c r="H2506" s="47" t="s">
        <v>974</v>
      </c>
      <c r="I2506" s="47" t="s">
        <v>975</v>
      </c>
      <c r="J2506" s="47" t="s">
        <v>26</v>
      </c>
    </row>
    <row r="2507" ht="54" customHeight="1" spans="1:10">
      <c r="A2507" s="48" t="s">
        <v>781</v>
      </c>
      <c r="B2507" s="48" t="s">
        <v>3929</v>
      </c>
      <c r="C2507" s="47" t="s">
        <v>1313</v>
      </c>
      <c r="D2507" s="48" t="s">
        <v>1037</v>
      </c>
      <c r="E2507" s="48" t="s">
        <v>1038</v>
      </c>
      <c r="F2507" s="48" t="s">
        <v>1314</v>
      </c>
      <c r="G2507" s="48" t="s">
        <v>1315</v>
      </c>
      <c r="H2507" s="47" t="s">
        <v>1316</v>
      </c>
      <c r="I2507" s="47" t="s">
        <v>1317</v>
      </c>
      <c r="J2507" s="47" t="s">
        <v>26</v>
      </c>
    </row>
    <row r="2508" ht="54" customHeight="1" spans="1:10">
      <c r="A2508" s="48" t="s">
        <v>781</v>
      </c>
      <c r="B2508" s="48" t="s">
        <v>3930</v>
      </c>
      <c r="C2508" s="47" t="s">
        <v>1211</v>
      </c>
      <c r="D2508" s="48" t="s">
        <v>965</v>
      </c>
      <c r="E2508" s="48" t="s">
        <v>966</v>
      </c>
      <c r="F2508" s="48" t="s">
        <v>1212</v>
      </c>
      <c r="G2508" s="48" t="s">
        <v>1213</v>
      </c>
      <c r="H2508" s="47" t="s">
        <v>1214</v>
      </c>
      <c r="I2508" s="47" t="s">
        <v>940</v>
      </c>
      <c r="J2508" s="47" t="s">
        <v>26</v>
      </c>
    </row>
    <row r="2509" ht="54" customHeight="1" spans="1:10">
      <c r="A2509" s="48" t="s">
        <v>781</v>
      </c>
      <c r="B2509" s="48" t="s">
        <v>3931</v>
      </c>
      <c r="C2509" s="47" t="s">
        <v>1245</v>
      </c>
      <c r="D2509" s="48" t="s">
        <v>1171</v>
      </c>
      <c r="E2509" s="48" t="s">
        <v>1172</v>
      </c>
      <c r="F2509" s="48" t="s">
        <v>1246</v>
      </c>
      <c r="G2509" s="48" t="s">
        <v>1247</v>
      </c>
      <c r="H2509" s="47" t="s">
        <v>1248</v>
      </c>
      <c r="I2509" s="47" t="s">
        <v>1176</v>
      </c>
      <c r="J2509" s="47" t="s">
        <v>26</v>
      </c>
    </row>
    <row r="2510" ht="54" customHeight="1" spans="1:10">
      <c r="A2510" s="48" t="s">
        <v>783</v>
      </c>
      <c r="B2510" s="48" t="s">
        <v>3932</v>
      </c>
      <c r="C2510" s="47" t="s">
        <v>1008</v>
      </c>
      <c r="D2510" s="48" t="s">
        <v>1009</v>
      </c>
      <c r="E2510" s="48" t="s">
        <v>1010</v>
      </c>
      <c r="F2510" s="48" t="s">
        <v>1011</v>
      </c>
      <c r="G2510" s="48" t="s">
        <v>1012</v>
      </c>
      <c r="H2510" s="47" t="s">
        <v>1013</v>
      </c>
      <c r="I2510" s="47" t="s">
        <v>1014</v>
      </c>
      <c r="J2510" s="47" t="s">
        <v>26</v>
      </c>
    </row>
    <row r="2511" ht="54" customHeight="1" spans="1:10">
      <c r="A2511" s="48" t="s">
        <v>783</v>
      </c>
      <c r="B2511" s="48" t="s">
        <v>3933</v>
      </c>
      <c r="C2511" s="47" t="s">
        <v>1081</v>
      </c>
      <c r="D2511" s="48" t="s">
        <v>1082</v>
      </c>
      <c r="E2511" s="48" t="s">
        <v>1083</v>
      </c>
      <c r="F2511" s="48" t="s">
        <v>1084</v>
      </c>
      <c r="G2511" s="48" t="s">
        <v>1085</v>
      </c>
      <c r="H2511" s="47" t="s">
        <v>1086</v>
      </c>
      <c r="I2511" s="47" t="s">
        <v>1087</v>
      </c>
      <c r="J2511" s="47" t="s">
        <v>26</v>
      </c>
    </row>
    <row r="2512" ht="54" customHeight="1" spans="1:10">
      <c r="A2512" s="48" t="s">
        <v>783</v>
      </c>
      <c r="B2512" s="48" t="s">
        <v>3934</v>
      </c>
      <c r="C2512" s="47" t="s">
        <v>1105</v>
      </c>
      <c r="D2512" s="48" t="s">
        <v>1009</v>
      </c>
      <c r="E2512" s="48" t="s">
        <v>1010</v>
      </c>
      <c r="F2512" s="48" t="s">
        <v>1106</v>
      </c>
      <c r="G2512" s="48" t="s">
        <v>1107</v>
      </c>
      <c r="H2512" s="47" t="s">
        <v>1108</v>
      </c>
      <c r="I2512" s="47" t="s">
        <v>1109</v>
      </c>
      <c r="J2512" s="47" t="s">
        <v>26</v>
      </c>
    </row>
    <row r="2513" ht="54" customHeight="1" spans="1:10">
      <c r="A2513" s="48" t="s">
        <v>783</v>
      </c>
      <c r="B2513" s="48" t="s">
        <v>3935</v>
      </c>
      <c r="C2513" s="47" t="s">
        <v>1767</v>
      </c>
      <c r="D2513" s="48" t="s">
        <v>957</v>
      </c>
      <c r="E2513" s="48" t="s">
        <v>958</v>
      </c>
      <c r="F2513" s="48" t="s">
        <v>1768</v>
      </c>
      <c r="G2513" s="48" t="s">
        <v>1769</v>
      </c>
      <c r="H2513" s="47" t="s">
        <v>1770</v>
      </c>
      <c r="I2513" s="47" t="s">
        <v>1771</v>
      </c>
      <c r="J2513" s="47" t="s">
        <v>26</v>
      </c>
    </row>
    <row r="2514" ht="54" customHeight="1" spans="1:10">
      <c r="A2514" s="48" t="s">
        <v>783</v>
      </c>
      <c r="B2514" s="48" t="s">
        <v>3936</v>
      </c>
      <c r="C2514" s="47" t="s">
        <v>1117</v>
      </c>
      <c r="D2514" s="48" t="s">
        <v>1118</v>
      </c>
      <c r="E2514" s="48" t="s">
        <v>1119</v>
      </c>
      <c r="F2514" s="48" t="s">
        <v>1120</v>
      </c>
      <c r="G2514" s="48" t="s">
        <v>1121</v>
      </c>
      <c r="H2514" s="47" t="s">
        <v>1122</v>
      </c>
      <c r="I2514" s="47" t="s">
        <v>1123</v>
      </c>
      <c r="J2514" s="47" t="s">
        <v>26</v>
      </c>
    </row>
    <row r="2515" ht="54" customHeight="1" spans="1:10">
      <c r="A2515" s="48" t="s">
        <v>783</v>
      </c>
      <c r="B2515" s="48" t="s">
        <v>3937</v>
      </c>
      <c r="C2515" s="47" t="s">
        <v>971</v>
      </c>
      <c r="D2515" s="48" t="s">
        <v>965</v>
      </c>
      <c r="E2515" s="48" t="s">
        <v>966</v>
      </c>
      <c r="F2515" s="48" t="s">
        <v>972</v>
      </c>
      <c r="G2515" s="48" t="s">
        <v>973</v>
      </c>
      <c r="H2515" s="47" t="s">
        <v>974</v>
      </c>
      <c r="I2515" s="47" t="s">
        <v>975</v>
      </c>
      <c r="J2515" s="47" t="s">
        <v>26</v>
      </c>
    </row>
    <row r="2516" ht="54" customHeight="1" spans="1:10">
      <c r="A2516" s="48" t="s">
        <v>785</v>
      </c>
      <c r="B2516" s="48" t="s">
        <v>3938</v>
      </c>
      <c r="C2516" s="47" t="s">
        <v>1421</v>
      </c>
      <c r="D2516" s="48" t="s">
        <v>1422</v>
      </c>
      <c r="E2516" s="48" t="s">
        <v>1423</v>
      </c>
      <c r="F2516" s="48" t="s">
        <v>1424</v>
      </c>
      <c r="G2516" s="48" t="s">
        <v>1423</v>
      </c>
      <c r="H2516" s="47" t="s">
        <v>1425</v>
      </c>
      <c r="I2516" s="47" t="s">
        <v>1426</v>
      </c>
      <c r="J2516" s="47" t="s">
        <v>26</v>
      </c>
    </row>
    <row r="2517" ht="54" customHeight="1" spans="1:10">
      <c r="A2517" s="48" t="s">
        <v>785</v>
      </c>
      <c r="B2517" s="48" t="s">
        <v>3939</v>
      </c>
      <c r="C2517" s="47" t="s">
        <v>1022</v>
      </c>
      <c r="D2517" s="48" t="s">
        <v>957</v>
      </c>
      <c r="E2517" s="48" t="s">
        <v>958</v>
      </c>
      <c r="F2517" s="48" t="s">
        <v>1023</v>
      </c>
      <c r="G2517" s="48" t="s">
        <v>1024</v>
      </c>
      <c r="H2517" s="47" t="s">
        <v>1025</v>
      </c>
      <c r="I2517" s="47" t="s">
        <v>1026</v>
      </c>
      <c r="J2517" s="47" t="s">
        <v>26</v>
      </c>
    </row>
    <row r="2518" ht="54" customHeight="1" spans="1:10">
      <c r="A2518" s="48" t="s">
        <v>785</v>
      </c>
      <c r="B2518" s="48" t="s">
        <v>3940</v>
      </c>
      <c r="C2518" s="47" t="s">
        <v>956</v>
      </c>
      <c r="D2518" s="48" t="s">
        <v>957</v>
      </c>
      <c r="E2518" s="48" t="s">
        <v>958</v>
      </c>
      <c r="F2518" s="48" t="s">
        <v>959</v>
      </c>
      <c r="G2518" s="48" t="s">
        <v>960</v>
      </c>
      <c r="H2518" s="47" t="s">
        <v>961</v>
      </c>
      <c r="I2518" s="47" t="s">
        <v>962</v>
      </c>
      <c r="J2518" s="47" t="s">
        <v>26</v>
      </c>
    </row>
    <row r="2519" ht="54" customHeight="1" spans="1:10">
      <c r="A2519" s="48" t="s">
        <v>785</v>
      </c>
      <c r="B2519" s="48" t="s">
        <v>3941</v>
      </c>
      <c r="C2519" s="47" t="s">
        <v>1767</v>
      </c>
      <c r="D2519" s="48" t="s">
        <v>957</v>
      </c>
      <c r="E2519" s="48" t="s">
        <v>958</v>
      </c>
      <c r="F2519" s="48" t="s">
        <v>1768</v>
      </c>
      <c r="G2519" s="48" t="s">
        <v>1769</v>
      </c>
      <c r="H2519" s="47" t="s">
        <v>1770</v>
      </c>
      <c r="I2519" s="47" t="s">
        <v>1771</v>
      </c>
      <c r="J2519" s="47" t="s">
        <v>26</v>
      </c>
    </row>
    <row r="2520" ht="54" customHeight="1" spans="1:10">
      <c r="A2520" s="48" t="s">
        <v>787</v>
      </c>
      <c r="B2520" s="48" t="s">
        <v>3942</v>
      </c>
      <c r="C2520" s="47" t="s">
        <v>1000</v>
      </c>
      <c r="D2520" s="48" t="s">
        <v>1001</v>
      </c>
      <c r="E2520" s="48" t="s">
        <v>1002</v>
      </c>
      <c r="F2520" s="48" t="s">
        <v>1003</v>
      </c>
      <c r="G2520" s="48" t="s">
        <v>1004</v>
      </c>
      <c r="H2520" s="47" t="s">
        <v>1005</v>
      </c>
      <c r="I2520" s="47" t="s">
        <v>1006</v>
      </c>
      <c r="J2520" s="47" t="s">
        <v>26</v>
      </c>
    </row>
    <row r="2521" ht="54" customHeight="1" spans="1:10">
      <c r="A2521" s="48" t="s">
        <v>787</v>
      </c>
      <c r="B2521" s="48" t="s">
        <v>3943</v>
      </c>
      <c r="C2521" s="47" t="s">
        <v>1008</v>
      </c>
      <c r="D2521" s="48" t="s">
        <v>1009</v>
      </c>
      <c r="E2521" s="48" t="s">
        <v>1010</v>
      </c>
      <c r="F2521" s="48" t="s">
        <v>1011</v>
      </c>
      <c r="G2521" s="48" t="s">
        <v>1012</v>
      </c>
      <c r="H2521" s="47" t="s">
        <v>1013</v>
      </c>
      <c r="I2521" s="47" t="s">
        <v>1014</v>
      </c>
      <c r="J2521" s="47" t="s">
        <v>26</v>
      </c>
    </row>
    <row r="2522" ht="54" customHeight="1" spans="1:10">
      <c r="A2522" s="48" t="s">
        <v>787</v>
      </c>
      <c r="B2522" s="48" t="s">
        <v>3944</v>
      </c>
      <c r="C2522" s="47" t="s">
        <v>1767</v>
      </c>
      <c r="D2522" s="48" t="s">
        <v>957</v>
      </c>
      <c r="E2522" s="48" t="s">
        <v>958</v>
      </c>
      <c r="F2522" s="48" t="s">
        <v>1768</v>
      </c>
      <c r="G2522" s="48" t="s">
        <v>1769</v>
      </c>
      <c r="H2522" s="47" t="s">
        <v>1770</v>
      </c>
      <c r="I2522" s="47" t="s">
        <v>1771</v>
      </c>
      <c r="J2522" s="47" t="s">
        <v>26</v>
      </c>
    </row>
    <row r="2523" ht="54" customHeight="1" spans="1:10">
      <c r="A2523" s="48" t="s">
        <v>787</v>
      </c>
      <c r="B2523" s="48" t="s">
        <v>3945</v>
      </c>
      <c r="C2523" s="47" t="s">
        <v>1097</v>
      </c>
      <c r="D2523" s="48" t="s">
        <v>1098</v>
      </c>
      <c r="E2523" s="48" t="s">
        <v>1099</v>
      </c>
      <c r="F2523" s="48" t="s">
        <v>1100</v>
      </c>
      <c r="G2523" s="48" t="s">
        <v>1101</v>
      </c>
      <c r="H2523" s="47" t="s">
        <v>1102</v>
      </c>
      <c r="I2523" s="47" t="s">
        <v>1103</v>
      </c>
      <c r="J2523" s="47" t="s">
        <v>26</v>
      </c>
    </row>
    <row r="2524" ht="54" customHeight="1" spans="1:10">
      <c r="A2524" s="48" t="s">
        <v>787</v>
      </c>
      <c r="B2524" s="48" t="s">
        <v>3946</v>
      </c>
      <c r="C2524" s="47" t="s">
        <v>1252</v>
      </c>
      <c r="D2524" s="48" t="s">
        <v>1001</v>
      </c>
      <c r="E2524" s="48" t="s">
        <v>1002</v>
      </c>
      <c r="F2524" s="48" t="s">
        <v>1253</v>
      </c>
      <c r="G2524" s="48" t="s">
        <v>1254</v>
      </c>
      <c r="H2524" s="47" t="s">
        <v>1255</v>
      </c>
      <c r="I2524" s="47" t="s">
        <v>1256</v>
      </c>
      <c r="J2524" s="47" t="s">
        <v>26</v>
      </c>
    </row>
    <row r="2525" ht="54" customHeight="1" spans="1:10">
      <c r="A2525" s="48" t="s">
        <v>787</v>
      </c>
      <c r="B2525" s="48" t="s">
        <v>3947</v>
      </c>
      <c r="C2525" s="47" t="s">
        <v>1137</v>
      </c>
      <c r="D2525" s="48" t="s">
        <v>1138</v>
      </c>
      <c r="E2525" s="48" t="s">
        <v>1139</v>
      </c>
      <c r="F2525" s="48" t="s">
        <v>1140</v>
      </c>
      <c r="G2525" s="48" t="s">
        <v>1141</v>
      </c>
      <c r="H2525" s="47" t="s">
        <v>1142</v>
      </c>
      <c r="I2525" s="47" t="s">
        <v>940</v>
      </c>
      <c r="J2525" s="47" t="s">
        <v>26</v>
      </c>
    </row>
    <row r="2526" ht="54" customHeight="1" spans="1:10">
      <c r="A2526" s="48" t="s">
        <v>787</v>
      </c>
      <c r="B2526" s="48" t="s">
        <v>3948</v>
      </c>
      <c r="C2526" s="47" t="s">
        <v>971</v>
      </c>
      <c r="D2526" s="48" t="s">
        <v>965</v>
      </c>
      <c r="E2526" s="48" t="s">
        <v>966</v>
      </c>
      <c r="F2526" s="48" t="s">
        <v>972</v>
      </c>
      <c r="G2526" s="48" t="s">
        <v>973</v>
      </c>
      <c r="H2526" s="47" t="s">
        <v>974</v>
      </c>
      <c r="I2526" s="47" t="s">
        <v>975</v>
      </c>
      <c r="J2526" s="47" t="s">
        <v>26</v>
      </c>
    </row>
    <row r="2527" ht="54" customHeight="1" spans="1:10">
      <c r="A2527" s="48" t="s">
        <v>787</v>
      </c>
      <c r="B2527" s="48" t="s">
        <v>3949</v>
      </c>
      <c r="C2527" s="47" t="s">
        <v>1291</v>
      </c>
      <c r="D2527" s="48" t="s">
        <v>965</v>
      </c>
      <c r="E2527" s="48" t="s">
        <v>966</v>
      </c>
      <c r="F2527" s="48" t="s">
        <v>1292</v>
      </c>
      <c r="G2527" s="48" t="s">
        <v>1293</v>
      </c>
      <c r="H2527" s="47" t="s">
        <v>1294</v>
      </c>
      <c r="I2527" s="47" t="s">
        <v>1295</v>
      </c>
      <c r="J2527" s="47" t="s">
        <v>26</v>
      </c>
    </row>
    <row r="2528" ht="54" customHeight="1" spans="1:10">
      <c r="A2528" s="48" t="s">
        <v>789</v>
      </c>
      <c r="B2528" s="48" t="s">
        <v>3950</v>
      </c>
      <c r="C2528" s="47" t="s">
        <v>956</v>
      </c>
      <c r="D2528" s="48" t="s">
        <v>957</v>
      </c>
      <c r="E2528" s="48" t="s">
        <v>958</v>
      </c>
      <c r="F2528" s="48" t="s">
        <v>959</v>
      </c>
      <c r="G2528" s="48" t="s">
        <v>960</v>
      </c>
      <c r="H2528" s="47" t="s">
        <v>961</v>
      </c>
      <c r="I2528" s="47" t="s">
        <v>962</v>
      </c>
      <c r="J2528" s="47" t="s">
        <v>26</v>
      </c>
    </row>
    <row r="2529" ht="54" customHeight="1" spans="1:10">
      <c r="A2529" s="48" t="s">
        <v>789</v>
      </c>
      <c r="B2529" s="48" t="s">
        <v>3951</v>
      </c>
      <c r="C2529" s="47" t="s">
        <v>1469</v>
      </c>
      <c r="D2529" s="48" t="s">
        <v>957</v>
      </c>
      <c r="E2529" s="48" t="s">
        <v>958</v>
      </c>
      <c r="F2529" s="48" t="s">
        <v>1470</v>
      </c>
      <c r="G2529" s="48" t="s">
        <v>1471</v>
      </c>
      <c r="H2529" s="47" t="s">
        <v>1472</v>
      </c>
      <c r="I2529" s="47" t="s">
        <v>1473</v>
      </c>
      <c r="J2529" s="47" t="s">
        <v>26</v>
      </c>
    </row>
    <row r="2530" ht="54" customHeight="1" spans="1:10">
      <c r="A2530" s="48" t="s">
        <v>789</v>
      </c>
      <c r="B2530" s="48" t="s">
        <v>3952</v>
      </c>
      <c r="C2530" s="47" t="s">
        <v>1388</v>
      </c>
      <c r="D2530" s="48" t="s">
        <v>1037</v>
      </c>
      <c r="E2530" s="48" t="s">
        <v>1038</v>
      </c>
      <c r="F2530" s="48" t="s">
        <v>1389</v>
      </c>
      <c r="G2530" s="48" t="s">
        <v>1390</v>
      </c>
      <c r="H2530" s="47" t="s">
        <v>1391</v>
      </c>
      <c r="I2530" s="47" t="s">
        <v>1392</v>
      </c>
      <c r="J2530" s="47" t="s">
        <v>26</v>
      </c>
    </row>
    <row r="2531" ht="54" customHeight="1" spans="1:10">
      <c r="A2531" s="48" t="s">
        <v>789</v>
      </c>
      <c r="B2531" s="48" t="s">
        <v>3953</v>
      </c>
      <c r="C2531" s="47" t="s">
        <v>1226</v>
      </c>
      <c r="D2531" s="48" t="s">
        <v>965</v>
      </c>
      <c r="E2531" s="48" t="s">
        <v>966</v>
      </c>
      <c r="F2531" s="48" t="s">
        <v>1227</v>
      </c>
      <c r="G2531" s="48" t="s">
        <v>1228</v>
      </c>
      <c r="H2531" s="47" t="s">
        <v>1229</v>
      </c>
      <c r="I2531" s="47" t="s">
        <v>940</v>
      </c>
      <c r="J2531" s="47" t="s">
        <v>26</v>
      </c>
    </row>
    <row r="2532" ht="54" customHeight="1" spans="1:10">
      <c r="A2532" s="48" t="s">
        <v>789</v>
      </c>
      <c r="B2532" s="48" t="s">
        <v>3954</v>
      </c>
      <c r="C2532" s="47" t="s">
        <v>971</v>
      </c>
      <c r="D2532" s="48" t="s">
        <v>965</v>
      </c>
      <c r="E2532" s="48" t="s">
        <v>966</v>
      </c>
      <c r="F2532" s="48" t="s">
        <v>972</v>
      </c>
      <c r="G2532" s="48" t="s">
        <v>973</v>
      </c>
      <c r="H2532" s="47" t="s">
        <v>974</v>
      </c>
      <c r="I2532" s="47" t="s">
        <v>975</v>
      </c>
      <c r="J2532" s="47" t="s">
        <v>26</v>
      </c>
    </row>
    <row r="2533" ht="54" customHeight="1" spans="1:10">
      <c r="A2533" s="48" t="s">
        <v>789</v>
      </c>
      <c r="B2533" s="48" t="s">
        <v>3955</v>
      </c>
      <c r="C2533" s="47" t="s">
        <v>977</v>
      </c>
      <c r="D2533" s="48" t="s">
        <v>978</v>
      </c>
      <c r="E2533" s="48" t="s">
        <v>979</v>
      </c>
      <c r="F2533" s="48" t="s">
        <v>980</v>
      </c>
      <c r="G2533" s="48" t="s">
        <v>981</v>
      </c>
      <c r="H2533" s="47" t="s">
        <v>982</v>
      </c>
      <c r="I2533" s="47" t="s">
        <v>983</v>
      </c>
      <c r="J2533" s="47" t="s">
        <v>26</v>
      </c>
    </row>
    <row r="2534" ht="54" customHeight="1" spans="1:10">
      <c r="A2534" s="48" t="s">
        <v>789</v>
      </c>
      <c r="B2534" s="48" t="s">
        <v>3956</v>
      </c>
      <c r="C2534" s="47" t="s">
        <v>1313</v>
      </c>
      <c r="D2534" s="48" t="s">
        <v>1037</v>
      </c>
      <c r="E2534" s="48" t="s">
        <v>1038</v>
      </c>
      <c r="F2534" s="48" t="s">
        <v>1314</v>
      </c>
      <c r="G2534" s="48" t="s">
        <v>1315</v>
      </c>
      <c r="H2534" s="47" t="s">
        <v>1316</v>
      </c>
      <c r="I2534" s="47" t="s">
        <v>1317</v>
      </c>
      <c r="J2534" s="47" t="s">
        <v>26</v>
      </c>
    </row>
    <row r="2535" ht="54" customHeight="1" spans="1:10">
      <c r="A2535" s="48" t="s">
        <v>789</v>
      </c>
      <c r="B2535" s="48" t="s">
        <v>3957</v>
      </c>
      <c r="C2535" s="47" t="s">
        <v>3396</v>
      </c>
      <c r="D2535" s="48" t="s">
        <v>1306</v>
      </c>
      <c r="E2535" s="48" t="s">
        <v>1307</v>
      </c>
      <c r="F2535" s="48" t="s">
        <v>3397</v>
      </c>
      <c r="G2535" s="48" t="s">
        <v>3398</v>
      </c>
      <c r="H2535" s="47" t="s">
        <v>3399</v>
      </c>
      <c r="I2535" s="47" t="s">
        <v>3400</v>
      </c>
      <c r="J2535" s="47" t="s">
        <v>26</v>
      </c>
    </row>
    <row r="2536" ht="54" customHeight="1" spans="1:10">
      <c r="A2536" s="48" t="s">
        <v>791</v>
      </c>
      <c r="B2536" s="48" t="s">
        <v>3958</v>
      </c>
      <c r="C2536" s="47" t="s">
        <v>1036</v>
      </c>
      <c r="D2536" s="48" t="s">
        <v>1037</v>
      </c>
      <c r="E2536" s="48" t="s">
        <v>1038</v>
      </c>
      <c r="F2536" s="48" t="s">
        <v>1039</v>
      </c>
      <c r="G2536" s="48" t="s">
        <v>1040</v>
      </c>
      <c r="H2536" s="47" t="s">
        <v>1041</v>
      </c>
      <c r="I2536" s="47" t="s">
        <v>1042</v>
      </c>
      <c r="J2536" s="47" t="s">
        <v>26</v>
      </c>
    </row>
    <row r="2537" ht="54" customHeight="1" spans="1:10">
      <c r="A2537" s="48" t="s">
        <v>791</v>
      </c>
      <c r="B2537" s="48" t="s">
        <v>3959</v>
      </c>
      <c r="C2537" s="47" t="s">
        <v>1469</v>
      </c>
      <c r="D2537" s="48" t="s">
        <v>957</v>
      </c>
      <c r="E2537" s="48" t="s">
        <v>958</v>
      </c>
      <c r="F2537" s="48" t="s">
        <v>1470</v>
      </c>
      <c r="G2537" s="48" t="s">
        <v>1471</v>
      </c>
      <c r="H2537" s="47" t="s">
        <v>1472</v>
      </c>
      <c r="I2537" s="47" t="s">
        <v>1473</v>
      </c>
      <c r="J2537" s="47" t="s">
        <v>26</v>
      </c>
    </row>
    <row r="2538" ht="54" customHeight="1" spans="1:10">
      <c r="A2538" s="48" t="s">
        <v>791</v>
      </c>
      <c r="B2538" s="48" t="s">
        <v>3960</v>
      </c>
      <c r="C2538" s="47" t="s">
        <v>1111</v>
      </c>
      <c r="D2538" s="48" t="s">
        <v>965</v>
      </c>
      <c r="E2538" s="48" t="s">
        <v>966</v>
      </c>
      <c r="F2538" s="48" t="s">
        <v>1112</v>
      </c>
      <c r="G2538" s="48" t="s">
        <v>1113</v>
      </c>
      <c r="H2538" s="47" t="s">
        <v>1114</v>
      </c>
      <c r="I2538" s="47" t="s">
        <v>1115</v>
      </c>
      <c r="J2538" s="47" t="s">
        <v>26</v>
      </c>
    </row>
    <row r="2539" ht="54" customHeight="1" spans="1:10">
      <c r="A2539" s="48" t="s">
        <v>791</v>
      </c>
      <c r="B2539" s="48" t="s">
        <v>3961</v>
      </c>
      <c r="C2539" s="47" t="s">
        <v>1137</v>
      </c>
      <c r="D2539" s="48" t="s">
        <v>1138</v>
      </c>
      <c r="E2539" s="48" t="s">
        <v>1139</v>
      </c>
      <c r="F2539" s="48" t="s">
        <v>1140</v>
      </c>
      <c r="G2539" s="48" t="s">
        <v>1141</v>
      </c>
      <c r="H2539" s="47" t="s">
        <v>1142</v>
      </c>
      <c r="I2539" s="47" t="s">
        <v>940</v>
      </c>
      <c r="J2539" s="47" t="s">
        <v>26</v>
      </c>
    </row>
    <row r="2540" ht="54" customHeight="1" spans="1:10">
      <c r="A2540" s="48" t="s">
        <v>791</v>
      </c>
      <c r="B2540" s="48" t="s">
        <v>3962</v>
      </c>
      <c r="C2540" s="47" t="s">
        <v>971</v>
      </c>
      <c r="D2540" s="48" t="s">
        <v>965</v>
      </c>
      <c r="E2540" s="48" t="s">
        <v>966</v>
      </c>
      <c r="F2540" s="48" t="s">
        <v>972</v>
      </c>
      <c r="G2540" s="48" t="s">
        <v>973</v>
      </c>
      <c r="H2540" s="47" t="s">
        <v>974</v>
      </c>
      <c r="I2540" s="47" t="s">
        <v>975</v>
      </c>
      <c r="J2540" s="47" t="s">
        <v>26</v>
      </c>
    </row>
    <row r="2541" ht="54" customHeight="1" spans="1:10">
      <c r="A2541" s="48" t="s">
        <v>791</v>
      </c>
      <c r="B2541" s="48" t="s">
        <v>3963</v>
      </c>
      <c r="C2541" s="47" t="s">
        <v>1291</v>
      </c>
      <c r="D2541" s="48" t="s">
        <v>965</v>
      </c>
      <c r="E2541" s="48" t="s">
        <v>966</v>
      </c>
      <c r="F2541" s="48" t="s">
        <v>1292</v>
      </c>
      <c r="G2541" s="48" t="s">
        <v>1293</v>
      </c>
      <c r="H2541" s="47" t="s">
        <v>1294</v>
      </c>
      <c r="I2541" s="47" t="s">
        <v>1295</v>
      </c>
      <c r="J2541" s="47" t="s">
        <v>26</v>
      </c>
    </row>
    <row r="2542" ht="54" customHeight="1" spans="1:10">
      <c r="A2542" s="48" t="s">
        <v>791</v>
      </c>
      <c r="B2542" s="48" t="s">
        <v>3964</v>
      </c>
      <c r="C2542" s="47" t="s">
        <v>977</v>
      </c>
      <c r="D2542" s="48" t="s">
        <v>978</v>
      </c>
      <c r="E2542" s="48" t="s">
        <v>979</v>
      </c>
      <c r="F2542" s="48" t="s">
        <v>980</v>
      </c>
      <c r="G2542" s="48" t="s">
        <v>981</v>
      </c>
      <c r="H2542" s="47" t="s">
        <v>982</v>
      </c>
      <c r="I2542" s="47" t="s">
        <v>983</v>
      </c>
      <c r="J2542" s="47" t="s">
        <v>26</v>
      </c>
    </row>
    <row r="2543" ht="54" customHeight="1" spans="1:10">
      <c r="A2543" s="48" t="s">
        <v>791</v>
      </c>
      <c r="B2543" s="48" t="s">
        <v>3965</v>
      </c>
      <c r="C2543" s="47" t="s">
        <v>1313</v>
      </c>
      <c r="D2543" s="48" t="s">
        <v>1037</v>
      </c>
      <c r="E2543" s="48" t="s">
        <v>1038</v>
      </c>
      <c r="F2543" s="48" t="s">
        <v>1314</v>
      </c>
      <c r="G2543" s="48" t="s">
        <v>1315</v>
      </c>
      <c r="H2543" s="47" t="s">
        <v>1316</v>
      </c>
      <c r="I2543" s="47" t="s">
        <v>1317</v>
      </c>
      <c r="J2543" s="47" t="s">
        <v>26</v>
      </c>
    </row>
    <row r="2544" ht="54" customHeight="1" spans="1:10">
      <c r="A2544" s="48" t="s">
        <v>791</v>
      </c>
      <c r="B2544" s="48" t="s">
        <v>3966</v>
      </c>
      <c r="C2544" s="47" t="s">
        <v>1216</v>
      </c>
      <c r="D2544" s="48" t="s">
        <v>993</v>
      </c>
      <c r="E2544" s="48" t="s">
        <v>994</v>
      </c>
      <c r="F2544" s="48" t="s">
        <v>1217</v>
      </c>
      <c r="G2544" s="48" t="s">
        <v>1218</v>
      </c>
      <c r="H2544" s="47" t="s">
        <v>1219</v>
      </c>
      <c r="I2544" s="47" t="s">
        <v>1220</v>
      </c>
      <c r="J2544" s="47" t="s">
        <v>26</v>
      </c>
    </row>
    <row r="2545" ht="54" customHeight="1" spans="1:10">
      <c r="A2545" s="48" t="s">
        <v>793</v>
      </c>
      <c r="B2545" s="48" t="s">
        <v>3967</v>
      </c>
      <c r="C2545" s="47" t="s">
        <v>1105</v>
      </c>
      <c r="D2545" s="48" t="s">
        <v>1009</v>
      </c>
      <c r="E2545" s="48" t="s">
        <v>1010</v>
      </c>
      <c r="F2545" s="48" t="s">
        <v>1106</v>
      </c>
      <c r="G2545" s="48" t="s">
        <v>1107</v>
      </c>
      <c r="H2545" s="47" t="s">
        <v>1108</v>
      </c>
      <c r="I2545" s="47" t="s">
        <v>1109</v>
      </c>
      <c r="J2545" s="47" t="s">
        <v>26</v>
      </c>
    </row>
    <row r="2546" ht="54" customHeight="1" spans="1:10">
      <c r="A2546" s="48" t="s">
        <v>793</v>
      </c>
      <c r="B2546" s="48" t="s">
        <v>3968</v>
      </c>
      <c r="C2546" s="47" t="s">
        <v>1767</v>
      </c>
      <c r="D2546" s="48" t="s">
        <v>957</v>
      </c>
      <c r="E2546" s="48" t="s">
        <v>958</v>
      </c>
      <c r="F2546" s="48" t="s">
        <v>1768</v>
      </c>
      <c r="G2546" s="48" t="s">
        <v>1769</v>
      </c>
      <c r="H2546" s="47" t="s">
        <v>1770</v>
      </c>
      <c r="I2546" s="47" t="s">
        <v>1771</v>
      </c>
      <c r="J2546" s="47" t="s">
        <v>26</v>
      </c>
    </row>
    <row r="2547" ht="54" customHeight="1" spans="1:10">
      <c r="A2547" s="48" t="s">
        <v>793</v>
      </c>
      <c r="B2547" s="48" t="s">
        <v>3969</v>
      </c>
      <c r="C2547" s="47" t="s">
        <v>1052</v>
      </c>
      <c r="D2547" s="48" t="s">
        <v>1009</v>
      </c>
      <c r="E2547" s="48" t="s">
        <v>1010</v>
      </c>
      <c r="F2547" s="48" t="s">
        <v>1053</v>
      </c>
      <c r="G2547" s="48" t="s">
        <v>1054</v>
      </c>
      <c r="H2547" s="47" t="s">
        <v>1055</v>
      </c>
      <c r="I2547" s="47" t="s">
        <v>1056</v>
      </c>
      <c r="J2547" s="47" t="s">
        <v>26</v>
      </c>
    </row>
    <row r="2548" ht="54" customHeight="1" spans="1:10">
      <c r="A2548" s="48" t="s">
        <v>793</v>
      </c>
      <c r="B2548" s="48" t="s">
        <v>3970</v>
      </c>
      <c r="C2548" s="47" t="s">
        <v>1097</v>
      </c>
      <c r="D2548" s="48" t="s">
        <v>1098</v>
      </c>
      <c r="E2548" s="48" t="s">
        <v>1099</v>
      </c>
      <c r="F2548" s="48" t="s">
        <v>1100</v>
      </c>
      <c r="G2548" s="48" t="s">
        <v>1101</v>
      </c>
      <c r="H2548" s="47" t="s">
        <v>1102</v>
      </c>
      <c r="I2548" s="47" t="s">
        <v>1103</v>
      </c>
      <c r="J2548" s="47" t="s">
        <v>26</v>
      </c>
    </row>
    <row r="2549" ht="54" customHeight="1" spans="1:10">
      <c r="A2549" s="48" t="s">
        <v>793</v>
      </c>
      <c r="B2549" s="48" t="s">
        <v>3971</v>
      </c>
      <c r="C2549" s="47" t="s">
        <v>1066</v>
      </c>
      <c r="D2549" s="48" t="s">
        <v>935</v>
      </c>
      <c r="E2549" s="48" t="s">
        <v>936</v>
      </c>
      <c r="F2549" s="48" t="s">
        <v>1067</v>
      </c>
      <c r="G2549" s="48" t="s">
        <v>1068</v>
      </c>
      <c r="H2549" s="47" t="s">
        <v>1069</v>
      </c>
      <c r="I2549" s="47" t="s">
        <v>940</v>
      </c>
      <c r="J2549" s="47" t="s">
        <v>26</v>
      </c>
    </row>
    <row r="2550" ht="54" customHeight="1" spans="1:10">
      <c r="A2550" s="48" t="s">
        <v>793</v>
      </c>
      <c r="B2550" s="48" t="s">
        <v>3972</v>
      </c>
      <c r="C2550" s="47" t="s">
        <v>1388</v>
      </c>
      <c r="D2550" s="48" t="s">
        <v>1037</v>
      </c>
      <c r="E2550" s="48" t="s">
        <v>1038</v>
      </c>
      <c r="F2550" s="48" t="s">
        <v>1389</v>
      </c>
      <c r="G2550" s="48" t="s">
        <v>1390</v>
      </c>
      <c r="H2550" s="47" t="s">
        <v>1391</v>
      </c>
      <c r="I2550" s="47" t="s">
        <v>1392</v>
      </c>
      <c r="J2550" s="47" t="s">
        <v>26</v>
      </c>
    </row>
    <row r="2551" ht="54" customHeight="1" spans="1:10">
      <c r="A2551" s="48" t="s">
        <v>793</v>
      </c>
      <c r="B2551" s="48" t="s">
        <v>3973</v>
      </c>
      <c r="C2551" s="47" t="s">
        <v>1111</v>
      </c>
      <c r="D2551" s="48" t="s">
        <v>965</v>
      </c>
      <c r="E2551" s="48" t="s">
        <v>966</v>
      </c>
      <c r="F2551" s="48" t="s">
        <v>1112</v>
      </c>
      <c r="G2551" s="48" t="s">
        <v>1113</v>
      </c>
      <c r="H2551" s="47" t="s">
        <v>1114</v>
      </c>
      <c r="I2551" s="47" t="s">
        <v>1115</v>
      </c>
      <c r="J2551" s="47" t="s">
        <v>26</v>
      </c>
    </row>
    <row r="2552" ht="54" customHeight="1" spans="1:10">
      <c r="A2552" s="48" t="s">
        <v>793</v>
      </c>
      <c r="B2552" s="48" t="s">
        <v>3974</v>
      </c>
      <c r="C2552" s="47" t="s">
        <v>1137</v>
      </c>
      <c r="D2552" s="48" t="s">
        <v>1138</v>
      </c>
      <c r="E2552" s="48" t="s">
        <v>1139</v>
      </c>
      <c r="F2552" s="48" t="s">
        <v>1140</v>
      </c>
      <c r="G2552" s="48" t="s">
        <v>1141</v>
      </c>
      <c r="H2552" s="47" t="s">
        <v>1142</v>
      </c>
      <c r="I2552" s="47" t="s">
        <v>940</v>
      </c>
      <c r="J2552" s="47" t="s">
        <v>26</v>
      </c>
    </row>
    <row r="2553" ht="54" customHeight="1" spans="1:10">
      <c r="A2553" s="48" t="s">
        <v>795</v>
      </c>
      <c r="B2553" s="48" t="s">
        <v>3975</v>
      </c>
      <c r="C2553" s="47" t="s">
        <v>934</v>
      </c>
      <c r="D2553" s="48" t="s">
        <v>935</v>
      </c>
      <c r="E2553" s="48" t="s">
        <v>936</v>
      </c>
      <c r="F2553" s="48" t="s">
        <v>937</v>
      </c>
      <c r="G2553" s="48" t="s">
        <v>938</v>
      </c>
      <c r="H2553" s="47" t="s">
        <v>939</v>
      </c>
      <c r="I2553" s="47" t="s">
        <v>940</v>
      </c>
      <c r="J2553" s="47" t="s">
        <v>26</v>
      </c>
    </row>
    <row r="2554" ht="54" customHeight="1" spans="1:10">
      <c r="A2554" s="48" t="s">
        <v>795</v>
      </c>
      <c r="B2554" s="48" t="s">
        <v>3976</v>
      </c>
      <c r="C2554" s="47" t="s">
        <v>1459</v>
      </c>
      <c r="D2554" s="48" t="s">
        <v>957</v>
      </c>
      <c r="E2554" s="48" t="s">
        <v>958</v>
      </c>
      <c r="F2554" s="48" t="s">
        <v>1460</v>
      </c>
      <c r="G2554" s="48" t="s">
        <v>1461</v>
      </c>
      <c r="H2554" s="47" t="s">
        <v>1462</v>
      </c>
      <c r="I2554" s="47" t="s">
        <v>1463</v>
      </c>
      <c r="J2554" s="47" t="s">
        <v>26</v>
      </c>
    </row>
    <row r="2555" ht="54" customHeight="1" spans="1:10">
      <c r="A2555" s="48" t="s">
        <v>795</v>
      </c>
      <c r="B2555" s="48" t="s">
        <v>3977</v>
      </c>
      <c r="C2555" s="47" t="s">
        <v>1089</v>
      </c>
      <c r="D2555" s="48" t="s">
        <v>957</v>
      </c>
      <c r="E2555" s="48" t="s">
        <v>958</v>
      </c>
      <c r="F2555" s="48" t="s">
        <v>1090</v>
      </c>
      <c r="G2555" s="48" t="s">
        <v>1091</v>
      </c>
      <c r="H2555" s="47" t="s">
        <v>1092</v>
      </c>
      <c r="I2555" s="47" t="s">
        <v>1093</v>
      </c>
      <c r="J2555" s="47" t="s">
        <v>26</v>
      </c>
    </row>
    <row r="2556" ht="54" customHeight="1" spans="1:10">
      <c r="A2556" s="48" t="s">
        <v>795</v>
      </c>
      <c r="B2556" s="48" t="s">
        <v>3978</v>
      </c>
      <c r="C2556" s="47" t="s">
        <v>1105</v>
      </c>
      <c r="D2556" s="48" t="s">
        <v>1009</v>
      </c>
      <c r="E2556" s="48" t="s">
        <v>1010</v>
      </c>
      <c r="F2556" s="48" t="s">
        <v>1106</v>
      </c>
      <c r="G2556" s="48" t="s">
        <v>1107</v>
      </c>
      <c r="H2556" s="47" t="s">
        <v>1108</v>
      </c>
      <c r="I2556" s="47" t="s">
        <v>1109</v>
      </c>
      <c r="J2556" s="47" t="s">
        <v>26</v>
      </c>
    </row>
    <row r="2557" ht="54" customHeight="1" spans="1:10">
      <c r="A2557" s="48" t="s">
        <v>795</v>
      </c>
      <c r="B2557" s="48" t="s">
        <v>3979</v>
      </c>
      <c r="C2557" s="47" t="s">
        <v>1097</v>
      </c>
      <c r="D2557" s="48" t="s">
        <v>1098</v>
      </c>
      <c r="E2557" s="48" t="s">
        <v>1099</v>
      </c>
      <c r="F2557" s="48" t="s">
        <v>1100</v>
      </c>
      <c r="G2557" s="48" t="s">
        <v>1101</v>
      </c>
      <c r="H2557" s="47" t="s">
        <v>1102</v>
      </c>
      <c r="I2557" s="47" t="s">
        <v>1103</v>
      </c>
      <c r="J2557" s="47" t="s">
        <v>26</v>
      </c>
    </row>
    <row r="2558" ht="54" customHeight="1" spans="1:10">
      <c r="A2558" s="48" t="s">
        <v>795</v>
      </c>
      <c r="B2558" s="48" t="s">
        <v>3980</v>
      </c>
      <c r="C2558" s="47" t="s">
        <v>1111</v>
      </c>
      <c r="D2558" s="48" t="s">
        <v>965</v>
      </c>
      <c r="E2558" s="48" t="s">
        <v>966</v>
      </c>
      <c r="F2558" s="48" t="s">
        <v>1112</v>
      </c>
      <c r="G2558" s="48" t="s">
        <v>1113</v>
      </c>
      <c r="H2558" s="47" t="s">
        <v>1114</v>
      </c>
      <c r="I2558" s="47" t="s">
        <v>1115</v>
      </c>
      <c r="J2558" s="47" t="s">
        <v>26</v>
      </c>
    </row>
    <row r="2559" ht="54" customHeight="1" spans="1:10">
      <c r="A2559" s="48" t="s">
        <v>797</v>
      </c>
      <c r="B2559" s="48" t="s">
        <v>3981</v>
      </c>
      <c r="C2559" s="47" t="s">
        <v>1291</v>
      </c>
      <c r="D2559" s="48" t="s">
        <v>965</v>
      </c>
      <c r="E2559" s="48" t="s">
        <v>966</v>
      </c>
      <c r="F2559" s="48" t="s">
        <v>1292</v>
      </c>
      <c r="G2559" s="48" t="s">
        <v>1293</v>
      </c>
      <c r="H2559" s="47" t="s">
        <v>1294</v>
      </c>
      <c r="I2559" s="47" t="s">
        <v>1295</v>
      </c>
      <c r="J2559" s="47" t="s">
        <v>26</v>
      </c>
    </row>
    <row r="2560" ht="54" customHeight="1" spans="1:10">
      <c r="A2560" s="48" t="s">
        <v>797</v>
      </c>
      <c r="B2560" s="48" t="s">
        <v>3982</v>
      </c>
      <c r="C2560" s="47" t="s">
        <v>1750</v>
      </c>
      <c r="D2560" s="48" t="s">
        <v>965</v>
      </c>
      <c r="E2560" s="48" t="s">
        <v>966</v>
      </c>
      <c r="F2560" s="48" t="s">
        <v>1751</v>
      </c>
      <c r="G2560" s="48" t="s">
        <v>1752</v>
      </c>
      <c r="H2560" s="47" t="s">
        <v>1753</v>
      </c>
      <c r="I2560" s="47" t="s">
        <v>940</v>
      </c>
      <c r="J2560" s="47" t="s">
        <v>26</v>
      </c>
    </row>
    <row r="2561" ht="54" customHeight="1" spans="1:10">
      <c r="A2561" s="48" t="s">
        <v>797</v>
      </c>
      <c r="B2561" s="48" t="s">
        <v>3983</v>
      </c>
      <c r="C2561" s="47" t="s">
        <v>1170</v>
      </c>
      <c r="D2561" s="48" t="s">
        <v>1171</v>
      </c>
      <c r="E2561" s="48" t="s">
        <v>1172</v>
      </c>
      <c r="F2561" s="48" t="s">
        <v>1173</v>
      </c>
      <c r="G2561" s="48" t="s">
        <v>1174</v>
      </c>
      <c r="H2561" s="47" t="s">
        <v>1175</v>
      </c>
      <c r="I2561" s="47" t="s">
        <v>1176</v>
      </c>
      <c r="J2561" s="47" t="s">
        <v>26</v>
      </c>
    </row>
    <row r="2562" ht="54" customHeight="1" spans="1:10">
      <c r="A2562" s="48" t="s">
        <v>799</v>
      </c>
      <c r="B2562" s="48" t="s">
        <v>3984</v>
      </c>
      <c r="C2562" s="47" t="s">
        <v>1268</v>
      </c>
      <c r="D2562" s="48" t="s">
        <v>957</v>
      </c>
      <c r="E2562" s="48" t="s">
        <v>958</v>
      </c>
      <c r="F2562" s="48" t="s">
        <v>1269</v>
      </c>
      <c r="G2562" s="48" t="s">
        <v>1270</v>
      </c>
      <c r="H2562" s="47" t="s">
        <v>1271</v>
      </c>
      <c r="I2562" s="47" t="s">
        <v>1272</v>
      </c>
      <c r="J2562" s="47" t="s">
        <v>26</v>
      </c>
    </row>
    <row r="2563" ht="54" customHeight="1" spans="1:10">
      <c r="A2563" s="48" t="s">
        <v>799</v>
      </c>
      <c r="B2563" s="48" t="s">
        <v>3985</v>
      </c>
      <c r="C2563" s="47" t="s">
        <v>1111</v>
      </c>
      <c r="D2563" s="48" t="s">
        <v>965</v>
      </c>
      <c r="E2563" s="48" t="s">
        <v>966</v>
      </c>
      <c r="F2563" s="48" t="s">
        <v>1112</v>
      </c>
      <c r="G2563" s="48" t="s">
        <v>1113</v>
      </c>
      <c r="H2563" s="47" t="s">
        <v>1114</v>
      </c>
      <c r="I2563" s="47" t="s">
        <v>1115</v>
      </c>
      <c r="J2563" s="47" t="s">
        <v>26</v>
      </c>
    </row>
    <row r="2564" ht="54" customHeight="1" spans="1:10">
      <c r="A2564" s="48" t="s">
        <v>799</v>
      </c>
      <c r="B2564" s="48" t="s">
        <v>3986</v>
      </c>
      <c r="C2564" s="47" t="s">
        <v>1291</v>
      </c>
      <c r="D2564" s="48" t="s">
        <v>965</v>
      </c>
      <c r="E2564" s="48" t="s">
        <v>966</v>
      </c>
      <c r="F2564" s="48" t="s">
        <v>1292</v>
      </c>
      <c r="G2564" s="48" t="s">
        <v>1293</v>
      </c>
      <c r="H2564" s="47" t="s">
        <v>1294</v>
      </c>
      <c r="I2564" s="47" t="s">
        <v>1295</v>
      </c>
      <c r="J2564" s="47" t="s">
        <v>26</v>
      </c>
    </row>
    <row r="2565" ht="54" customHeight="1" spans="1:10">
      <c r="A2565" s="48" t="s">
        <v>799</v>
      </c>
      <c r="B2565" s="48" t="s">
        <v>3987</v>
      </c>
      <c r="C2565" s="47" t="s">
        <v>1216</v>
      </c>
      <c r="D2565" s="48" t="s">
        <v>993</v>
      </c>
      <c r="E2565" s="48" t="s">
        <v>994</v>
      </c>
      <c r="F2565" s="48" t="s">
        <v>1217</v>
      </c>
      <c r="G2565" s="48" t="s">
        <v>1218</v>
      </c>
      <c r="H2565" s="47" t="s">
        <v>1219</v>
      </c>
      <c r="I2565" s="47" t="s">
        <v>1220</v>
      </c>
      <c r="J2565" s="47" t="s">
        <v>26</v>
      </c>
    </row>
    <row r="2566" ht="54" customHeight="1" spans="1:10">
      <c r="A2566" s="48" t="s">
        <v>799</v>
      </c>
      <c r="B2566" s="48" t="s">
        <v>3988</v>
      </c>
      <c r="C2566" s="47" t="s">
        <v>1164</v>
      </c>
      <c r="D2566" s="48" t="s">
        <v>978</v>
      </c>
      <c r="E2566" s="48" t="s">
        <v>979</v>
      </c>
      <c r="F2566" s="48" t="s">
        <v>1165</v>
      </c>
      <c r="G2566" s="48" t="s">
        <v>1166</v>
      </c>
      <c r="H2566" s="47" t="s">
        <v>1167</v>
      </c>
      <c r="I2566" s="47" t="s">
        <v>1168</v>
      </c>
      <c r="J2566" s="47" t="s">
        <v>26</v>
      </c>
    </row>
    <row r="2567" ht="54" customHeight="1" spans="1:10">
      <c r="A2567" s="48" t="s">
        <v>799</v>
      </c>
      <c r="B2567" s="48" t="s">
        <v>3989</v>
      </c>
      <c r="C2567" s="47" t="s">
        <v>1170</v>
      </c>
      <c r="D2567" s="48" t="s">
        <v>1171</v>
      </c>
      <c r="E2567" s="48" t="s">
        <v>1172</v>
      </c>
      <c r="F2567" s="48" t="s">
        <v>1173</v>
      </c>
      <c r="G2567" s="48" t="s">
        <v>1174</v>
      </c>
      <c r="H2567" s="47" t="s">
        <v>1175</v>
      </c>
      <c r="I2567" s="47" t="s">
        <v>1176</v>
      </c>
      <c r="J2567" s="47" t="s">
        <v>26</v>
      </c>
    </row>
    <row r="2568" ht="54" customHeight="1" spans="1:10">
      <c r="A2568" s="48" t="s">
        <v>801</v>
      </c>
      <c r="B2568" s="48" t="s">
        <v>3990</v>
      </c>
      <c r="C2568" s="47" t="s">
        <v>1008</v>
      </c>
      <c r="D2568" s="48" t="s">
        <v>1009</v>
      </c>
      <c r="E2568" s="48" t="s">
        <v>1010</v>
      </c>
      <c r="F2568" s="48" t="s">
        <v>1011</v>
      </c>
      <c r="G2568" s="48" t="s">
        <v>1012</v>
      </c>
      <c r="H2568" s="47" t="s">
        <v>1013</v>
      </c>
      <c r="I2568" s="47" t="s">
        <v>1014</v>
      </c>
      <c r="J2568" s="47" t="s">
        <v>26</v>
      </c>
    </row>
    <row r="2569" ht="54" customHeight="1" spans="1:10">
      <c r="A2569" s="48" t="s">
        <v>801</v>
      </c>
      <c r="B2569" s="48" t="s">
        <v>3991</v>
      </c>
      <c r="C2569" s="47" t="s">
        <v>1036</v>
      </c>
      <c r="D2569" s="48" t="s">
        <v>1037</v>
      </c>
      <c r="E2569" s="48" t="s">
        <v>1038</v>
      </c>
      <c r="F2569" s="48" t="s">
        <v>1039</v>
      </c>
      <c r="G2569" s="48" t="s">
        <v>1040</v>
      </c>
      <c r="H2569" s="47" t="s">
        <v>1041</v>
      </c>
      <c r="I2569" s="47" t="s">
        <v>1042</v>
      </c>
      <c r="J2569" s="47" t="s">
        <v>26</v>
      </c>
    </row>
    <row r="2570" ht="54" customHeight="1" spans="1:10">
      <c r="A2570" s="48" t="s">
        <v>801</v>
      </c>
      <c r="B2570" s="48" t="s">
        <v>3992</v>
      </c>
      <c r="C2570" s="47" t="s">
        <v>1589</v>
      </c>
      <c r="D2570" s="48" t="s">
        <v>943</v>
      </c>
      <c r="E2570" s="48" t="s">
        <v>944</v>
      </c>
      <c r="F2570" s="48" t="s">
        <v>1590</v>
      </c>
      <c r="G2570" s="48" t="s">
        <v>1591</v>
      </c>
      <c r="H2570" s="47" t="s">
        <v>1592</v>
      </c>
      <c r="I2570" s="47" t="s">
        <v>1593</v>
      </c>
      <c r="J2570" s="47" t="s">
        <v>26</v>
      </c>
    </row>
    <row r="2571" ht="54" customHeight="1" spans="1:10">
      <c r="A2571" s="48" t="s">
        <v>801</v>
      </c>
      <c r="B2571" s="48" t="s">
        <v>3993</v>
      </c>
      <c r="C2571" s="47" t="s">
        <v>1097</v>
      </c>
      <c r="D2571" s="48" t="s">
        <v>1098</v>
      </c>
      <c r="E2571" s="48" t="s">
        <v>1099</v>
      </c>
      <c r="F2571" s="48" t="s">
        <v>1100</v>
      </c>
      <c r="G2571" s="48" t="s">
        <v>1101</v>
      </c>
      <c r="H2571" s="47" t="s">
        <v>1102</v>
      </c>
      <c r="I2571" s="47" t="s">
        <v>1103</v>
      </c>
      <c r="J2571" s="47" t="s">
        <v>26</v>
      </c>
    </row>
    <row r="2572" ht="54" customHeight="1" spans="1:10">
      <c r="A2572" s="48" t="s">
        <v>803</v>
      </c>
      <c r="B2572" s="48" t="s">
        <v>3994</v>
      </c>
      <c r="C2572" s="47" t="s">
        <v>1651</v>
      </c>
      <c r="D2572" s="48" t="s">
        <v>1082</v>
      </c>
      <c r="E2572" s="48" t="s">
        <v>1083</v>
      </c>
      <c r="F2572" s="48" t="s">
        <v>1652</v>
      </c>
      <c r="G2572" s="48" t="s">
        <v>1653</v>
      </c>
      <c r="H2572" s="47" t="s">
        <v>1654</v>
      </c>
      <c r="I2572" s="47" t="s">
        <v>1655</v>
      </c>
      <c r="J2572" s="47" t="s">
        <v>26</v>
      </c>
    </row>
    <row r="2573" ht="54" customHeight="1" spans="1:10">
      <c r="A2573" s="48" t="s">
        <v>803</v>
      </c>
      <c r="B2573" s="48" t="s">
        <v>3995</v>
      </c>
      <c r="C2573" s="47" t="s">
        <v>1291</v>
      </c>
      <c r="D2573" s="48" t="s">
        <v>965</v>
      </c>
      <c r="E2573" s="48" t="s">
        <v>966</v>
      </c>
      <c r="F2573" s="48" t="s">
        <v>1292</v>
      </c>
      <c r="G2573" s="48" t="s">
        <v>1293</v>
      </c>
      <c r="H2573" s="47" t="s">
        <v>1294</v>
      </c>
      <c r="I2573" s="47" t="s">
        <v>1295</v>
      </c>
      <c r="J2573" s="47" t="s">
        <v>26</v>
      </c>
    </row>
    <row r="2574" ht="54" customHeight="1" spans="1:10">
      <c r="A2574" s="48" t="s">
        <v>803</v>
      </c>
      <c r="B2574" s="48" t="s">
        <v>3996</v>
      </c>
      <c r="C2574" s="47" t="s">
        <v>977</v>
      </c>
      <c r="D2574" s="48" t="s">
        <v>978</v>
      </c>
      <c r="E2574" s="48" t="s">
        <v>979</v>
      </c>
      <c r="F2574" s="48" t="s">
        <v>980</v>
      </c>
      <c r="G2574" s="48" t="s">
        <v>981</v>
      </c>
      <c r="H2574" s="47" t="s">
        <v>982</v>
      </c>
      <c r="I2574" s="47" t="s">
        <v>983</v>
      </c>
      <c r="J2574" s="47" t="s">
        <v>26</v>
      </c>
    </row>
    <row r="2575" ht="54" customHeight="1" spans="1:10">
      <c r="A2575" s="48" t="s">
        <v>805</v>
      </c>
      <c r="B2575" s="48" t="s">
        <v>3997</v>
      </c>
      <c r="C2575" s="47" t="s">
        <v>992</v>
      </c>
      <c r="D2575" s="48" t="s">
        <v>993</v>
      </c>
      <c r="E2575" s="48" t="s">
        <v>994</v>
      </c>
      <c r="F2575" s="48" t="s">
        <v>995</v>
      </c>
      <c r="G2575" s="48" t="s">
        <v>996</v>
      </c>
      <c r="H2575" s="47" t="s">
        <v>997</v>
      </c>
      <c r="I2575" s="47" t="s">
        <v>998</v>
      </c>
      <c r="J2575" s="47" t="s">
        <v>26</v>
      </c>
    </row>
    <row r="2576" ht="54" customHeight="1" spans="1:10">
      <c r="A2576" s="48" t="s">
        <v>805</v>
      </c>
      <c r="B2576" s="48" t="s">
        <v>3998</v>
      </c>
      <c r="C2576" s="47" t="s">
        <v>977</v>
      </c>
      <c r="D2576" s="48" t="s">
        <v>978</v>
      </c>
      <c r="E2576" s="48" t="s">
        <v>979</v>
      </c>
      <c r="F2576" s="48" t="s">
        <v>980</v>
      </c>
      <c r="G2576" s="48" t="s">
        <v>981</v>
      </c>
      <c r="H2576" s="47" t="s">
        <v>982</v>
      </c>
      <c r="I2576" s="47" t="s">
        <v>983</v>
      </c>
      <c r="J2576" s="47" t="s">
        <v>26</v>
      </c>
    </row>
    <row r="2577" ht="54" customHeight="1" spans="1:10">
      <c r="A2577" s="48" t="s">
        <v>807</v>
      </c>
      <c r="B2577" s="48" t="s">
        <v>3999</v>
      </c>
      <c r="C2577" s="47" t="s">
        <v>1036</v>
      </c>
      <c r="D2577" s="48" t="s">
        <v>1037</v>
      </c>
      <c r="E2577" s="48" t="s">
        <v>1038</v>
      </c>
      <c r="F2577" s="48" t="s">
        <v>1039</v>
      </c>
      <c r="G2577" s="48" t="s">
        <v>1040</v>
      </c>
      <c r="H2577" s="47" t="s">
        <v>1041</v>
      </c>
      <c r="I2577" s="47" t="s">
        <v>1042</v>
      </c>
      <c r="J2577" s="47" t="s">
        <v>26</v>
      </c>
    </row>
    <row r="2578" ht="54" customHeight="1" spans="1:10">
      <c r="A2578" s="48" t="s">
        <v>807</v>
      </c>
      <c r="B2578" s="48" t="s">
        <v>4000</v>
      </c>
      <c r="C2578" s="47" t="s">
        <v>1666</v>
      </c>
      <c r="D2578" s="48" t="s">
        <v>1082</v>
      </c>
      <c r="E2578" s="48" t="s">
        <v>1083</v>
      </c>
      <c r="F2578" s="48" t="s">
        <v>1667</v>
      </c>
      <c r="G2578" s="48" t="s">
        <v>1668</v>
      </c>
      <c r="H2578" s="47" t="s">
        <v>1669</v>
      </c>
      <c r="I2578" s="47" t="s">
        <v>1670</v>
      </c>
      <c r="J2578" s="47" t="s">
        <v>26</v>
      </c>
    </row>
    <row r="2579" ht="54" customHeight="1" spans="1:10">
      <c r="A2579" s="48" t="s">
        <v>807</v>
      </c>
      <c r="B2579" s="48" t="s">
        <v>4001</v>
      </c>
      <c r="C2579" s="47" t="s">
        <v>977</v>
      </c>
      <c r="D2579" s="48" t="s">
        <v>978</v>
      </c>
      <c r="E2579" s="48" t="s">
        <v>979</v>
      </c>
      <c r="F2579" s="48" t="s">
        <v>980</v>
      </c>
      <c r="G2579" s="48" t="s">
        <v>981</v>
      </c>
      <c r="H2579" s="47" t="s">
        <v>982</v>
      </c>
      <c r="I2579" s="47" t="s">
        <v>983</v>
      </c>
      <c r="J2579" s="47" t="s">
        <v>26</v>
      </c>
    </row>
    <row r="2580" ht="54" customHeight="1" spans="1:10">
      <c r="A2580" s="48" t="s">
        <v>809</v>
      </c>
      <c r="B2580" s="48" t="s">
        <v>4002</v>
      </c>
      <c r="C2580" s="47" t="s">
        <v>934</v>
      </c>
      <c r="D2580" s="48" t="s">
        <v>935</v>
      </c>
      <c r="E2580" s="48" t="s">
        <v>936</v>
      </c>
      <c r="F2580" s="48" t="s">
        <v>937</v>
      </c>
      <c r="G2580" s="48" t="s">
        <v>938</v>
      </c>
      <c r="H2580" s="47" t="s">
        <v>939</v>
      </c>
      <c r="I2580" s="47" t="s">
        <v>940</v>
      </c>
      <c r="J2580" s="47" t="s">
        <v>26</v>
      </c>
    </row>
    <row r="2581" ht="54" customHeight="1" spans="1:10">
      <c r="A2581" s="48" t="s">
        <v>809</v>
      </c>
      <c r="B2581" s="48" t="s">
        <v>4003</v>
      </c>
      <c r="C2581" s="47" t="s">
        <v>1097</v>
      </c>
      <c r="D2581" s="48" t="s">
        <v>1098</v>
      </c>
      <c r="E2581" s="48" t="s">
        <v>1099</v>
      </c>
      <c r="F2581" s="48" t="s">
        <v>1100</v>
      </c>
      <c r="G2581" s="48" t="s">
        <v>1101</v>
      </c>
      <c r="H2581" s="47" t="s">
        <v>1102</v>
      </c>
      <c r="I2581" s="47" t="s">
        <v>1103</v>
      </c>
      <c r="J2581" s="47" t="s">
        <v>26</v>
      </c>
    </row>
    <row r="2582" ht="54" customHeight="1" spans="1:10">
      <c r="A2582" s="48" t="s">
        <v>809</v>
      </c>
      <c r="B2582" s="48" t="s">
        <v>4004</v>
      </c>
      <c r="C2582" s="47" t="s">
        <v>1388</v>
      </c>
      <c r="D2582" s="48" t="s">
        <v>1037</v>
      </c>
      <c r="E2582" s="48" t="s">
        <v>1038</v>
      </c>
      <c r="F2582" s="48" t="s">
        <v>1389</v>
      </c>
      <c r="G2582" s="48" t="s">
        <v>1390</v>
      </c>
      <c r="H2582" s="47" t="s">
        <v>1391</v>
      </c>
      <c r="I2582" s="47" t="s">
        <v>1392</v>
      </c>
      <c r="J2582" s="47" t="s">
        <v>26</v>
      </c>
    </row>
    <row r="2583" ht="54" customHeight="1" spans="1:10">
      <c r="A2583" s="48" t="s">
        <v>809</v>
      </c>
      <c r="B2583" s="48" t="s">
        <v>4005</v>
      </c>
      <c r="C2583" s="47" t="s">
        <v>971</v>
      </c>
      <c r="D2583" s="48" t="s">
        <v>965</v>
      </c>
      <c r="E2583" s="48" t="s">
        <v>966</v>
      </c>
      <c r="F2583" s="48" t="s">
        <v>972</v>
      </c>
      <c r="G2583" s="48" t="s">
        <v>973</v>
      </c>
      <c r="H2583" s="47" t="s">
        <v>974</v>
      </c>
      <c r="I2583" s="47" t="s">
        <v>975</v>
      </c>
      <c r="J2583" s="47" t="s">
        <v>26</v>
      </c>
    </row>
    <row r="2584" ht="54" customHeight="1" spans="1:10">
      <c r="A2584" s="48" t="s">
        <v>809</v>
      </c>
      <c r="B2584" s="48" t="s">
        <v>4006</v>
      </c>
      <c r="C2584" s="47" t="s">
        <v>1291</v>
      </c>
      <c r="D2584" s="48" t="s">
        <v>965</v>
      </c>
      <c r="E2584" s="48" t="s">
        <v>966</v>
      </c>
      <c r="F2584" s="48" t="s">
        <v>1292</v>
      </c>
      <c r="G2584" s="48" t="s">
        <v>1293</v>
      </c>
      <c r="H2584" s="47" t="s">
        <v>1294</v>
      </c>
      <c r="I2584" s="47" t="s">
        <v>1295</v>
      </c>
      <c r="J2584" s="47" t="s">
        <v>26</v>
      </c>
    </row>
    <row r="2585" ht="54" customHeight="1" spans="1:10">
      <c r="A2585" s="48" t="s">
        <v>809</v>
      </c>
      <c r="B2585" s="48" t="s">
        <v>4007</v>
      </c>
      <c r="C2585" s="47" t="s">
        <v>977</v>
      </c>
      <c r="D2585" s="48" t="s">
        <v>978</v>
      </c>
      <c r="E2585" s="48" t="s">
        <v>979</v>
      </c>
      <c r="F2585" s="48" t="s">
        <v>980</v>
      </c>
      <c r="G2585" s="48" t="s">
        <v>981</v>
      </c>
      <c r="H2585" s="47" t="s">
        <v>982</v>
      </c>
      <c r="I2585" s="47" t="s">
        <v>983</v>
      </c>
      <c r="J2585" s="47" t="s">
        <v>26</v>
      </c>
    </row>
    <row r="2586" ht="54" customHeight="1" spans="1:10">
      <c r="A2586" s="48" t="s">
        <v>811</v>
      </c>
      <c r="B2586" s="48" t="s">
        <v>4008</v>
      </c>
      <c r="C2586" s="47" t="s">
        <v>934</v>
      </c>
      <c r="D2586" s="48" t="s">
        <v>935</v>
      </c>
      <c r="E2586" s="48" t="s">
        <v>936</v>
      </c>
      <c r="F2586" s="48" t="s">
        <v>937</v>
      </c>
      <c r="G2586" s="48" t="s">
        <v>938</v>
      </c>
      <c r="H2586" s="47" t="s">
        <v>939</v>
      </c>
      <c r="I2586" s="47" t="s">
        <v>940</v>
      </c>
      <c r="J2586" s="47" t="s">
        <v>26</v>
      </c>
    </row>
    <row r="2587" ht="54" customHeight="1" spans="1:10">
      <c r="A2587" s="48" t="s">
        <v>811</v>
      </c>
      <c r="B2587" s="48" t="s">
        <v>4009</v>
      </c>
      <c r="C2587" s="47" t="s">
        <v>1036</v>
      </c>
      <c r="D2587" s="48" t="s">
        <v>1037</v>
      </c>
      <c r="E2587" s="48" t="s">
        <v>1038</v>
      </c>
      <c r="F2587" s="48" t="s">
        <v>1039</v>
      </c>
      <c r="G2587" s="48" t="s">
        <v>1040</v>
      </c>
      <c r="H2587" s="47" t="s">
        <v>1041</v>
      </c>
      <c r="I2587" s="47" t="s">
        <v>1042</v>
      </c>
      <c r="J2587" s="47" t="s">
        <v>26</v>
      </c>
    </row>
    <row r="2588" ht="54" customHeight="1" spans="1:10">
      <c r="A2588" s="48" t="s">
        <v>811</v>
      </c>
      <c r="B2588" s="48" t="s">
        <v>4010</v>
      </c>
      <c r="C2588" s="47" t="s">
        <v>971</v>
      </c>
      <c r="D2588" s="48" t="s">
        <v>965</v>
      </c>
      <c r="E2588" s="48" t="s">
        <v>966</v>
      </c>
      <c r="F2588" s="48" t="s">
        <v>972</v>
      </c>
      <c r="G2588" s="48" t="s">
        <v>973</v>
      </c>
      <c r="H2588" s="47" t="s">
        <v>974</v>
      </c>
      <c r="I2588" s="47" t="s">
        <v>975</v>
      </c>
      <c r="J2588" s="47" t="s">
        <v>26</v>
      </c>
    </row>
    <row r="2589" ht="54" customHeight="1" spans="1:10">
      <c r="A2589" s="48" t="s">
        <v>811</v>
      </c>
      <c r="B2589" s="48" t="s">
        <v>4011</v>
      </c>
      <c r="C2589" s="47" t="s">
        <v>977</v>
      </c>
      <c r="D2589" s="48" t="s">
        <v>978</v>
      </c>
      <c r="E2589" s="48" t="s">
        <v>979</v>
      </c>
      <c r="F2589" s="48" t="s">
        <v>980</v>
      </c>
      <c r="G2589" s="48" t="s">
        <v>981</v>
      </c>
      <c r="H2589" s="47" t="s">
        <v>982</v>
      </c>
      <c r="I2589" s="47" t="s">
        <v>983</v>
      </c>
      <c r="J2589" s="47" t="s">
        <v>26</v>
      </c>
    </row>
    <row r="2590" ht="54" customHeight="1" spans="1:10">
      <c r="A2590" s="48" t="s">
        <v>811</v>
      </c>
      <c r="B2590" s="48" t="s">
        <v>4012</v>
      </c>
      <c r="C2590" s="47" t="s">
        <v>1313</v>
      </c>
      <c r="D2590" s="48" t="s">
        <v>1037</v>
      </c>
      <c r="E2590" s="48" t="s">
        <v>1038</v>
      </c>
      <c r="F2590" s="48" t="s">
        <v>1314</v>
      </c>
      <c r="G2590" s="48" t="s">
        <v>1315</v>
      </c>
      <c r="H2590" s="47" t="s">
        <v>1316</v>
      </c>
      <c r="I2590" s="47" t="s">
        <v>1317</v>
      </c>
      <c r="J2590" s="47" t="s">
        <v>26</v>
      </c>
    </row>
    <row r="2591" ht="54" customHeight="1" spans="1:10">
      <c r="A2591" s="48" t="s">
        <v>811</v>
      </c>
      <c r="B2591" s="48" t="s">
        <v>4013</v>
      </c>
      <c r="C2591" s="47" t="s">
        <v>1750</v>
      </c>
      <c r="D2591" s="48" t="s">
        <v>965</v>
      </c>
      <c r="E2591" s="48" t="s">
        <v>966</v>
      </c>
      <c r="F2591" s="48" t="s">
        <v>1751</v>
      </c>
      <c r="G2591" s="48" t="s">
        <v>1752</v>
      </c>
      <c r="H2591" s="47" t="s">
        <v>1753</v>
      </c>
      <c r="I2591" s="47" t="s">
        <v>940</v>
      </c>
      <c r="J2591" s="47" t="s">
        <v>26</v>
      </c>
    </row>
    <row r="2592" ht="54" customHeight="1" spans="1:10">
      <c r="A2592" s="48" t="s">
        <v>813</v>
      </c>
      <c r="B2592" s="48" t="s">
        <v>4014</v>
      </c>
      <c r="C2592" s="47" t="s">
        <v>1601</v>
      </c>
      <c r="D2592" s="48" t="s">
        <v>1184</v>
      </c>
      <c r="E2592" s="48" t="s">
        <v>1185</v>
      </c>
      <c r="F2592" s="48" t="s">
        <v>1602</v>
      </c>
      <c r="G2592" s="48" t="s">
        <v>1603</v>
      </c>
      <c r="H2592" s="47" t="s">
        <v>1604</v>
      </c>
      <c r="I2592" s="47" t="s">
        <v>1605</v>
      </c>
      <c r="J2592" s="47" t="s">
        <v>26</v>
      </c>
    </row>
    <row r="2593" ht="54" customHeight="1" spans="1:10">
      <c r="A2593" s="48" t="s">
        <v>813</v>
      </c>
      <c r="B2593" s="48" t="s">
        <v>4015</v>
      </c>
      <c r="C2593" s="47" t="s">
        <v>1348</v>
      </c>
      <c r="D2593" s="48" t="s">
        <v>1082</v>
      </c>
      <c r="E2593" s="48" t="s">
        <v>1083</v>
      </c>
      <c r="F2593" s="48" t="s">
        <v>1349</v>
      </c>
      <c r="G2593" s="48" t="s">
        <v>1350</v>
      </c>
      <c r="H2593" s="47" t="s">
        <v>1351</v>
      </c>
      <c r="I2593" s="47" t="s">
        <v>1352</v>
      </c>
      <c r="J2593" s="47" t="s">
        <v>26</v>
      </c>
    </row>
    <row r="2594" ht="54" customHeight="1" spans="1:10">
      <c r="A2594" s="48" t="s">
        <v>813</v>
      </c>
      <c r="B2594" s="48" t="s">
        <v>4016</v>
      </c>
      <c r="C2594" s="47" t="s">
        <v>964</v>
      </c>
      <c r="D2594" s="48" t="s">
        <v>965</v>
      </c>
      <c r="E2594" s="48" t="s">
        <v>966</v>
      </c>
      <c r="F2594" s="48" t="s">
        <v>967</v>
      </c>
      <c r="G2594" s="48" t="s">
        <v>968</v>
      </c>
      <c r="H2594" s="47" t="s">
        <v>969</v>
      </c>
      <c r="I2594" s="47" t="s">
        <v>940</v>
      </c>
      <c r="J2594" s="47" t="s">
        <v>26</v>
      </c>
    </row>
    <row r="2595" ht="54" customHeight="1" spans="1:10">
      <c r="A2595" s="48" t="s">
        <v>813</v>
      </c>
      <c r="B2595" s="48" t="s">
        <v>4017</v>
      </c>
      <c r="C2595" s="47" t="s">
        <v>977</v>
      </c>
      <c r="D2595" s="48" t="s">
        <v>978</v>
      </c>
      <c r="E2595" s="48" t="s">
        <v>979</v>
      </c>
      <c r="F2595" s="48" t="s">
        <v>980</v>
      </c>
      <c r="G2595" s="48" t="s">
        <v>981</v>
      </c>
      <c r="H2595" s="47" t="s">
        <v>982</v>
      </c>
      <c r="I2595" s="47" t="s">
        <v>983</v>
      </c>
      <c r="J2595" s="47" t="s">
        <v>26</v>
      </c>
    </row>
    <row r="2596" ht="54" customHeight="1" spans="1:10">
      <c r="A2596" s="48" t="s">
        <v>815</v>
      </c>
      <c r="B2596" s="48" t="s">
        <v>4018</v>
      </c>
      <c r="C2596" s="47" t="s">
        <v>934</v>
      </c>
      <c r="D2596" s="48" t="s">
        <v>935</v>
      </c>
      <c r="E2596" s="48" t="s">
        <v>936</v>
      </c>
      <c r="F2596" s="48" t="s">
        <v>937</v>
      </c>
      <c r="G2596" s="48" t="s">
        <v>938</v>
      </c>
      <c r="H2596" s="47" t="s">
        <v>939</v>
      </c>
      <c r="I2596" s="47" t="s">
        <v>940</v>
      </c>
      <c r="J2596" s="47" t="s">
        <v>26</v>
      </c>
    </row>
    <row r="2597" ht="54" customHeight="1" spans="1:10">
      <c r="A2597" s="48" t="s">
        <v>815</v>
      </c>
      <c r="B2597" s="48" t="s">
        <v>4019</v>
      </c>
      <c r="C2597" s="47" t="s">
        <v>1105</v>
      </c>
      <c r="D2597" s="48" t="s">
        <v>1009</v>
      </c>
      <c r="E2597" s="48" t="s">
        <v>1010</v>
      </c>
      <c r="F2597" s="48" t="s">
        <v>1106</v>
      </c>
      <c r="G2597" s="48" t="s">
        <v>1107</v>
      </c>
      <c r="H2597" s="47" t="s">
        <v>1108</v>
      </c>
      <c r="I2597" s="47" t="s">
        <v>1109</v>
      </c>
      <c r="J2597" s="47" t="s">
        <v>26</v>
      </c>
    </row>
    <row r="2598" ht="54" customHeight="1" spans="1:10">
      <c r="A2598" s="48" t="s">
        <v>815</v>
      </c>
      <c r="B2598" s="48" t="s">
        <v>4020</v>
      </c>
      <c r="C2598" s="47" t="s">
        <v>1111</v>
      </c>
      <c r="D2598" s="48" t="s">
        <v>965</v>
      </c>
      <c r="E2598" s="48" t="s">
        <v>966</v>
      </c>
      <c r="F2598" s="48" t="s">
        <v>1112</v>
      </c>
      <c r="G2598" s="48" t="s">
        <v>1113</v>
      </c>
      <c r="H2598" s="47" t="s">
        <v>1114</v>
      </c>
      <c r="I2598" s="47" t="s">
        <v>1115</v>
      </c>
      <c r="J2598" s="47" t="s">
        <v>26</v>
      </c>
    </row>
    <row r="2599" ht="54" customHeight="1" spans="1:10">
      <c r="A2599" s="48" t="s">
        <v>815</v>
      </c>
      <c r="B2599" s="48" t="s">
        <v>4021</v>
      </c>
      <c r="C2599" s="47" t="s">
        <v>971</v>
      </c>
      <c r="D2599" s="48" t="s">
        <v>965</v>
      </c>
      <c r="E2599" s="48" t="s">
        <v>966</v>
      </c>
      <c r="F2599" s="48" t="s">
        <v>972</v>
      </c>
      <c r="G2599" s="48" t="s">
        <v>973</v>
      </c>
      <c r="H2599" s="47" t="s">
        <v>974</v>
      </c>
      <c r="I2599" s="47" t="s">
        <v>975</v>
      </c>
      <c r="J2599" s="47" t="s">
        <v>26</v>
      </c>
    </row>
    <row r="2600" ht="54" customHeight="1" spans="1:10">
      <c r="A2600" s="48" t="s">
        <v>817</v>
      </c>
      <c r="B2600" s="48" t="s">
        <v>4022</v>
      </c>
      <c r="C2600" s="47" t="s">
        <v>1081</v>
      </c>
      <c r="D2600" s="48" t="s">
        <v>1082</v>
      </c>
      <c r="E2600" s="48" t="s">
        <v>1083</v>
      </c>
      <c r="F2600" s="48" t="s">
        <v>1084</v>
      </c>
      <c r="G2600" s="48" t="s">
        <v>1085</v>
      </c>
      <c r="H2600" s="47" t="s">
        <v>1086</v>
      </c>
      <c r="I2600" s="47" t="s">
        <v>1087</v>
      </c>
      <c r="J2600" s="47" t="s">
        <v>26</v>
      </c>
    </row>
    <row r="2601" ht="54" customHeight="1" spans="1:10">
      <c r="A2601" s="48" t="s">
        <v>817</v>
      </c>
      <c r="B2601" s="48" t="s">
        <v>4023</v>
      </c>
      <c r="C2601" s="47" t="s">
        <v>964</v>
      </c>
      <c r="D2601" s="48" t="s">
        <v>965</v>
      </c>
      <c r="E2601" s="48" t="s">
        <v>966</v>
      </c>
      <c r="F2601" s="48" t="s">
        <v>967</v>
      </c>
      <c r="G2601" s="48" t="s">
        <v>968</v>
      </c>
      <c r="H2601" s="47" t="s">
        <v>969</v>
      </c>
      <c r="I2601" s="47" t="s">
        <v>940</v>
      </c>
      <c r="J2601" s="47" t="s">
        <v>26</v>
      </c>
    </row>
    <row r="2602" ht="54" customHeight="1" spans="1:10">
      <c r="A2602" s="48" t="s">
        <v>817</v>
      </c>
      <c r="B2602" s="48" t="s">
        <v>4024</v>
      </c>
      <c r="C2602" s="47" t="s">
        <v>1205</v>
      </c>
      <c r="D2602" s="48" t="s">
        <v>978</v>
      </c>
      <c r="E2602" s="48" t="s">
        <v>979</v>
      </c>
      <c r="F2602" s="48" t="s">
        <v>1206</v>
      </c>
      <c r="G2602" s="48" t="s">
        <v>1207</v>
      </c>
      <c r="H2602" s="47" t="s">
        <v>1208</v>
      </c>
      <c r="I2602" s="47" t="s">
        <v>1209</v>
      </c>
      <c r="J2602" s="47" t="s">
        <v>26</v>
      </c>
    </row>
    <row r="2603" ht="54" customHeight="1" spans="1:10">
      <c r="A2603" s="48" t="s">
        <v>817</v>
      </c>
      <c r="B2603" s="48" t="s">
        <v>4025</v>
      </c>
      <c r="C2603" s="47" t="s">
        <v>1245</v>
      </c>
      <c r="D2603" s="48" t="s">
        <v>1171</v>
      </c>
      <c r="E2603" s="48" t="s">
        <v>1172</v>
      </c>
      <c r="F2603" s="48" t="s">
        <v>1246</v>
      </c>
      <c r="G2603" s="48" t="s">
        <v>1247</v>
      </c>
      <c r="H2603" s="47" t="s">
        <v>1248</v>
      </c>
      <c r="I2603" s="47" t="s">
        <v>1176</v>
      </c>
      <c r="J2603" s="47" t="s">
        <v>26</v>
      </c>
    </row>
    <row r="2604" ht="54" customHeight="1" spans="1:10">
      <c r="A2604" s="48" t="s">
        <v>819</v>
      </c>
      <c r="B2604" s="48" t="s">
        <v>4026</v>
      </c>
      <c r="C2604" s="47" t="s">
        <v>942</v>
      </c>
      <c r="D2604" s="48" t="s">
        <v>943</v>
      </c>
      <c r="E2604" s="48" t="s">
        <v>944</v>
      </c>
      <c r="F2604" s="48" t="s">
        <v>945</v>
      </c>
      <c r="G2604" s="48" t="s">
        <v>946</v>
      </c>
      <c r="H2604" s="47" t="s">
        <v>947</v>
      </c>
      <c r="I2604" s="47" t="s">
        <v>948</v>
      </c>
      <c r="J2604" s="47" t="s">
        <v>26</v>
      </c>
    </row>
    <row r="2605" ht="54" customHeight="1" spans="1:10">
      <c r="A2605" s="48" t="s">
        <v>819</v>
      </c>
      <c r="B2605" s="48" t="s">
        <v>4027</v>
      </c>
      <c r="C2605" s="47" t="s">
        <v>1081</v>
      </c>
      <c r="D2605" s="48" t="s">
        <v>1082</v>
      </c>
      <c r="E2605" s="48" t="s">
        <v>1083</v>
      </c>
      <c r="F2605" s="48" t="s">
        <v>1084</v>
      </c>
      <c r="G2605" s="48" t="s">
        <v>1085</v>
      </c>
      <c r="H2605" s="47" t="s">
        <v>1086</v>
      </c>
      <c r="I2605" s="47" t="s">
        <v>1087</v>
      </c>
      <c r="J2605" s="47" t="s">
        <v>26</v>
      </c>
    </row>
    <row r="2606" ht="54" customHeight="1" spans="1:10">
      <c r="A2606" s="48" t="s">
        <v>819</v>
      </c>
      <c r="B2606" s="48" t="s">
        <v>4028</v>
      </c>
      <c r="C2606" s="47" t="s">
        <v>1105</v>
      </c>
      <c r="D2606" s="48" t="s">
        <v>1009</v>
      </c>
      <c r="E2606" s="48" t="s">
        <v>1010</v>
      </c>
      <c r="F2606" s="48" t="s">
        <v>1106</v>
      </c>
      <c r="G2606" s="48" t="s">
        <v>1107</v>
      </c>
      <c r="H2606" s="47" t="s">
        <v>1108</v>
      </c>
      <c r="I2606" s="47" t="s">
        <v>1109</v>
      </c>
      <c r="J2606" s="47" t="s">
        <v>26</v>
      </c>
    </row>
    <row r="2607" ht="54" customHeight="1" spans="1:10">
      <c r="A2607" s="48" t="s">
        <v>819</v>
      </c>
      <c r="B2607" s="48" t="s">
        <v>4029</v>
      </c>
      <c r="C2607" s="47" t="s">
        <v>1111</v>
      </c>
      <c r="D2607" s="48" t="s">
        <v>965</v>
      </c>
      <c r="E2607" s="48" t="s">
        <v>966</v>
      </c>
      <c r="F2607" s="48" t="s">
        <v>1112</v>
      </c>
      <c r="G2607" s="48" t="s">
        <v>1113</v>
      </c>
      <c r="H2607" s="47" t="s">
        <v>1114</v>
      </c>
      <c r="I2607" s="47" t="s">
        <v>1115</v>
      </c>
      <c r="J2607" s="47" t="s">
        <v>26</v>
      </c>
    </row>
    <row r="2608" ht="54" customHeight="1" spans="1:10">
      <c r="A2608" s="48" t="s">
        <v>819</v>
      </c>
      <c r="B2608" s="48" t="s">
        <v>4030</v>
      </c>
      <c r="C2608" s="47" t="s">
        <v>971</v>
      </c>
      <c r="D2608" s="48" t="s">
        <v>965</v>
      </c>
      <c r="E2608" s="48" t="s">
        <v>966</v>
      </c>
      <c r="F2608" s="48" t="s">
        <v>972</v>
      </c>
      <c r="G2608" s="48" t="s">
        <v>973</v>
      </c>
      <c r="H2608" s="47" t="s">
        <v>974</v>
      </c>
      <c r="I2608" s="47" t="s">
        <v>975</v>
      </c>
      <c r="J2608" s="47" t="s">
        <v>26</v>
      </c>
    </row>
    <row r="2609" ht="54" customHeight="1" spans="1:10">
      <c r="A2609" s="48" t="s">
        <v>819</v>
      </c>
      <c r="B2609" s="48" t="s">
        <v>4031</v>
      </c>
      <c r="C2609" s="47" t="s">
        <v>1205</v>
      </c>
      <c r="D2609" s="48" t="s">
        <v>978</v>
      </c>
      <c r="E2609" s="48" t="s">
        <v>979</v>
      </c>
      <c r="F2609" s="48" t="s">
        <v>1206</v>
      </c>
      <c r="G2609" s="48" t="s">
        <v>1207</v>
      </c>
      <c r="H2609" s="47" t="s">
        <v>1208</v>
      </c>
      <c r="I2609" s="47" t="s">
        <v>1209</v>
      </c>
      <c r="J2609" s="47" t="s">
        <v>26</v>
      </c>
    </row>
    <row r="2610" ht="54" customHeight="1" spans="1:10">
      <c r="A2610" s="48" t="s">
        <v>821</v>
      </c>
      <c r="B2610" s="48" t="s">
        <v>4032</v>
      </c>
      <c r="C2610" s="47" t="s">
        <v>1975</v>
      </c>
      <c r="D2610" s="48" t="s">
        <v>1009</v>
      </c>
      <c r="E2610" s="48" t="s">
        <v>1010</v>
      </c>
      <c r="F2610" s="48" t="s">
        <v>1976</v>
      </c>
      <c r="G2610" s="48" t="s">
        <v>1977</v>
      </c>
      <c r="H2610" s="47" t="s">
        <v>1978</v>
      </c>
      <c r="I2610" s="47" t="s">
        <v>1979</v>
      </c>
      <c r="J2610" s="47" t="s">
        <v>26</v>
      </c>
    </row>
    <row r="2611" ht="54" customHeight="1" spans="1:10">
      <c r="A2611" s="48" t="s">
        <v>821</v>
      </c>
      <c r="B2611" s="48" t="s">
        <v>4033</v>
      </c>
      <c r="C2611" s="47" t="s">
        <v>1000</v>
      </c>
      <c r="D2611" s="48" t="s">
        <v>1001</v>
      </c>
      <c r="E2611" s="48" t="s">
        <v>1002</v>
      </c>
      <c r="F2611" s="48" t="s">
        <v>1003</v>
      </c>
      <c r="G2611" s="48" t="s">
        <v>1004</v>
      </c>
      <c r="H2611" s="47" t="s">
        <v>1005</v>
      </c>
      <c r="I2611" s="47" t="s">
        <v>1006</v>
      </c>
      <c r="J2611" s="47" t="s">
        <v>26</v>
      </c>
    </row>
    <row r="2612" ht="54" customHeight="1" spans="1:10">
      <c r="A2612" s="48" t="s">
        <v>821</v>
      </c>
      <c r="B2612" s="48" t="s">
        <v>4034</v>
      </c>
      <c r="C2612" s="47" t="s">
        <v>1008</v>
      </c>
      <c r="D2612" s="48" t="s">
        <v>1009</v>
      </c>
      <c r="E2612" s="48" t="s">
        <v>1010</v>
      </c>
      <c r="F2612" s="48" t="s">
        <v>1011</v>
      </c>
      <c r="G2612" s="48" t="s">
        <v>1012</v>
      </c>
      <c r="H2612" s="47" t="s">
        <v>1013</v>
      </c>
      <c r="I2612" s="47" t="s">
        <v>1014</v>
      </c>
      <c r="J2612" s="47" t="s">
        <v>26</v>
      </c>
    </row>
    <row r="2613" ht="54" customHeight="1" spans="1:10">
      <c r="A2613" s="48" t="s">
        <v>821</v>
      </c>
      <c r="B2613" s="48" t="s">
        <v>4035</v>
      </c>
      <c r="C2613" s="47" t="s">
        <v>1589</v>
      </c>
      <c r="D2613" s="48" t="s">
        <v>943</v>
      </c>
      <c r="E2613" s="48" t="s">
        <v>944</v>
      </c>
      <c r="F2613" s="48" t="s">
        <v>1590</v>
      </c>
      <c r="G2613" s="48" t="s">
        <v>1591</v>
      </c>
      <c r="H2613" s="47" t="s">
        <v>1592</v>
      </c>
      <c r="I2613" s="47" t="s">
        <v>1593</v>
      </c>
      <c r="J2613" s="47" t="s">
        <v>26</v>
      </c>
    </row>
    <row r="2614" ht="54" customHeight="1" spans="1:10">
      <c r="A2614" s="48" t="s">
        <v>821</v>
      </c>
      <c r="B2614" s="48" t="s">
        <v>4036</v>
      </c>
      <c r="C2614" s="47" t="s">
        <v>1666</v>
      </c>
      <c r="D2614" s="48" t="s">
        <v>1082</v>
      </c>
      <c r="E2614" s="48" t="s">
        <v>1083</v>
      </c>
      <c r="F2614" s="48" t="s">
        <v>1667</v>
      </c>
      <c r="G2614" s="48" t="s">
        <v>1668</v>
      </c>
      <c r="H2614" s="47" t="s">
        <v>1669</v>
      </c>
      <c r="I2614" s="47" t="s">
        <v>1670</v>
      </c>
      <c r="J2614" s="47" t="s">
        <v>26</v>
      </c>
    </row>
    <row r="2615" ht="54" customHeight="1" spans="1:10">
      <c r="A2615" s="48" t="s">
        <v>821</v>
      </c>
      <c r="B2615" s="48" t="s">
        <v>4037</v>
      </c>
      <c r="C2615" s="47" t="s">
        <v>1111</v>
      </c>
      <c r="D2615" s="48" t="s">
        <v>965</v>
      </c>
      <c r="E2615" s="48" t="s">
        <v>966</v>
      </c>
      <c r="F2615" s="48" t="s">
        <v>1112</v>
      </c>
      <c r="G2615" s="48" t="s">
        <v>1113</v>
      </c>
      <c r="H2615" s="47" t="s">
        <v>1114</v>
      </c>
      <c r="I2615" s="47" t="s">
        <v>1115</v>
      </c>
      <c r="J2615" s="47" t="s">
        <v>26</v>
      </c>
    </row>
    <row r="2616" ht="54" customHeight="1" spans="1:10">
      <c r="A2616" s="48" t="s">
        <v>823</v>
      </c>
      <c r="B2616" s="48" t="s">
        <v>4038</v>
      </c>
      <c r="C2616" s="47" t="s">
        <v>1975</v>
      </c>
      <c r="D2616" s="48" t="s">
        <v>1009</v>
      </c>
      <c r="E2616" s="48" t="s">
        <v>1010</v>
      </c>
      <c r="F2616" s="48" t="s">
        <v>1976</v>
      </c>
      <c r="G2616" s="48" t="s">
        <v>1977</v>
      </c>
      <c r="H2616" s="47" t="s">
        <v>1978</v>
      </c>
      <c r="I2616" s="47" t="s">
        <v>1979</v>
      </c>
      <c r="J2616" s="47" t="s">
        <v>26</v>
      </c>
    </row>
    <row r="2617" ht="54" customHeight="1" spans="1:10">
      <c r="A2617" s="48" t="s">
        <v>823</v>
      </c>
      <c r="B2617" s="48" t="s">
        <v>4039</v>
      </c>
      <c r="C2617" s="47" t="s">
        <v>934</v>
      </c>
      <c r="D2617" s="48" t="s">
        <v>935</v>
      </c>
      <c r="E2617" s="48" t="s">
        <v>936</v>
      </c>
      <c r="F2617" s="48" t="s">
        <v>937</v>
      </c>
      <c r="G2617" s="48" t="s">
        <v>938</v>
      </c>
      <c r="H2617" s="47" t="s">
        <v>939</v>
      </c>
      <c r="I2617" s="47" t="s">
        <v>940</v>
      </c>
      <c r="J2617" s="47" t="s">
        <v>26</v>
      </c>
    </row>
    <row r="2618" ht="54" customHeight="1" spans="1:10">
      <c r="A2618" s="48" t="s">
        <v>823</v>
      </c>
      <c r="B2618" s="48" t="s">
        <v>4040</v>
      </c>
      <c r="C2618" s="47" t="s">
        <v>1421</v>
      </c>
      <c r="D2618" s="48" t="s">
        <v>1422</v>
      </c>
      <c r="E2618" s="48" t="s">
        <v>1423</v>
      </c>
      <c r="F2618" s="48" t="s">
        <v>1424</v>
      </c>
      <c r="G2618" s="48" t="s">
        <v>1423</v>
      </c>
      <c r="H2618" s="47" t="s">
        <v>1425</v>
      </c>
      <c r="I2618" s="47" t="s">
        <v>1426</v>
      </c>
      <c r="J2618" s="47" t="s">
        <v>26</v>
      </c>
    </row>
    <row r="2619" ht="54" customHeight="1" spans="1:10">
      <c r="A2619" s="48" t="s">
        <v>823</v>
      </c>
      <c r="B2619" s="48" t="s">
        <v>4041</v>
      </c>
      <c r="C2619" s="47" t="s">
        <v>1000</v>
      </c>
      <c r="D2619" s="48" t="s">
        <v>1001</v>
      </c>
      <c r="E2619" s="48" t="s">
        <v>1002</v>
      </c>
      <c r="F2619" s="48" t="s">
        <v>1003</v>
      </c>
      <c r="G2619" s="48" t="s">
        <v>1004</v>
      </c>
      <c r="H2619" s="47" t="s">
        <v>1005</v>
      </c>
      <c r="I2619" s="47" t="s">
        <v>1006</v>
      </c>
      <c r="J2619" s="47" t="s">
        <v>26</v>
      </c>
    </row>
    <row r="2620" ht="54" customHeight="1" spans="1:10">
      <c r="A2620" s="48" t="s">
        <v>823</v>
      </c>
      <c r="B2620" s="48" t="s">
        <v>4042</v>
      </c>
      <c r="C2620" s="47" t="s">
        <v>1480</v>
      </c>
      <c r="D2620" s="48" t="s">
        <v>1001</v>
      </c>
      <c r="E2620" s="48" t="s">
        <v>1002</v>
      </c>
      <c r="F2620" s="48" t="s">
        <v>1481</v>
      </c>
      <c r="G2620" s="48" t="s">
        <v>1482</v>
      </c>
      <c r="H2620" s="47" t="s">
        <v>1483</v>
      </c>
      <c r="I2620" s="47" t="s">
        <v>1484</v>
      </c>
      <c r="J2620" s="47" t="s">
        <v>26</v>
      </c>
    </row>
    <row r="2621" ht="54" customHeight="1" spans="1:10">
      <c r="A2621" s="48" t="s">
        <v>823</v>
      </c>
      <c r="B2621" s="48" t="s">
        <v>4043</v>
      </c>
      <c r="C2621" s="47" t="s">
        <v>1097</v>
      </c>
      <c r="D2621" s="48" t="s">
        <v>1098</v>
      </c>
      <c r="E2621" s="48" t="s">
        <v>1099</v>
      </c>
      <c r="F2621" s="48" t="s">
        <v>1100</v>
      </c>
      <c r="G2621" s="48" t="s">
        <v>1101</v>
      </c>
      <c r="H2621" s="47" t="s">
        <v>1102</v>
      </c>
      <c r="I2621" s="47" t="s">
        <v>1103</v>
      </c>
      <c r="J2621" s="47" t="s">
        <v>26</v>
      </c>
    </row>
    <row r="2622" ht="54" customHeight="1" spans="1:10">
      <c r="A2622" s="48" t="s">
        <v>825</v>
      </c>
      <c r="B2622" s="48" t="s">
        <v>4044</v>
      </c>
      <c r="C2622" s="47" t="s">
        <v>1975</v>
      </c>
      <c r="D2622" s="48" t="s">
        <v>1009</v>
      </c>
      <c r="E2622" s="48" t="s">
        <v>1010</v>
      </c>
      <c r="F2622" s="48" t="s">
        <v>1976</v>
      </c>
      <c r="G2622" s="48" t="s">
        <v>1977</v>
      </c>
      <c r="H2622" s="47" t="s">
        <v>1978</v>
      </c>
      <c r="I2622" s="47" t="s">
        <v>1979</v>
      </c>
      <c r="J2622" s="47" t="s">
        <v>26</v>
      </c>
    </row>
    <row r="2623" ht="54" customHeight="1" spans="1:10">
      <c r="A2623" s="48" t="s">
        <v>825</v>
      </c>
      <c r="B2623" s="48" t="s">
        <v>4045</v>
      </c>
      <c r="C2623" s="47" t="s">
        <v>1421</v>
      </c>
      <c r="D2623" s="48" t="s">
        <v>1422</v>
      </c>
      <c r="E2623" s="48" t="s">
        <v>1423</v>
      </c>
      <c r="F2623" s="48" t="s">
        <v>1424</v>
      </c>
      <c r="G2623" s="48" t="s">
        <v>1423</v>
      </c>
      <c r="H2623" s="47" t="s">
        <v>1425</v>
      </c>
      <c r="I2623" s="47" t="s">
        <v>1426</v>
      </c>
      <c r="J2623" s="47" t="s">
        <v>26</v>
      </c>
    </row>
    <row r="2624" ht="54" customHeight="1" spans="1:10">
      <c r="A2624" s="48" t="s">
        <v>825</v>
      </c>
      <c r="B2624" s="48" t="s">
        <v>4046</v>
      </c>
      <c r="C2624" s="47" t="s">
        <v>1000</v>
      </c>
      <c r="D2624" s="48" t="s">
        <v>1001</v>
      </c>
      <c r="E2624" s="48" t="s">
        <v>1002</v>
      </c>
      <c r="F2624" s="48" t="s">
        <v>1003</v>
      </c>
      <c r="G2624" s="48" t="s">
        <v>1004</v>
      </c>
      <c r="H2624" s="47" t="s">
        <v>1005</v>
      </c>
      <c r="I2624" s="47" t="s">
        <v>1006</v>
      </c>
      <c r="J2624" s="47" t="s">
        <v>26</v>
      </c>
    </row>
    <row r="2625" ht="54" customHeight="1" spans="1:10">
      <c r="A2625" s="48" t="s">
        <v>825</v>
      </c>
      <c r="B2625" s="48" t="s">
        <v>4047</v>
      </c>
      <c r="C2625" s="47" t="s">
        <v>1480</v>
      </c>
      <c r="D2625" s="48" t="s">
        <v>1001</v>
      </c>
      <c r="E2625" s="48" t="s">
        <v>1002</v>
      </c>
      <c r="F2625" s="48" t="s">
        <v>1481</v>
      </c>
      <c r="G2625" s="48" t="s">
        <v>1482</v>
      </c>
      <c r="H2625" s="47" t="s">
        <v>1483</v>
      </c>
      <c r="I2625" s="47" t="s">
        <v>1484</v>
      </c>
      <c r="J2625" s="47" t="s">
        <v>26</v>
      </c>
    </row>
    <row r="2626" ht="54" customHeight="1" spans="1:10">
      <c r="A2626" s="48" t="s">
        <v>825</v>
      </c>
      <c r="B2626" s="48" t="s">
        <v>4048</v>
      </c>
      <c r="C2626" s="47" t="s">
        <v>1111</v>
      </c>
      <c r="D2626" s="48" t="s">
        <v>965</v>
      </c>
      <c r="E2626" s="48" t="s">
        <v>966</v>
      </c>
      <c r="F2626" s="48" t="s">
        <v>1112</v>
      </c>
      <c r="G2626" s="48" t="s">
        <v>1113</v>
      </c>
      <c r="H2626" s="47" t="s">
        <v>1114</v>
      </c>
      <c r="I2626" s="47" t="s">
        <v>1115</v>
      </c>
      <c r="J2626" s="47" t="s">
        <v>26</v>
      </c>
    </row>
    <row r="2627" ht="54" customHeight="1" spans="1:10">
      <c r="A2627" s="48" t="s">
        <v>825</v>
      </c>
      <c r="B2627" s="48" t="s">
        <v>4049</v>
      </c>
      <c r="C2627" s="47" t="s">
        <v>1131</v>
      </c>
      <c r="D2627" s="48" t="s">
        <v>993</v>
      </c>
      <c r="E2627" s="48" t="s">
        <v>994</v>
      </c>
      <c r="F2627" s="48" t="s">
        <v>1132</v>
      </c>
      <c r="G2627" s="48" t="s">
        <v>1133</v>
      </c>
      <c r="H2627" s="47" t="s">
        <v>1134</v>
      </c>
      <c r="I2627" s="47" t="s">
        <v>1135</v>
      </c>
      <c r="J2627" s="47" t="s">
        <v>26</v>
      </c>
    </row>
    <row r="2628" ht="54" customHeight="1" spans="1:10">
      <c r="A2628" s="48" t="s">
        <v>825</v>
      </c>
      <c r="B2628" s="48" t="s">
        <v>4050</v>
      </c>
      <c r="C2628" s="47" t="s">
        <v>971</v>
      </c>
      <c r="D2628" s="48" t="s">
        <v>965</v>
      </c>
      <c r="E2628" s="48" t="s">
        <v>966</v>
      </c>
      <c r="F2628" s="48" t="s">
        <v>972</v>
      </c>
      <c r="G2628" s="48" t="s">
        <v>973</v>
      </c>
      <c r="H2628" s="47" t="s">
        <v>974</v>
      </c>
      <c r="I2628" s="47" t="s">
        <v>975</v>
      </c>
      <c r="J2628" s="47" t="s">
        <v>26</v>
      </c>
    </row>
    <row r="2629" ht="54" customHeight="1" spans="1:10">
      <c r="A2629" s="48" t="s">
        <v>825</v>
      </c>
      <c r="B2629" s="48" t="s">
        <v>4051</v>
      </c>
      <c r="C2629" s="47" t="s">
        <v>1164</v>
      </c>
      <c r="D2629" s="48" t="s">
        <v>978</v>
      </c>
      <c r="E2629" s="48" t="s">
        <v>979</v>
      </c>
      <c r="F2629" s="48" t="s">
        <v>1165</v>
      </c>
      <c r="G2629" s="48" t="s">
        <v>1166</v>
      </c>
      <c r="H2629" s="47" t="s">
        <v>1167</v>
      </c>
      <c r="I2629" s="47" t="s">
        <v>1168</v>
      </c>
      <c r="J2629" s="47" t="s">
        <v>26</v>
      </c>
    </row>
    <row r="2630" ht="54" customHeight="1" spans="1:10">
      <c r="A2630" s="48" t="s">
        <v>827</v>
      </c>
      <c r="B2630" s="48" t="s">
        <v>4052</v>
      </c>
      <c r="C2630" s="47" t="s">
        <v>1297</v>
      </c>
      <c r="D2630" s="48" t="s">
        <v>1009</v>
      </c>
      <c r="E2630" s="48" t="s">
        <v>1010</v>
      </c>
      <c r="F2630" s="48" t="s">
        <v>1298</v>
      </c>
      <c r="G2630" s="48" t="s">
        <v>1299</v>
      </c>
      <c r="H2630" s="47" t="s">
        <v>1300</v>
      </c>
      <c r="I2630" s="47" t="s">
        <v>1301</v>
      </c>
      <c r="J2630" s="47" t="s">
        <v>29</v>
      </c>
    </row>
    <row r="2631" ht="54" customHeight="1" spans="1:10">
      <c r="A2631" s="48" t="s">
        <v>827</v>
      </c>
      <c r="B2631" s="48" t="s">
        <v>4053</v>
      </c>
      <c r="C2631" s="47" t="s">
        <v>1097</v>
      </c>
      <c r="D2631" s="48" t="s">
        <v>1098</v>
      </c>
      <c r="E2631" s="48" t="s">
        <v>1099</v>
      </c>
      <c r="F2631" s="48" t="s">
        <v>1100</v>
      </c>
      <c r="G2631" s="48" t="s">
        <v>1101</v>
      </c>
      <c r="H2631" s="47" t="s">
        <v>1102</v>
      </c>
      <c r="I2631" s="47" t="s">
        <v>1103</v>
      </c>
      <c r="J2631" s="47" t="s">
        <v>29</v>
      </c>
    </row>
    <row r="2632" ht="54" customHeight="1" spans="1:10">
      <c r="A2632" s="48" t="s">
        <v>827</v>
      </c>
      <c r="B2632" s="48" t="s">
        <v>4054</v>
      </c>
      <c r="C2632" s="47" t="s">
        <v>1252</v>
      </c>
      <c r="D2632" s="48" t="s">
        <v>1001</v>
      </c>
      <c r="E2632" s="48" t="s">
        <v>1002</v>
      </c>
      <c r="F2632" s="48" t="s">
        <v>1253</v>
      </c>
      <c r="G2632" s="48" t="s">
        <v>1254</v>
      </c>
      <c r="H2632" s="47" t="s">
        <v>1255</v>
      </c>
      <c r="I2632" s="47" t="s">
        <v>1256</v>
      </c>
      <c r="J2632" s="47" t="s">
        <v>29</v>
      </c>
    </row>
    <row r="2633" ht="54" customHeight="1" spans="1:10">
      <c r="A2633" s="48" t="s">
        <v>827</v>
      </c>
      <c r="B2633" s="48" t="s">
        <v>4055</v>
      </c>
      <c r="C2633" s="47" t="s">
        <v>1111</v>
      </c>
      <c r="D2633" s="48" t="s">
        <v>965</v>
      </c>
      <c r="E2633" s="48" t="s">
        <v>966</v>
      </c>
      <c r="F2633" s="48" t="s">
        <v>1112</v>
      </c>
      <c r="G2633" s="48" t="s">
        <v>1113</v>
      </c>
      <c r="H2633" s="47" t="s">
        <v>1114</v>
      </c>
      <c r="I2633" s="47" t="s">
        <v>1115</v>
      </c>
      <c r="J2633" s="47" t="s">
        <v>29</v>
      </c>
    </row>
    <row r="2634" ht="54" customHeight="1" spans="1:10">
      <c r="A2634" s="48" t="s">
        <v>827</v>
      </c>
      <c r="B2634" s="48" t="s">
        <v>4056</v>
      </c>
      <c r="C2634" s="47" t="s">
        <v>1285</v>
      </c>
      <c r="D2634" s="48" t="s">
        <v>965</v>
      </c>
      <c r="E2634" s="48" t="s">
        <v>966</v>
      </c>
      <c r="F2634" s="48" t="s">
        <v>1286</v>
      </c>
      <c r="G2634" s="48" t="s">
        <v>1287</v>
      </c>
      <c r="H2634" s="47" t="s">
        <v>1288</v>
      </c>
      <c r="I2634" s="47" t="s">
        <v>1289</v>
      </c>
      <c r="J2634" s="47" t="s">
        <v>29</v>
      </c>
    </row>
    <row r="2635" ht="54" customHeight="1" spans="1:10">
      <c r="A2635" s="48" t="s">
        <v>827</v>
      </c>
      <c r="B2635" s="48" t="s">
        <v>4057</v>
      </c>
      <c r="C2635" s="47" t="s">
        <v>1137</v>
      </c>
      <c r="D2635" s="48" t="s">
        <v>1138</v>
      </c>
      <c r="E2635" s="48" t="s">
        <v>1139</v>
      </c>
      <c r="F2635" s="48" t="s">
        <v>1140</v>
      </c>
      <c r="G2635" s="48" t="s">
        <v>1141</v>
      </c>
      <c r="H2635" s="47" t="s">
        <v>1142</v>
      </c>
      <c r="I2635" s="47" t="s">
        <v>940</v>
      </c>
      <c r="J2635" s="47" t="s">
        <v>29</v>
      </c>
    </row>
    <row r="2636" ht="54" customHeight="1" spans="1:10">
      <c r="A2636" s="48" t="s">
        <v>827</v>
      </c>
      <c r="B2636" s="48" t="s">
        <v>4058</v>
      </c>
      <c r="C2636" s="47" t="s">
        <v>971</v>
      </c>
      <c r="D2636" s="48" t="s">
        <v>965</v>
      </c>
      <c r="E2636" s="48" t="s">
        <v>966</v>
      </c>
      <c r="F2636" s="48" t="s">
        <v>972</v>
      </c>
      <c r="G2636" s="48" t="s">
        <v>973</v>
      </c>
      <c r="H2636" s="47" t="s">
        <v>974</v>
      </c>
      <c r="I2636" s="47" t="s">
        <v>975</v>
      </c>
      <c r="J2636" s="47" t="s">
        <v>29</v>
      </c>
    </row>
    <row r="2637" ht="54" customHeight="1" spans="1:10">
      <c r="A2637" s="48" t="s">
        <v>827</v>
      </c>
      <c r="B2637" s="48" t="s">
        <v>4059</v>
      </c>
      <c r="C2637" s="47" t="s">
        <v>1291</v>
      </c>
      <c r="D2637" s="48" t="s">
        <v>965</v>
      </c>
      <c r="E2637" s="48" t="s">
        <v>966</v>
      </c>
      <c r="F2637" s="48" t="s">
        <v>1292</v>
      </c>
      <c r="G2637" s="48" t="s">
        <v>1293</v>
      </c>
      <c r="H2637" s="47" t="s">
        <v>1294</v>
      </c>
      <c r="I2637" s="47" t="s">
        <v>1295</v>
      </c>
      <c r="J2637" s="47" t="s">
        <v>29</v>
      </c>
    </row>
    <row r="2638" ht="54" customHeight="1" spans="1:10">
      <c r="A2638" s="48" t="s">
        <v>827</v>
      </c>
      <c r="B2638" s="48" t="s">
        <v>4060</v>
      </c>
      <c r="C2638" s="47" t="s">
        <v>1211</v>
      </c>
      <c r="D2638" s="48" t="s">
        <v>965</v>
      </c>
      <c r="E2638" s="48" t="s">
        <v>966</v>
      </c>
      <c r="F2638" s="48" t="s">
        <v>1212</v>
      </c>
      <c r="G2638" s="48" t="s">
        <v>1213</v>
      </c>
      <c r="H2638" s="47" t="s">
        <v>1214</v>
      </c>
      <c r="I2638" s="47" t="s">
        <v>940</v>
      </c>
      <c r="J2638" s="47" t="s">
        <v>29</v>
      </c>
    </row>
    <row r="2639" ht="54" customHeight="1" spans="1:10">
      <c r="A2639" s="48" t="s">
        <v>827</v>
      </c>
      <c r="B2639" s="48" t="s">
        <v>4061</v>
      </c>
      <c r="C2639" s="47" t="s">
        <v>1164</v>
      </c>
      <c r="D2639" s="48" t="s">
        <v>978</v>
      </c>
      <c r="E2639" s="48" t="s">
        <v>979</v>
      </c>
      <c r="F2639" s="48" t="s">
        <v>1165</v>
      </c>
      <c r="G2639" s="48" t="s">
        <v>1166</v>
      </c>
      <c r="H2639" s="47" t="s">
        <v>1167</v>
      </c>
      <c r="I2639" s="47" t="s">
        <v>1168</v>
      </c>
      <c r="J2639" s="47" t="s">
        <v>29</v>
      </c>
    </row>
    <row r="2640" ht="54" customHeight="1" spans="1:10">
      <c r="A2640" s="48" t="s">
        <v>829</v>
      </c>
      <c r="B2640" s="48" t="s">
        <v>4062</v>
      </c>
      <c r="C2640" s="47" t="s">
        <v>1008</v>
      </c>
      <c r="D2640" s="48" t="s">
        <v>1009</v>
      </c>
      <c r="E2640" s="48" t="s">
        <v>1010</v>
      </c>
      <c r="F2640" s="48" t="s">
        <v>1011</v>
      </c>
      <c r="G2640" s="48" t="s">
        <v>1012</v>
      </c>
      <c r="H2640" s="47" t="s">
        <v>1013</v>
      </c>
      <c r="I2640" s="47" t="s">
        <v>1014</v>
      </c>
      <c r="J2640" s="47" t="s">
        <v>26</v>
      </c>
    </row>
    <row r="2641" ht="54" customHeight="1" spans="1:10">
      <c r="A2641" s="48" t="s">
        <v>829</v>
      </c>
      <c r="B2641" s="48" t="s">
        <v>4063</v>
      </c>
      <c r="C2641" s="47" t="s">
        <v>971</v>
      </c>
      <c r="D2641" s="48" t="s">
        <v>965</v>
      </c>
      <c r="E2641" s="48" t="s">
        <v>966</v>
      </c>
      <c r="F2641" s="48" t="s">
        <v>972</v>
      </c>
      <c r="G2641" s="48" t="s">
        <v>973</v>
      </c>
      <c r="H2641" s="47" t="s">
        <v>974</v>
      </c>
      <c r="I2641" s="47" t="s">
        <v>975</v>
      </c>
      <c r="J2641" s="47" t="s">
        <v>26</v>
      </c>
    </row>
    <row r="2642" ht="54" customHeight="1" spans="1:10">
      <c r="A2642" s="48" t="s">
        <v>831</v>
      </c>
      <c r="B2642" s="48" t="s">
        <v>4064</v>
      </c>
      <c r="C2642" s="47" t="s">
        <v>1589</v>
      </c>
      <c r="D2642" s="48" t="s">
        <v>943</v>
      </c>
      <c r="E2642" s="48" t="s">
        <v>944</v>
      </c>
      <c r="F2642" s="48" t="s">
        <v>1590</v>
      </c>
      <c r="G2642" s="48" t="s">
        <v>1591</v>
      </c>
      <c r="H2642" s="47" t="s">
        <v>1592</v>
      </c>
      <c r="I2642" s="47" t="s">
        <v>1593</v>
      </c>
      <c r="J2642" s="47" t="s">
        <v>26</v>
      </c>
    </row>
    <row r="2643" ht="54" customHeight="1" spans="1:10">
      <c r="A2643" s="48" t="s">
        <v>831</v>
      </c>
      <c r="B2643" s="48" t="s">
        <v>4065</v>
      </c>
      <c r="C2643" s="47" t="s">
        <v>1097</v>
      </c>
      <c r="D2643" s="48" t="s">
        <v>1098</v>
      </c>
      <c r="E2643" s="48" t="s">
        <v>1099</v>
      </c>
      <c r="F2643" s="48" t="s">
        <v>1100</v>
      </c>
      <c r="G2643" s="48" t="s">
        <v>1101</v>
      </c>
      <c r="H2643" s="47" t="s">
        <v>1102</v>
      </c>
      <c r="I2643" s="47" t="s">
        <v>1103</v>
      </c>
      <c r="J2643" s="47" t="s">
        <v>26</v>
      </c>
    </row>
    <row r="2644" ht="54" customHeight="1" spans="1:10">
      <c r="A2644" s="48" t="s">
        <v>831</v>
      </c>
      <c r="B2644" s="48" t="s">
        <v>4066</v>
      </c>
      <c r="C2644" s="47" t="s">
        <v>971</v>
      </c>
      <c r="D2644" s="48" t="s">
        <v>965</v>
      </c>
      <c r="E2644" s="48" t="s">
        <v>966</v>
      </c>
      <c r="F2644" s="48" t="s">
        <v>972</v>
      </c>
      <c r="G2644" s="48" t="s">
        <v>973</v>
      </c>
      <c r="H2644" s="47" t="s">
        <v>974</v>
      </c>
      <c r="I2644" s="47" t="s">
        <v>975</v>
      </c>
      <c r="J2644" s="47" t="s">
        <v>26</v>
      </c>
    </row>
    <row r="2645" ht="54" customHeight="1" spans="1:10">
      <c r="A2645" s="48" t="s">
        <v>831</v>
      </c>
      <c r="B2645" s="48" t="s">
        <v>4067</v>
      </c>
      <c r="C2645" s="47" t="s">
        <v>977</v>
      </c>
      <c r="D2645" s="48" t="s">
        <v>978</v>
      </c>
      <c r="E2645" s="48" t="s">
        <v>979</v>
      </c>
      <c r="F2645" s="48" t="s">
        <v>980</v>
      </c>
      <c r="G2645" s="48" t="s">
        <v>981</v>
      </c>
      <c r="H2645" s="47" t="s">
        <v>982</v>
      </c>
      <c r="I2645" s="47" t="s">
        <v>983</v>
      </c>
      <c r="J2645" s="47" t="s">
        <v>26</v>
      </c>
    </row>
    <row r="2646" ht="54" customHeight="1" spans="1:10">
      <c r="A2646" s="48" t="s">
        <v>833</v>
      </c>
      <c r="B2646" s="48" t="s">
        <v>4068</v>
      </c>
      <c r="C2646" s="47" t="s">
        <v>1008</v>
      </c>
      <c r="D2646" s="48" t="s">
        <v>1009</v>
      </c>
      <c r="E2646" s="48" t="s">
        <v>1010</v>
      </c>
      <c r="F2646" s="48" t="s">
        <v>1011</v>
      </c>
      <c r="G2646" s="48" t="s">
        <v>1012</v>
      </c>
      <c r="H2646" s="47" t="s">
        <v>1013</v>
      </c>
      <c r="I2646" s="47" t="s">
        <v>1014</v>
      </c>
      <c r="J2646" s="47" t="s">
        <v>26</v>
      </c>
    </row>
    <row r="2647" ht="54" customHeight="1" spans="1:10">
      <c r="A2647" s="48" t="s">
        <v>833</v>
      </c>
      <c r="B2647" s="48" t="s">
        <v>4069</v>
      </c>
      <c r="C2647" s="47" t="s">
        <v>1097</v>
      </c>
      <c r="D2647" s="48" t="s">
        <v>1098</v>
      </c>
      <c r="E2647" s="48" t="s">
        <v>1099</v>
      </c>
      <c r="F2647" s="48" t="s">
        <v>1100</v>
      </c>
      <c r="G2647" s="48" t="s">
        <v>1101</v>
      </c>
      <c r="H2647" s="47" t="s">
        <v>1102</v>
      </c>
      <c r="I2647" s="47" t="s">
        <v>1103</v>
      </c>
      <c r="J2647" s="47" t="s">
        <v>26</v>
      </c>
    </row>
    <row r="2648" ht="54" customHeight="1" spans="1:10">
      <c r="A2648" s="48" t="s">
        <v>833</v>
      </c>
      <c r="B2648" s="48" t="s">
        <v>4070</v>
      </c>
      <c r="C2648" s="47" t="s">
        <v>971</v>
      </c>
      <c r="D2648" s="48" t="s">
        <v>965</v>
      </c>
      <c r="E2648" s="48" t="s">
        <v>966</v>
      </c>
      <c r="F2648" s="48" t="s">
        <v>972</v>
      </c>
      <c r="G2648" s="48" t="s">
        <v>973</v>
      </c>
      <c r="H2648" s="47" t="s">
        <v>974</v>
      </c>
      <c r="I2648" s="47" t="s">
        <v>975</v>
      </c>
      <c r="J2648" s="47" t="s">
        <v>26</v>
      </c>
    </row>
    <row r="2649" ht="54" customHeight="1" spans="1:10">
      <c r="A2649" s="48" t="s">
        <v>835</v>
      </c>
      <c r="B2649" s="48" t="s">
        <v>4071</v>
      </c>
      <c r="C2649" s="47" t="s">
        <v>1516</v>
      </c>
      <c r="D2649" s="48" t="s">
        <v>1073</v>
      </c>
      <c r="E2649" s="48" t="s">
        <v>1074</v>
      </c>
      <c r="F2649" s="48" t="s">
        <v>1517</v>
      </c>
      <c r="G2649" s="48" t="s">
        <v>1518</v>
      </c>
      <c r="H2649" s="47" t="s">
        <v>1519</v>
      </c>
      <c r="I2649" s="47" t="s">
        <v>1520</v>
      </c>
      <c r="J2649" s="47" t="s">
        <v>26</v>
      </c>
    </row>
    <row r="2650" ht="54" customHeight="1" spans="1:10">
      <c r="A2650" s="48" t="s">
        <v>835</v>
      </c>
      <c r="B2650" s="48" t="s">
        <v>4072</v>
      </c>
      <c r="C2650" s="47" t="s">
        <v>1767</v>
      </c>
      <c r="D2650" s="48" t="s">
        <v>957</v>
      </c>
      <c r="E2650" s="48" t="s">
        <v>958</v>
      </c>
      <c r="F2650" s="48" t="s">
        <v>1768</v>
      </c>
      <c r="G2650" s="48" t="s">
        <v>1769</v>
      </c>
      <c r="H2650" s="47" t="s">
        <v>1770</v>
      </c>
      <c r="I2650" s="47" t="s">
        <v>1771</v>
      </c>
      <c r="J2650" s="47" t="s">
        <v>26</v>
      </c>
    </row>
    <row r="2651" ht="54" customHeight="1" spans="1:10">
      <c r="A2651" s="48" t="s">
        <v>835</v>
      </c>
      <c r="B2651" s="48" t="s">
        <v>4073</v>
      </c>
      <c r="C2651" s="47" t="s">
        <v>1097</v>
      </c>
      <c r="D2651" s="48" t="s">
        <v>1098</v>
      </c>
      <c r="E2651" s="48" t="s">
        <v>1099</v>
      </c>
      <c r="F2651" s="48" t="s">
        <v>1100</v>
      </c>
      <c r="G2651" s="48" t="s">
        <v>1101</v>
      </c>
      <c r="H2651" s="47" t="s">
        <v>1102</v>
      </c>
      <c r="I2651" s="47" t="s">
        <v>1103</v>
      </c>
      <c r="J2651" s="47" t="s">
        <v>26</v>
      </c>
    </row>
    <row r="2652" ht="54" customHeight="1" spans="1:10">
      <c r="A2652" s="48" t="s">
        <v>835</v>
      </c>
      <c r="B2652" s="48" t="s">
        <v>4074</v>
      </c>
      <c r="C2652" s="47" t="s">
        <v>1137</v>
      </c>
      <c r="D2652" s="48" t="s">
        <v>1138</v>
      </c>
      <c r="E2652" s="48" t="s">
        <v>1139</v>
      </c>
      <c r="F2652" s="48" t="s">
        <v>1140</v>
      </c>
      <c r="G2652" s="48" t="s">
        <v>1141</v>
      </c>
      <c r="H2652" s="47" t="s">
        <v>1142</v>
      </c>
      <c r="I2652" s="47" t="s">
        <v>940</v>
      </c>
      <c r="J2652" s="47" t="s">
        <v>26</v>
      </c>
    </row>
    <row r="2653" ht="54" customHeight="1" spans="1:10">
      <c r="A2653" s="48" t="s">
        <v>835</v>
      </c>
      <c r="B2653" s="48" t="s">
        <v>4075</v>
      </c>
      <c r="C2653" s="47" t="s">
        <v>2004</v>
      </c>
      <c r="D2653" s="48" t="s">
        <v>1171</v>
      </c>
      <c r="E2653" s="48" t="s">
        <v>1172</v>
      </c>
      <c r="F2653" s="48" t="s">
        <v>2005</v>
      </c>
      <c r="G2653" s="48" t="s">
        <v>2006</v>
      </c>
      <c r="H2653" s="47" t="s">
        <v>2007</v>
      </c>
      <c r="I2653" s="47" t="s">
        <v>1176</v>
      </c>
      <c r="J2653" s="47" t="s">
        <v>26</v>
      </c>
    </row>
    <row r="2654" ht="54" customHeight="1" spans="1:10">
      <c r="A2654" s="48" t="s">
        <v>837</v>
      </c>
      <c r="B2654" s="48" t="s">
        <v>4076</v>
      </c>
      <c r="C2654" s="47" t="s">
        <v>1516</v>
      </c>
      <c r="D2654" s="48" t="s">
        <v>1073</v>
      </c>
      <c r="E2654" s="48" t="s">
        <v>1074</v>
      </c>
      <c r="F2654" s="48" t="s">
        <v>1517</v>
      </c>
      <c r="G2654" s="48" t="s">
        <v>1518</v>
      </c>
      <c r="H2654" s="47" t="s">
        <v>1519</v>
      </c>
      <c r="I2654" s="47" t="s">
        <v>1520</v>
      </c>
      <c r="J2654" s="47" t="s">
        <v>26</v>
      </c>
    </row>
    <row r="2655" ht="54" customHeight="1" spans="1:10">
      <c r="A2655" s="48" t="s">
        <v>837</v>
      </c>
      <c r="B2655" s="48" t="s">
        <v>4077</v>
      </c>
      <c r="C2655" s="47" t="s">
        <v>934</v>
      </c>
      <c r="D2655" s="48" t="s">
        <v>935</v>
      </c>
      <c r="E2655" s="48" t="s">
        <v>936</v>
      </c>
      <c r="F2655" s="48" t="s">
        <v>937</v>
      </c>
      <c r="G2655" s="48" t="s">
        <v>938</v>
      </c>
      <c r="H2655" s="47" t="s">
        <v>939</v>
      </c>
      <c r="I2655" s="47" t="s">
        <v>940</v>
      </c>
      <c r="J2655" s="47" t="s">
        <v>26</v>
      </c>
    </row>
    <row r="2656" ht="54" customHeight="1" spans="1:10">
      <c r="A2656" s="48" t="s">
        <v>837</v>
      </c>
      <c r="B2656" s="48" t="s">
        <v>4078</v>
      </c>
      <c r="C2656" s="47" t="s">
        <v>1421</v>
      </c>
      <c r="D2656" s="48" t="s">
        <v>1422</v>
      </c>
      <c r="E2656" s="48" t="s">
        <v>1423</v>
      </c>
      <c r="F2656" s="48" t="s">
        <v>1424</v>
      </c>
      <c r="G2656" s="48" t="s">
        <v>1423</v>
      </c>
      <c r="H2656" s="47" t="s">
        <v>1425</v>
      </c>
      <c r="I2656" s="47" t="s">
        <v>1426</v>
      </c>
      <c r="J2656" s="47" t="s">
        <v>26</v>
      </c>
    </row>
    <row r="2657" ht="54" customHeight="1" spans="1:10">
      <c r="A2657" s="48" t="s">
        <v>837</v>
      </c>
      <c r="B2657" s="48" t="s">
        <v>4079</v>
      </c>
      <c r="C2657" s="47" t="s">
        <v>1016</v>
      </c>
      <c r="D2657" s="48" t="s">
        <v>935</v>
      </c>
      <c r="E2657" s="48" t="s">
        <v>936</v>
      </c>
      <c r="F2657" s="48" t="s">
        <v>1017</v>
      </c>
      <c r="G2657" s="48" t="s">
        <v>1018</v>
      </c>
      <c r="H2657" s="47" t="s">
        <v>1019</v>
      </c>
      <c r="I2657" s="47" t="s">
        <v>1020</v>
      </c>
      <c r="J2657" s="47" t="s">
        <v>26</v>
      </c>
    </row>
    <row r="2658" ht="54" customHeight="1" spans="1:10">
      <c r="A2658" s="48" t="s">
        <v>837</v>
      </c>
      <c r="B2658" s="48" t="s">
        <v>4080</v>
      </c>
      <c r="C2658" s="47" t="s">
        <v>1052</v>
      </c>
      <c r="D2658" s="48" t="s">
        <v>1009</v>
      </c>
      <c r="E2658" s="48" t="s">
        <v>1010</v>
      </c>
      <c r="F2658" s="48" t="s">
        <v>1053</v>
      </c>
      <c r="G2658" s="48" t="s">
        <v>1054</v>
      </c>
      <c r="H2658" s="47" t="s">
        <v>1055</v>
      </c>
      <c r="I2658" s="47" t="s">
        <v>1056</v>
      </c>
      <c r="J2658" s="47" t="s">
        <v>26</v>
      </c>
    </row>
    <row r="2659" ht="54" customHeight="1" spans="1:10">
      <c r="A2659" s="48" t="s">
        <v>837</v>
      </c>
      <c r="B2659" s="48" t="s">
        <v>4081</v>
      </c>
      <c r="C2659" s="47" t="s">
        <v>1097</v>
      </c>
      <c r="D2659" s="48" t="s">
        <v>1098</v>
      </c>
      <c r="E2659" s="48" t="s">
        <v>1099</v>
      </c>
      <c r="F2659" s="48" t="s">
        <v>1100</v>
      </c>
      <c r="G2659" s="48" t="s">
        <v>1101</v>
      </c>
      <c r="H2659" s="47" t="s">
        <v>1102</v>
      </c>
      <c r="I2659" s="47" t="s">
        <v>1103</v>
      </c>
      <c r="J2659" s="47" t="s">
        <v>26</v>
      </c>
    </row>
    <row r="2660" ht="54" customHeight="1" spans="1:10">
      <c r="A2660" s="48" t="s">
        <v>839</v>
      </c>
      <c r="B2660" s="48" t="s">
        <v>4082</v>
      </c>
      <c r="C2660" s="47" t="s">
        <v>1967</v>
      </c>
      <c r="D2660" s="48" t="s">
        <v>965</v>
      </c>
      <c r="E2660" s="48" t="s">
        <v>966</v>
      </c>
      <c r="F2660" s="48" t="s">
        <v>1968</v>
      </c>
      <c r="G2660" s="48" t="s">
        <v>1969</v>
      </c>
      <c r="H2660" s="47" t="s">
        <v>1970</v>
      </c>
      <c r="I2660" s="47" t="s">
        <v>940</v>
      </c>
      <c r="J2660" s="47" t="s">
        <v>26</v>
      </c>
    </row>
    <row r="2661" ht="54" customHeight="1" spans="1:10">
      <c r="A2661" s="48" t="s">
        <v>839</v>
      </c>
      <c r="B2661" s="48" t="s">
        <v>4083</v>
      </c>
      <c r="C2661" s="47" t="s">
        <v>1164</v>
      </c>
      <c r="D2661" s="48" t="s">
        <v>978</v>
      </c>
      <c r="E2661" s="48" t="s">
        <v>979</v>
      </c>
      <c r="F2661" s="48" t="s">
        <v>1165</v>
      </c>
      <c r="G2661" s="48" t="s">
        <v>1166</v>
      </c>
      <c r="H2661" s="47" t="s">
        <v>1167</v>
      </c>
      <c r="I2661" s="47" t="s">
        <v>1168</v>
      </c>
      <c r="J2661" s="47" t="s">
        <v>26</v>
      </c>
    </row>
    <row r="2662" ht="54" customHeight="1" spans="1:10">
      <c r="A2662" s="48" t="s">
        <v>841</v>
      </c>
      <c r="B2662" s="48" t="s">
        <v>4084</v>
      </c>
      <c r="C2662" s="47" t="s">
        <v>1516</v>
      </c>
      <c r="D2662" s="48" t="s">
        <v>1073</v>
      </c>
      <c r="E2662" s="48" t="s">
        <v>1074</v>
      </c>
      <c r="F2662" s="48" t="s">
        <v>1517</v>
      </c>
      <c r="G2662" s="48" t="s">
        <v>1518</v>
      </c>
      <c r="H2662" s="47" t="s">
        <v>1519</v>
      </c>
      <c r="I2662" s="47" t="s">
        <v>1520</v>
      </c>
      <c r="J2662" s="47" t="s">
        <v>26</v>
      </c>
    </row>
    <row r="2663" ht="54" customHeight="1" spans="1:10">
      <c r="A2663" s="48" t="s">
        <v>841</v>
      </c>
      <c r="B2663" s="48" t="s">
        <v>4085</v>
      </c>
      <c r="C2663" s="47" t="s">
        <v>1016</v>
      </c>
      <c r="D2663" s="48" t="s">
        <v>935</v>
      </c>
      <c r="E2663" s="48" t="s">
        <v>936</v>
      </c>
      <c r="F2663" s="48" t="s">
        <v>1017</v>
      </c>
      <c r="G2663" s="48" t="s">
        <v>1018</v>
      </c>
      <c r="H2663" s="47" t="s">
        <v>1019</v>
      </c>
      <c r="I2663" s="47" t="s">
        <v>1020</v>
      </c>
      <c r="J2663" s="47" t="s">
        <v>26</v>
      </c>
    </row>
    <row r="2664" ht="54" customHeight="1" spans="1:10">
      <c r="A2664" s="48" t="s">
        <v>841</v>
      </c>
      <c r="B2664" s="48" t="s">
        <v>4086</v>
      </c>
      <c r="C2664" s="47" t="s">
        <v>1291</v>
      </c>
      <c r="D2664" s="48" t="s">
        <v>965</v>
      </c>
      <c r="E2664" s="48" t="s">
        <v>966</v>
      </c>
      <c r="F2664" s="48" t="s">
        <v>1292</v>
      </c>
      <c r="G2664" s="48" t="s">
        <v>1293</v>
      </c>
      <c r="H2664" s="47" t="s">
        <v>1294</v>
      </c>
      <c r="I2664" s="47" t="s">
        <v>1295</v>
      </c>
      <c r="J2664" s="47" t="s">
        <v>26</v>
      </c>
    </row>
    <row r="2665" ht="54" customHeight="1" spans="1:10">
      <c r="A2665" s="48" t="s">
        <v>841</v>
      </c>
      <c r="B2665" s="48" t="s">
        <v>4087</v>
      </c>
      <c r="C2665" s="47" t="s">
        <v>1750</v>
      </c>
      <c r="D2665" s="48" t="s">
        <v>965</v>
      </c>
      <c r="E2665" s="48" t="s">
        <v>966</v>
      </c>
      <c r="F2665" s="48" t="s">
        <v>1751</v>
      </c>
      <c r="G2665" s="48" t="s">
        <v>1752</v>
      </c>
      <c r="H2665" s="47" t="s">
        <v>1753</v>
      </c>
      <c r="I2665" s="47" t="s">
        <v>940</v>
      </c>
      <c r="J2665" s="47" t="s">
        <v>26</v>
      </c>
    </row>
    <row r="2666" ht="54" customHeight="1" spans="1:10">
      <c r="A2666" s="48" t="s">
        <v>843</v>
      </c>
      <c r="B2666" s="48" t="s">
        <v>4088</v>
      </c>
      <c r="C2666" s="47" t="s">
        <v>1516</v>
      </c>
      <c r="D2666" s="48" t="s">
        <v>1073</v>
      </c>
      <c r="E2666" s="48" t="s">
        <v>1074</v>
      </c>
      <c r="F2666" s="48" t="s">
        <v>1517</v>
      </c>
      <c r="G2666" s="48" t="s">
        <v>1518</v>
      </c>
      <c r="H2666" s="47" t="s">
        <v>1519</v>
      </c>
      <c r="I2666" s="47" t="s">
        <v>1520</v>
      </c>
      <c r="J2666" s="47" t="s">
        <v>26</v>
      </c>
    </row>
    <row r="2667" ht="54" customHeight="1" spans="1:10">
      <c r="A2667" s="48" t="s">
        <v>843</v>
      </c>
      <c r="B2667" s="48" t="s">
        <v>4089</v>
      </c>
      <c r="C2667" s="47" t="s">
        <v>1337</v>
      </c>
      <c r="D2667" s="48" t="s">
        <v>1009</v>
      </c>
      <c r="E2667" s="48" t="s">
        <v>1010</v>
      </c>
      <c r="F2667" s="48" t="s">
        <v>1338</v>
      </c>
      <c r="G2667" s="48" t="s">
        <v>1339</v>
      </c>
      <c r="H2667" s="47" t="s">
        <v>1340</v>
      </c>
      <c r="I2667" s="47" t="s">
        <v>1341</v>
      </c>
      <c r="J2667" s="47" t="s">
        <v>26</v>
      </c>
    </row>
    <row r="2668" ht="54" customHeight="1" spans="1:10">
      <c r="A2668" s="48" t="s">
        <v>843</v>
      </c>
      <c r="B2668" s="48" t="s">
        <v>4090</v>
      </c>
      <c r="C2668" s="47" t="s">
        <v>1356</v>
      </c>
      <c r="D2668" s="48" t="s">
        <v>1082</v>
      </c>
      <c r="E2668" s="48" t="s">
        <v>1083</v>
      </c>
      <c r="F2668" s="48" t="s">
        <v>1357</v>
      </c>
      <c r="G2668" s="48" t="s">
        <v>1358</v>
      </c>
      <c r="H2668" s="47" t="s">
        <v>1359</v>
      </c>
      <c r="I2668" s="47" t="s">
        <v>1360</v>
      </c>
      <c r="J2668" s="47" t="s">
        <v>26</v>
      </c>
    </row>
    <row r="2669" ht="54" customHeight="1" spans="1:10">
      <c r="A2669" s="48" t="s">
        <v>845</v>
      </c>
      <c r="B2669" s="48" t="s">
        <v>4091</v>
      </c>
      <c r="C2669" s="47" t="s">
        <v>2797</v>
      </c>
      <c r="D2669" s="48" t="s">
        <v>1073</v>
      </c>
      <c r="E2669" s="48" t="s">
        <v>1074</v>
      </c>
      <c r="F2669" s="48" t="s">
        <v>2798</v>
      </c>
      <c r="G2669" s="48" t="s">
        <v>2799</v>
      </c>
      <c r="H2669" s="47" t="s">
        <v>2800</v>
      </c>
      <c r="I2669" s="47" t="s">
        <v>2801</v>
      </c>
      <c r="J2669" s="47" t="s">
        <v>29</v>
      </c>
    </row>
    <row r="2670" ht="54" customHeight="1" spans="1:10">
      <c r="A2670" s="48" t="s">
        <v>845</v>
      </c>
      <c r="B2670" s="48" t="s">
        <v>4092</v>
      </c>
      <c r="C2670" s="47" t="s">
        <v>1000</v>
      </c>
      <c r="D2670" s="48" t="s">
        <v>1001</v>
      </c>
      <c r="E2670" s="48" t="s">
        <v>1002</v>
      </c>
      <c r="F2670" s="48" t="s">
        <v>1003</v>
      </c>
      <c r="G2670" s="48" t="s">
        <v>1004</v>
      </c>
      <c r="H2670" s="47" t="s">
        <v>1005</v>
      </c>
      <c r="I2670" s="47" t="s">
        <v>1006</v>
      </c>
      <c r="J2670" s="47" t="s">
        <v>29</v>
      </c>
    </row>
    <row r="2671" ht="54" customHeight="1" spans="1:10">
      <c r="A2671" s="48" t="s">
        <v>845</v>
      </c>
      <c r="B2671" s="48" t="s">
        <v>4093</v>
      </c>
      <c r="C2671" s="47" t="s">
        <v>1008</v>
      </c>
      <c r="D2671" s="48" t="s">
        <v>1009</v>
      </c>
      <c r="E2671" s="48" t="s">
        <v>1010</v>
      </c>
      <c r="F2671" s="48" t="s">
        <v>1011</v>
      </c>
      <c r="G2671" s="48" t="s">
        <v>1012</v>
      </c>
      <c r="H2671" s="47" t="s">
        <v>1013</v>
      </c>
      <c r="I2671" s="47" t="s">
        <v>1014</v>
      </c>
      <c r="J2671" s="47" t="s">
        <v>29</v>
      </c>
    </row>
    <row r="2672" ht="54" customHeight="1" spans="1:10">
      <c r="A2672" s="48" t="s">
        <v>845</v>
      </c>
      <c r="B2672" s="48" t="s">
        <v>4094</v>
      </c>
      <c r="C2672" s="47" t="s">
        <v>1572</v>
      </c>
      <c r="D2672" s="48" t="s">
        <v>1098</v>
      </c>
      <c r="E2672" s="48" t="s">
        <v>1099</v>
      </c>
      <c r="F2672" s="48" t="s">
        <v>1573</v>
      </c>
      <c r="G2672" s="48" t="s">
        <v>1574</v>
      </c>
      <c r="H2672" s="47" t="s">
        <v>1575</v>
      </c>
      <c r="I2672" s="47" t="s">
        <v>1576</v>
      </c>
      <c r="J2672" s="47" t="s">
        <v>29</v>
      </c>
    </row>
    <row r="2673" ht="54" customHeight="1" spans="1:10">
      <c r="A2673" s="48" t="s">
        <v>845</v>
      </c>
      <c r="B2673" s="48" t="s">
        <v>4095</v>
      </c>
      <c r="C2673" s="47" t="s">
        <v>1022</v>
      </c>
      <c r="D2673" s="48" t="s">
        <v>957</v>
      </c>
      <c r="E2673" s="48" t="s">
        <v>958</v>
      </c>
      <c r="F2673" s="48" t="s">
        <v>1023</v>
      </c>
      <c r="G2673" s="48" t="s">
        <v>1024</v>
      </c>
      <c r="H2673" s="47" t="s">
        <v>1025</v>
      </c>
      <c r="I2673" s="47" t="s">
        <v>1026</v>
      </c>
      <c r="J2673" s="47" t="s">
        <v>29</v>
      </c>
    </row>
    <row r="2674" ht="54" customHeight="1" spans="1:10">
      <c r="A2674" s="48" t="s">
        <v>845</v>
      </c>
      <c r="B2674" s="48" t="s">
        <v>4096</v>
      </c>
      <c r="C2674" s="47" t="s">
        <v>1589</v>
      </c>
      <c r="D2674" s="48" t="s">
        <v>943</v>
      </c>
      <c r="E2674" s="48" t="s">
        <v>944</v>
      </c>
      <c r="F2674" s="48" t="s">
        <v>1590</v>
      </c>
      <c r="G2674" s="48" t="s">
        <v>1591</v>
      </c>
      <c r="H2674" s="47" t="s">
        <v>1592</v>
      </c>
      <c r="I2674" s="47" t="s">
        <v>1593</v>
      </c>
      <c r="J2674" s="47" t="s">
        <v>29</v>
      </c>
    </row>
    <row r="2675" ht="54" customHeight="1" spans="1:10">
      <c r="A2675" s="48" t="s">
        <v>845</v>
      </c>
      <c r="B2675" s="48" t="s">
        <v>4097</v>
      </c>
      <c r="C2675" s="47" t="s">
        <v>1164</v>
      </c>
      <c r="D2675" s="48" t="s">
        <v>978</v>
      </c>
      <c r="E2675" s="48" t="s">
        <v>979</v>
      </c>
      <c r="F2675" s="48" t="s">
        <v>1165</v>
      </c>
      <c r="G2675" s="48" t="s">
        <v>1166</v>
      </c>
      <c r="H2675" s="47" t="s">
        <v>1167</v>
      </c>
      <c r="I2675" s="47" t="s">
        <v>1168</v>
      </c>
      <c r="J2675" s="47" t="s">
        <v>29</v>
      </c>
    </row>
    <row r="2676" ht="54" customHeight="1" spans="1:10">
      <c r="A2676" s="48" t="s">
        <v>845</v>
      </c>
      <c r="B2676" s="48" t="s">
        <v>4098</v>
      </c>
      <c r="C2676" s="47" t="s">
        <v>1245</v>
      </c>
      <c r="D2676" s="48" t="s">
        <v>1171</v>
      </c>
      <c r="E2676" s="48" t="s">
        <v>1172</v>
      </c>
      <c r="F2676" s="48" t="s">
        <v>1246</v>
      </c>
      <c r="G2676" s="48" t="s">
        <v>1247</v>
      </c>
      <c r="H2676" s="47" t="s">
        <v>1248</v>
      </c>
      <c r="I2676" s="47" t="s">
        <v>1176</v>
      </c>
      <c r="J2676" s="47" t="s">
        <v>29</v>
      </c>
    </row>
    <row r="2677" ht="54" customHeight="1" spans="1:10">
      <c r="A2677" s="48" t="s">
        <v>847</v>
      </c>
      <c r="B2677" s="48" t="s">
        <v>4099</v>
      </c>
      <c r="C2677" s="47" t="s">
        <v>2797</v>
      </c>
      <c r="D2677" s="48" t="s">
        <v>1073</v>
      </c>
      <c r="E2677" s="48" t="s">
        <v>1074</v>
      </c>
      <c r="F2677" s="48" t="s">
        <v>2798</v>
      </c>
      <c r="G2677" s="48" t="s">
        <v>2799</v>
      </c>
      <c r="H2677" s="47" t="s">
        <v>2800</v>
      </c>
      <c r="I2677" s="47" t="s">
        <v>2801</v>
      </c>
      <c r="J2677" s="47" t="s">
        <v>26</v>
      </c>
    </row>
    <row r="2678" ht="54" customHeight="1" spans="1:10">
      <c r="A2678" s="48" t="s">
        <v>847</v>
      </c>
      <c r="B2678" s="48" t="s">
        <v>4100</v>
      </c>
      <c r="C2678" s="47" t="s">
        <v>934</v>
      </c>
      <c r="D2678" s="48" t="s">
        <v>935</v>
      </c>
      <c r="E2678" s="48" t="s">
        <v>936</v>
      </c>
      <c r="F2678" s="48" t="s">
        <v>937</v>
      </c>
      <c r="G2678" s="48" t="s">
        <v>938</v>
      </c>
      <c r="H2678" s="47" t="s">
        <v>939</v>
      </c>
      <c r="I2678" s="47" t="s">
        <v>940</v>
      </c>
      <c r="J2678" s="47" t="s">
        <v>26</v>
      </c>
    </row>
    <row r="2679" ht="54" customHeight="1" spans="1:10">
      <c r="A2679" s="48" t="s">
        <v>847</v>
      </c>
      <c r="B2679" s="48" t="s">
        <v>4101</v>
      </c>
      <c r="C2679" s="47" t="s">
        <v>942</v>
      </c>
      <c r="D2679" s="48" t="s">
        <v>943</v>
      </c>
      <c r="E2679" s="48" t="s">
        <v>944</v>
      </c>
      <c r="F2679" s="48" t="s">
        <v>945</v>
      </c>
      <c r="G2679" s="48" t="s">
        <v>946</v>
      </c>
      <c r="H2679" s="47" t="s">
        <v>947</v>
      </c>
      <c r="I2679" s="47" t="s">
        <v>948</v>
      </c>
      <c r="J2679" s="47" t="s">
        <v>26</v>
      </c>
    </row>
    <row r="2680" ht="54" customHeight="1" spans="1:10">
      <c r="A2680" s="48" t="s">
        <v>847</v>
      </c>
      <c r="B2680" s="48" t="s">
        <v>4102</v>
      </c>
      <c r="C2680" s="47" t="s">
        <v>971</v>
      </c>
      <c r="D2680" s="48" t="s">
        <v>965</v>
      </c>
      <c r="E2680" s="48" t="s">
        <v>966</v>
      </c>
      <c r="F2680" s="48" t="s">
        <v>972</v>
      </c>
      <c r="G2680" s="48" t="s">
        <v>973</v>
      </c>
      <c r="H2680" s="47" t="s">
        <v>974</v>
      </c>
      <c r="I2680" s="47" t="s">
        <v>975</v>
      </c>
      <c r="J2680" s="47" t="s">
        <v>26</v>
      </c>
    </row>
    <row r="2681" ht="54" customHeight="1" spans="1:10">
      <c r="A2681" s="48" t="s">
        <v>847</v>
      </c>
      <c r="B2681" s="48" t="s">
        <v>4103</v>
      </c>
      <c r="C2681" s="47" t="s">
        <v>1313</v>
      </c>
      <c r="D2681" s="48" t="s">
        <v>1037</v>
      </c>
      <c r="E2681" s="48" t="s">
        <v>1038</v>
      </c>
      <c r="F2681" s="48" t="s">
        <v>1314</v>
      </c>
      <c r="G2681" s="48" t="s">
        <v>1315</v>
      </c>
      <c r="H2681" s="47" t="s">
        <v>1316</v>
      </c>
      <c r="I2681" s="47" t="s">
        <v>1317</v>
      </c>
      <c r="J2681" s="47" t="s">
        <v>26</v>
      </c>
    </row>
    <row r="2682" ht="54" customHeight="1" spans="1:10">
      <c r="A2682" s="48" t="s">
        <v>847</v>
      </c>
      <c r="B2682" s="48" t="s">
        <v>4104</v>
      </c>
      <c r="C2682" s="47" t="s">
        <v>1145</v>
      </c>
      <c r="D2682" s="48" t="s">
        <v>1146</v>
      </c>
      <c r="E2682" s="48" t="s">
        <v>1147</v>
      </c>
      <c r="F2682" s="48" t="s">
        <v>1148</v>
      </c>
      <c r="G2682" s="48" t="s">
        <v>1149</v>
      </c>
      <c r="H2682" s="47" t="s">
        <v>1150</v>
      </c>
      <c r="I2682" s="47" t="s">
        <v>1151</v>
      </c>
      <c r="J2682" s="47" t="s">
        <v>26</v>
      </c>
    </row>
    <row r="2683" ht="54" customHeight="1" spans="1:10">
      <c r="A2683" s="48" t="s">
        <v>849</v>
      </c>
      <c r="B2683" s="48" t="s">
        <v>4105</v>
      </c>
      <c r="C2683" s="47" t="s">
        <v>2797</v>
      </c>
      <c r="D2683" s="48" t="s">
        <v>1073</v>
      </c>
      <c r="E2683" s="48" t="s">
        <v>1074</v>
      </c>
      <c r="F2683" s="48" t="s">
        <v>2798</v>
      </c>
      <c r="G2683" s="48" t="s">
        <v>2799</v>
      </c>
      <c r="H2683" s="47" t="s">
        <v>2800</v>
      </c>
      <c r="I2683" s="47" t="s">
        <v>2801</v>
      </c>
      <c r="J2683" s="47" t="s">
        <v>26</v>
      </c>
    </row>
    <row r="2684" ht="54" customHeight="1" spans="1:10">
      <c r="A2684" s="48" t="s">
        <v>849</v>
      </c>
      <c r="B2684" s="48" t="s">
        <v>4106</v>
      </c>
      <c r="C2684" s="47" t="s">
        <v>934</v>
      </c>
      <c r="D2684" s="48" t="s">
        <v>935</v>
      </c>
      <c r="E2684" s="48" t="s">
        <v>936</v>
      </c>
      <c r="F2684" s="48" t="s">
        <v>937</v>
      </c>
      <c r="G2684" s="48" t="s">
        <v>938</v>
      </c>
      <c r="H2684" s="47" t="s">
        <v>939</v>
      </c>
      <c r="I2684" s="47" t="s">
        <v>940</v>
      </c>
      <c r="J2684" s="47" t="s">
        <v>26</v>
      </c>
    </row>
    <row r="2685" ht="54" customHeight="1" spans="1:10">
      <c r="A2685" s="48" t="s">
        <v>849</v>
      </c>
      <c r="B2685" s="48" t="s">
        <v>4107</v>
      </c>
      <c r="C2685" s="47" t="s">
        <v>942</v>
      </c>
      <c r="D2685" s="48" t="s">
        <v>943</v>
      </c>
      <c r="E2685" s="48" t="s">
        <v>944</v>
      </c>
      <c r="F2685" s="48" t="s">
        <v>945</v>
      </c>
      <c r="G2685" s="48" t="s">
        <v>946</v>
      </c>
      <c r="H2685" s="47" t="s">
        <v>947</v>
      </c>
      <c r="I2685" s="47" t="s">
        <v>948</v>
      </c>
      <c r="J2685" s="47" t="s">
        <v>26</v>
      </c>
    </row>
    <row r="2686" ht="54" customHeight="1" spans="1:10">
      <c r="A2686" s="48" t="s">
        <v>849</v>
      </c>
      <c r="B2686" s="48" t="s">
        <v>4108</v>
      </c>
      <c r="C2686" s="47" t="s">
        <v>1388</v>
      </c>
      <c r="D2686" s="48" t="s">
        <v>1037</v>
      </c>
      <c r="E2686" s="48" t="s">
        <v>1038</v>
      </c>
      <c r="F2686" s="48" t="s">
        <v>1389</v>
      </c>
      <c r="G2686" s="48" t="s">
        <v>1390</v>
      </c>
      <c r="H2686" s="47" t="s">
        <v>1391</v>
      </c>
      <c r="I2686" s="47" t="s">
        <v>1392</v>
      </c>
      <c r="J2686" s="47" t="s">
        <v>26</v>
      </c>
    </row>
    <row r="2687" ht="54" customHeight="1" spans="1:10">
      <c r="A2687" s="48" t="s">
        <v>849</v>
      </c>
      <c r="B2687" s="48" t="s">
        <v>4109</v>
      </c>
      <c r="C2687" s="47" t="s">
        <v>971</v>
      </c>
      <c r="D2687" s="48" t="s">
        <v>965</v>
      </c>
      <c r="E2687" s="48" t="s">
        <v>966</v>
      </c>
      <c r="F2687" s="48" t="s">
        <v>972</v>
      </c>
      <c r="G2687" s="48" t="s">
        <v>973</v>
      </c>
      <c r="H2687" s="47" t="s">
        <v>974</v>
      </c>
      <c r="I2687" s="47" t="s">
        <v>975</v>
      </c>
      <c r="J2687" s="47" t="s">
        <v>26</v>
      </c>
    </row>
    <row r="2688" ht="54" customHeight="1" spans="1:10">
      <c r="A2688" s="48" t="s">
        <v>849</v>
      </c>
      <c r="B2688" s="48" t="s">
        <v>4110</v>
      </c>
      <c r="C2688" s="47" t="s">
        <v>1313</v>
      </c>
      <c r="D2688" s="48" t="s">
        <v>1037</v>
      </c>
      <c r="E2688" s="48" t="s">
        <v>1038</v>
      </c>
      <c r="F2688" s="48" t="s">
        <v>1314</v>
      </c>
      <c r="G2688" s="48" t="s">
        <v>1315</v>
      </c>
      <c r="H2688" s="47" t="s">
        <v>1316</v>
      </c>
      <c r="I2688" s="47" t="s">
        <v>1317</v>
      </c>
      <c r="J2688" s="47" t="s">
        <v>26</v>
      </c>
    </row>
    <row r="2689" ht="54" customHeight="1" spans="1:10">
      <c r="A2689" s="48" t="s">
        <v>851</v>
      </c>
      <c r="B2689" s="48" t="s">
        <v>4111</v>
      </c>
      <c r="C2689" s="47" t="s">
        <v>934</v>
      </c>
      <c r="D2689" s="48" t="s">
        <v>935</v>
      </c>
      <c r="E2689" s="48" t="s">
        <v>936</v>
      </c>
      <c r="F2689" s="48" t="s">
        <v>937</v>
      </c>
      <c r="G2689" s="48" t="s">
        <v>938</v>
      </c>
      <c r="H2689" s="47" t="s">
        <v>939</v>
      </c>
      <c r="I2689" s="47" t="s">
        <v>940</v>
      </c>
      <c r="J2689" s="47" t="s">
        <v>26</v>
      </c>
    </row>
    <row r="2690" ht="54" customHeight="1" spans="1:10">
      <c r="A2690" s="48" t="s">
        <v>851</v>
      </c>
      <c r="B2690" s="48" t="s">
        <v>4112</v>
      </c>
      <c r="C2690" s="47" t="s">
        <v>942</v>
      </c>
      <c r="D2690" s="48" t="s">
        <v>943</v>
      </c>
      <c r="E2690" s="48" t="s">
        <v>944</v>
      </c>
      <c r="F2690" s="48" t="s">
        <v>945</v>
      </c>
      <c r="G2690" s="48" t="s">
        <v>946</v>
      </c>
      <c r="H2690" s="47" t="s">
        <v>947</v>
      </c>
      <c r="I2690" s="47" t="s">
        <v>948</v>
      </c>
      <c r="J2690" s="47" t="s">
        <v>26</v>
      </c>
    </row>
    <row r="2691" ht="54" customHeight="1" spans="1:10">
      <c r="A2691" s="48" t="s">
        <v>851</v>
      </c>
      <c r="B2691" s="48" t="s">
        <v>4113</v>
      </c>
      <c r="C2691" s="47" t="s">
        <v>1089</v>
      </c>
      <c r="D2691" s="48" t="s">
        <v>957</v>
      </c>
      <c r="E2691" s="48" t="s">
        <v>958</v>
      </c>
      <c r="F2691" s="48" t="s">
        <v>1090</v>
      </c>
      <c r="G2691" s="48" t="s">
        <v>1091</v>
      </c>
      <c r="H2691" s="47" t="s">
        <v>1092</v>
      </c>
      <c r="I2691" s="47" t="s">
        <v>1093</v>
      </c>
      <c r="J2691" s="47" t="s">
        <v>26</v>
      </c>
    </row>
    <row r="2692" ht="54" customHeight="1" spans="1:10">
      <c r="A2692" s="48" t="s">
        <v>851</v>
      </c>
      <c r="B2692" s="48" t="s">
        <v>4114</v>
      </c>
      <c r="C2692" s="47" t="s">
        <v>1097</v>
      </c>
      <c r="D2692" s="48" t="s">
        <v>1098</v>
      </c>
      <c r="E2692" s="48" t="s">
        <v>1099</v>
      </c>
      <c r="F2692" s="48" t="s">
        <v>1100</v>
      </c>
      <c r="G2692" s="48" t="s">
        <v>1101</v>
      </c>
      <c r="H2692" s="47" t="s">
        <v>1102</v>
      </c>
      <c r="I2692" s="47" t="s">
        <v>1103</v>
      </c>
      <c r="J2692" s="47" t="s">
        <v>26</v>
      </c>
    </row>
    <row r="2693" ht="54" customHeight="1" spans="1:10">
      <c r="A2693" s="48" t="s">
        <v>851</v>
      </c>
      <c r="B2693" s="48" t="s">
        <v>4115</v>
      </c>
      <c r="C2693" s="47" t="s">
        <v>1252</v>
      </c>
      <c r="D2693" s="48" t="s">
        <v>1001</v>
      </c>
      <c r="E2693" s="48" t="s">
        <v>1002</v>
      </c>
      <c r="F2693" s="48" t="s">
        <v>1253</v>
      </c>
      <c r="G2693" s="48" t="s">
        <v>1254</v>
      </c>
      <c r="H2693" s="47" t="s">
        <v>1255</v>
      </c>
      <c r="I2693" s="47" t="s">
        <v>1256</v>
      </c>
      <c r="J2693" s="47" t="s">
        <v>26</v>
      </c>
    </row>
    <row r="2694" ht="54" customHeight="1" spans="1:10">
      <c r="A2694" s="48" t="s">
        <v>851</v>
      </c>
      <c r="B2694" s="48" t="s">
        <v>4116</v>
      </c>
      <c r="C2694" s="47" t="s">
        <v>1111</v>
      </c>
      <c r="D2694" s="48" t="s">
        <v>965</v>
      </c>
      <c r="E2694" s="48" t="s">
        <v>966</v>
      </c>
      <c r="F2694" s="48" t="s">
        <v>1112</v>
      </c>
      <c r="G2694" s="48" t="s">
        <v>1113</v>
      </c>
      <c r="H2694" s="47" t="s">
        <v>1114</v>
      </c>
      <c r="I2694" s="47" t="s">
        <v>1115</v>
      </c>
      <c r="J2694" s="47" t="s">
        <v>26</v>
      </c>
    </row>
    <row r="2695" ht="54" customHeight="1" spans="1:10">
      <c r="A2695" s="48" t="s">
        <v>853</v>
      </c>
      <c r="B2695" s="48" t="s">
        <v>4117</v>
      </c>
      <c r="C2695" s="47" t="s">
        <v>1008</v>
      </c>
      <c r="D2695" s="48" t="s">
        <v>1009</v>
      </c>
      <c r="E2695" s="48" t="s">
        <v>1010</v>
      </c>
      <c r="F2695" s="48" t="s">
        <v>1011</v>
      </c>
      <c r="G2695" s="48" t="s">
        <v>1012</v>
      </c>
      <c r="H2695" s="47" t="s">
        <v>1013</v>
      </c>
      <c r="I2695" s="47" t="s">
        <v>1014</v>
      </c>
      <c r="J2695" s="47" t="s">
        <v>26</v>
      </c>
    </row>
    <row r="2696" ht="54" customHeight="1" spans="1:10">
      <c r="A2696" s="48" t="s">
        <v>853</v>
      </c>
      <c r="B2696" s="48" t="s">
        <v>4118</v>
      </c>
      <c r="C2696" s="47" t="s">
        <v>942</v>
      </c>
      <c r="D2696" s="48" t="s">
        <v>943</v>
      </c>
      <c r="E2696" s="48" t="s">
        <v>944</v>
      </c>
      <c r="F2696" s="48" t="s">
        <v>945</v>
      </c>
      <c r="G2696" s="48" t="s">
        <v>946</v>
      </c>
      <c r="H2696" s="47" t="s">
        <v>947</v>
      </c>
      <c r="I2696" s="47" t="s">
        <v>948</v>
      </c>
      <c r="J2696" s="47" t="s">
        <v>26</v>
      </c>
    </row>
    <row r="2697" ht="54" customHeight="1" spans="1:10">
      <c r="A2697" s="48" t="s">
        <v>853</v>
      </c>
      <c r="B2697" s="48" t="s">
        <v>4119</v>
      </c>
      <c r="C2697" s="47" t="s">
        <v>971</v>
      </c>
      <c r="D2697" s="48" t="s">
        <v>965</v>
      </c>
      <c r="E2697" s="48" t="s">
        <v>966</v>
      </c>
      <c r="F2697" s="48" t="s">
        <v>972</v>
      </c>
      <c r="G2697" s="48" t="s">
        <v>973</v>
      </c>
      <c r="H2697" s="47" t="s">
        <v>974</v>
      </c>
      <c r="I2697" s="47" t="s">
        <v>975</v>
      </c>
      <c r="J2697" s="47" t="s">
        <v>26</v>
      </c>
    </row>
    <row r="2698" ht="54" customHeight="1" spans="1:10">
      <c r="A2698" s="48" t="s">
        <v>853</v>
      </c>
      <c r="B2698" s="48" t="s">
        <v>4120</v>
      </c>
      <c r="C2698" s="47" t="s">
        <v>1164</v>
      </c>
      <c r="D2698" s="48" t="s">
        <v>978</v>
      </c>
      <c r="E2698" s="48" t="s">
        <v>979</v>
      </c>
      <c r="F2698" s="48" t="s">
        <v>1165</v>
      </c>
      <c r="G2698" s="48" t="s">
        <v>1166</v>
      </c>
      <c r="H2698" s="47" t="s">
        <v>1167</v>
      </c>
      <c r="I2698" s="47" t="s">
        <v>1168</v>
      </c>
      <c r="J2698" s="47" t="s">
        <v>26</v>
      </c>
    </row>
    <row r="2699" ht="54" customHeight="1" spans="1:10">
      <c r="A2699" s="48" t="s">
        <v>855</v>
      </c>
      <c r="B2699" s="48" t="s">
        <v>4121</v>
      </c>
      <c r="C2699" s="47" t="s">
        <v>2797</v>
      </c>
      <c r="D2699" s="48" t="s">
        <v>1073</v>
      </c>
      <c r="E2699" s="48" t="s">
        <v>1074</v>
      </c>
      <c r="F2699" s="48" t="s">
        <v>2798</v>
      </c>
      <c r="G2699" s="48" t="s">
        <v>2799</v>
      </c>
      <c r="H2699" s="47" t="s">
        <v>2800</v>
      </c>
      <c r="I2699" s="47" t="s">
        <v>2801</v>
      </c>
      <c r="J2699" s="47" t="s">
        <v>26</v>
      </c>
    </row>
    <row r="2700" ht="54" customHeight="1" spans="1:10">
      <c r="A2700" s="48" t="s">
        <v>855</v>
      </c>
      <c r="B2700" s="48" t="s">
        <v>4122</v>
      </c>
      <c r="C2700" s="47" t="s">
        <v>1072</v>
      </c>
      <c r="D2700" s="48" t="s">
        <v>1073</v>
      </c>
      <c r="E2700" s="48" t="s">
        <v>1074</v>
      </c>
      <c r="F2700" s="48" t="s">
        <v>1075</v>
      </c>
      <c r="G2700" s="48" t="s">
        <v>1076</v>
      </c>
      <c r="H2700" s="47" t="s">
        <v>1077</v>
      </c>
      <c r="I2700" s="47" t="s">
        <v>1078</v>
      </c>
      <c r="J2700" s="47" t="s">
        <v>26</v>
      </c>
    </row>
    <row r="2701" ht="54" customHeight="1" spans="1:10">
      <c r="A2701" s="48" t="s">
        <v>855</v>
      </c>
      <c r="B2701" s="48" t="s">
        <v>4123</v>
      </c>
      <c r="C2701" s="47" t="s">
        <v>971</v>
      </c>
      <c r="D2701" s="48" t="s">
        <v>965</v>
      </c>
      <c r="E2701" s="48" t="s">
        <v>966</v>
      </c>
      <c r="F2701" s="48" t="s">
        <v>972</v>
      </c>
      <c r="G2701" s="48" t="s">
        <v>973</v>
      </c>
      <c r="H2701" s="47" t="s">
        <v>974</v>
      </c>
      <c r="I2701" s="47" t="s">
        <v>975</v>
      </c>
      <c r="J2701" s="47" t="s">
        <v>26</v>
      </c>
    </row>
    <row r="2702" ht="54" customHeight="1" spans="1:10">
      <c r="A2702" s="48" t="s">
        <v>855</v>
      </c>
      <c r="B2702" s="48" t="s">
        <v>4124</v>
      </c>
      <c r="C2702" s="47" t="s">
        <v>1164</v>
      </c>
      <c r="D2702" s="48" t="s">
        <v>978</v>
      </c>
      <c r="E2702" s="48" t="s">
        <v>979</v>
      </c>
      <c r="F2702" s="48" t="s">
        <v>1165</v>
      </c>
      <c r="G2702" s="48" t="s">
        <v>1166</v>
      </c>
      <c r="H2702" s="47" t="s">
        <v>1167</v>
      </c>
      <c r="I2702" s="47" t="s">
        <v>1168</v>
      </c>
      <c r="J2702" s="47" t="s">
        <v>26</v>
      </c>
    </row>
    <row r="2703" ht="54" customHeight="1" spans="1:10">
      <c r="A2703" s="48" t="s">
        <v>857</v>
      </c>
      <c r="B2703" s="48" t="s">
        <v>4125</v>
      </c>
      <c r="C2703" s="47" t="s">
        <v>1097</v>
      </c>
      <c r="D2703" s="48" t="s">
        <v>1098</v>
      </c>
      <c r="E2703" s="48" t="s">
        <v>1099</v>
      </c>
      <c r="F2703" s="48" t="s">
        <v>1100</v>
      </c>
      <c r="G2703" s="48" t="s">
        <v>1101</v>
      </c>
      <c r="H2703" s="47" t="s">
        <v>1102</v>
      </c>
      <c r="I2703" s="47" t="s">
        <v>1103</v>
      </c>
      <c r="J2703" s="47" t="s">
        <v>26</v>
      </c>
    </row>
    <row r="2704" ht="54" customHeight="1" spans="1:10">
      <c r="A2704" s="48" t="s">
        <v>857</v>
      </c>
      <c r="B2704" s="48" t="s">
        <v>4126</v>
      </c>
      <c r="C2704" s="47" t="s">
        <v>971</v>
      </c>
      <c r="D2704" s="48" t="s">
        <v>965</v>
      </c>
      <c r="E2704" s="48" t="s">
        <v>966</v>
      </c>
      <c r="F2704" s="48" t="s">
        <v>972</v>
      </c>
      <c r="G2704" s="48" t="s">
        <v>973</v>
      </c>
      <c r="H2704" s="47" t="s">
        <v>974</v>
      </c>
      <c r="I2704" s="47" t="s">
        <v>975</v>
      </c>
      <c r="J2704" s="47" t="s">
        <v>26</v>
      </c>
    </row>
    <row r="2705" ht="54" customHeight="1" spans="1:10">
      <c r="A2705" s="48" t="s">
        <v>857</v>
      </c>
      <c r="B2705" s="48" t="s">
        <v>4127</v>
      </c>
      <c r="C2705" s="47" t="s">
        <v>977</v>
      </c>
      <c r="D2705" s="48" t="s">
        <v>978</v>
      </c>
      <c r="E2705" s="48" t="s">
        <v>979</v>
      </c>
      <c r="F2705" s="48" t="s">
        <v>980</v>
      </c>
      <c r="G2705" s="48" t="s">
        <v>981</v>
      </c>
      <c r="H2705" s="47" t="s">
        <v>982</v>
      </c>
      <c r="I2705" s="47" t="s">
        <v>983</v>
      </c>
      <c r="J2705" s="47" t="s">
        <v>26</v>
      </c>
    </row>
    <row r="2706" ht="54" customHeight="1" spans="1:10">
      <c r="A2706" s="48" t="s">
        <v>857</v>
      </c>
      <c r="B2706" s="48" t="s">
        <v>4128</v>
      </c>
      <c r="C2706" s="47" t="s">
        <v>1145</v>
      </c>
      <c r="D2706" s="48" t="s">
        <v>1146</v>
      </c>
      <c r="E2706" s="48" t="s">
        <v>1147</v>
      </c>
      <c r="F2706" s="48" t="s">
        <v>1148</v>
      </c>
      <c r="G2706" s="48" t="s">
        <v>1149</v>
      </c>
      <c r="H2706" s="47" t="s">
        <v>1150</v>
      </c>
      <c r="I2706" s="47" t="s">
        <v>1151</v>
      </c>
      <c r="J2706" s="47" t="s">
        <v>26</v>
      </c>
    </row>
    <row r="2707" ht="54" customHeight="1" spans="1:10">
      <c r="A2707" s="48" t="s">
        <v>859</v>
      </c>
      <c r="B2707" s="48" t="s">
        <v>4129</v>
      </c>
      <c r="C2707" s="47" t="s">
        <v>1072</v>
      </c>
      <c r="D2707" s="48" t="s">
        <v>1073</v>
      </c>
      <c r="E2707" s="48" t="s">
        <v>1074</v>
      </c>
      <c r="F2707" s="48" t="s">
        <v>1075</v>
      </c>
      <c r="G2707" s="48" t="s">
        <v>1076</v>
      </c>
      <c r="H2707" s="47" t="s">
        <v>1077</v>
      </c>
      <c r="I2707" s="47" t="s">
        <v>1078</v>
      </c>
      <c r="J2707" s="47" t="s">
        <v>26</v>
      </c>
    </row>
    <row r="2708" ht="54" customHeight="1" spans="1:10">
      <c r="A2708" s="48" t="s">
        <v>859</v>
      </c>
      <c r="B2708" s="48" t="s">
        <v>4130</v>
      </c>
      <c r="C2708" s="47" t="s">
        <v>1131</v>
      </c>
      <c r="D2708" s="48" t="s">
        <v>993</v>
      </c>
      <c r="E2708" s="48" t="s">
        <v>994</v>
      </c>
      <c r="F2708" s="48" t="s">
        <v>1132</v>
      </c>
      <c r="G2708" s="48" t="s">
        <v>1133</v>
      </c>
      <c r="H2708" s="47" t="s">
        <v>1134</v>
      </c>
      <c r="I2708" s="47" t="s">
        <v>1135</v>
      </c>
      <c r="J2708" s="47" t="s">
        <v>26</v>
      </c>
    </row>
    <row r="2709" ht="54" customHeight="1" spans="1:10">
      <c r="A2709" s="48" t="s">
        <v>861</v>
      </c>
      <c r="B2709" s="48" t="s">
        <v>4131</v>
      </c>
      <c r="C2709" s="47" t="s">
        <v>2797</v>
      </c>
      <c r="D2709" s="48" t="s">
        <v>1073</v>
      </c>
      <c r="E2709" s="48" t="s">
        <v>1074</v>
      </c>
      <c r="F2709" s="48" t="s">
        <v>2798</v>
      </c>
      <c r="G2709" s="48" t="s">
        <v>2799</v>
      </c>
      <c r="H2709" s="47" t="s">
        <v>2800</v>
      </c>
      <c r="I2709" s="47" t="s">
        <v>2801</v>
      </c>
      <c r="J2709" s="47" t="s">
        <v>26</v>
      </c>
    </row>
    <row r="2710" ht="54" customHeight="1" spans="1:10">
      <c r="A2710" s="48" t="s">
        <v>861</v>
      </c>
      <c r="B2710" s="48" t="s">
        <v>4132</v>
      </c>
      <c r="C2710" s="47" t="s">
        <v>1072</v>
      </c>
      <c r="D2710" s="48" t="s">
        <v>1073</v>
      </c>
      <c r="E2710" s="48" t="s">
        <v>1074</v>
      </c>
      <c r="F2710" s="48" t="s">
        <v>1075</v>
      </c>
      <c r="G2710" s="48" t="s">
        <v>1076</v>
      </c>
      <c r="H2710" s="47" t="s">
        <v>1077</v>
      </c>
      <c r="I2710" s="47" t="s">
        <v>1078</v>
      </c>
      <c r="J2710" s="47" t="s">
        <v>26</v>
      </c>
    </row>
    <row r="2711" ht="54" customHeight="1" spans="1:10">
      <c r="A2711" s="48" t="s">
        <v>861</v>
      </c>
      <c r="B2711" s="48" t="s">
        <v>4133</v>
      </c>
      <c r="C2711" s="47" t="s">
        <v>1089</v>
      </c>
      <c r="D2711" s="48" t="s">
        <v>957</v>
      </c>
      <c r="E2711" s="48" t="s">
        <v>958</v>
      </c>
      <c r="F2711" s="48" t="s">
        <v>1090</v>
      </c>
      <c r="G2711" s="48" t="s">
        <v>1091</v>
      </c>
      <c r="H2711" s="47" t="s">
        <v>1092</v>
      </c>
      <c r="I2711" s="47" t="s">
        <v>1093</v>
      </c>
      <c r="J2711" s="47" t="s">
        <v>26</v>
      </c>
    </row>
    <row r="2712" ht="54" customHeight="1" spans="1:10">
      <c r="A2712" s="48" t="s">
        <v>861</v>
      </c>
      <c r="B2712" s="48" t="s">
        <v>4134</v>
      </c>
      <c r="C2712" s="47" t="s">
        <v>1601</v>
      </c>
      <c r="D2712" s="48" t="s">
        <v>1184</v>
      </c>
      <c r="E2712" s="48" t="s">
        <v>1185</v>
      </c>
      <c r="F2712" s="48" t="s">
        <v>1602</v>
      </c>
      <c r="G2712" s="48" t="s">
        <v>1603</v>
      </c>
      <c r="H2712" s="47" t="s">
        <v>1604</v>
      </c>
      <c r="I2712" s="47" t="s">
        <v>1605</v>
      </c>
      <c r="J2712" s="47" t="s">
        <v>26</v>
      </c>
    </row>
    <row r="2713" ht="54" customHeight="1" spans="1:10">
      <c r="A2713" s="48" t="s">
        <v>861</v>
      </c>
      <c r="B2713" s="48" t="s">
        <v>4135</v>
      </c>
      <c r="C2713" s="47" t="s">
        <v>956</v>
      </c>
      <c r="D2713" s="48" t="s">
        <v>957</v>
      </c>
      <c r="E2713" s="48" t="s">
        <v>958</v>
      </c>
      <c r="F2713" s="48" t="s">
        <v>959</v>
      </c>
      <c r="G2713" s="48" t="s">
        <v>960</v>
      </c>
      <c r="H2713" s="47" t="s">
        <v>961</v>
      </c>
      <c r="I2713" s="47" t="s">
        <v>962</v>
      </c>
      <c r="J2713" s="47" t="s">
        <v>26</v>
      </c>
    </row>
    <row r="2714" ht="54" customHeight="1" spans="1:10">
      <c r="A2714" s="48" t="s">
        <v>861</v>
      </c>
      <c r="B2714" s="48" t="s">
        <v>4136</v>
      </c>
      <c r="C2714" s="47" t="s">
        <v>1066</v>
      </c>
      <c r="D2714" s="48" t="s">
        <v>935</v>
      </c>
      <c r="E2714" s="48" t="s">
        <v>936</v>
      </c>
      <c r="F2714" s="48" t="s">
        <v>1067</v>
      </c>
      <c r="G2714" s="48" t="s">
        <v>1068</v>
      </c>
      <c r="H2714" s="47" t="s">
        <v>1069</v>
      </c>
      <c r="I2714" s="47" t="s">
        <v>940</v>
      </c>
      <c r="J2714" s="47" t="s">
        <v>26</v>
      </c>
    </row>
    <row r="2715" ht="54" customHeight="1" spans="1:10">
      <c r="A2715" s="48" t="s">
        <v>861</v>
      </c>
      <c r="B2715" s="48" t="s">
        <v>4137</v>
      </c>
      <c r="C2715" s="47" t="s">
        <v>1967</v>
      </c>
      <c r="D2715" s="48" t="s">
        <v>965</v>
      </c>
      <c r="E2715" s="48" t="s">
        <v>966</v>
      </c>
      <c r="F2715" s="48" t="s">
        <v>1968</v>
      </c>
      <c r="G2715" s="48" t="s">
        <v>1969</v>
      </c>
      <c r="H2715" s="47" t="s">
        <v>1970</v>
      </c>
      <c r="I2715" s="47" t="s">
        <v>940</v>
      </c>
      <c r="J2715" s="47" t="s">
        <v>26</v>
      </c>
    </row>
    <row r="2716" ht="54" customHeight="1" spans="1:10">
      <c r="A2716" s="48" t="s">
        <v>861</v>
      </c>
      <c r="B2716" s="48" t="s">
        <v>4138</v>
      </c>
      <c r="C2716" s="47" t="s">
        <v>1545</v>
      </c>
      <c r="D2716" s="48" t="s">
        <v>1138</v>
      </c>
      <c r="E2716" s="48" t="s">
        <v>1139</v>
      </c>
      <c r="F2716" s="48" t="s">
        <v>1546</v>
      </c>
      <c r="G2716" s="48" t="s">
        <v>1547</v>
      </c>
      <c r="H2716" s="47" t="s">
        <v>1548</v>
      </c>
      <c r="I2716" s="47" t="s">
        <v>940</v>
      </c>
      <c r="J2716" s="47" t="s">
        <v>26</v>
      </c>
    </row>
    <row r="2717" ht="54" customHeight="1" spans="1:10">
      <c r="A2717" s="48" t="s">
        <v>861</v>
      </c>
      <c r="B2717" s="48" t="s">
        <v>4139</v>
      </c>
      <c r="C2717" s="47" t="s">
        <v>1131</v>
      </c>
      <c r="D2717" s="48" t="s">
        <v>993</v>
      </c>
      <c r="E2717" s="48" t="s">
        <v>994</v>
      </c>
      <c r="F2717" s="48" t="s">
        <v>1132</v>
      </c>
      <c r="G2717" s="48" t="s">
        <v>1133</v>
      </c>
      <c r="H2717" s="47" t="s">
        <v>1134</v>
      </c>
      <c r="I2717" s="47" t="s">
        <v>1135</v>
      </c>
      <c r="J2717" s="47" t="s">
        <v>26</v>
      </c>
    </row>
    <row r="2718" ht="54" customHeight="1" spans="1:10">
      <c r="A2718" s="48" t="s">
        <v>861</v>
      </c>
      <c r="B2718" s="48" t="s">
        <v>4140</v>
      </c>
      <c r="C2718" s="47" t="s">
        <v>1137</v>
      </c>
      <c r="D2718" s="48" t="s">
        <v>1138</v>
      </c>
      <c r="E2718" s="48" t="s">
        <v>1139</v>
      </c>
      <c r="F2718" s="48" t="s">
        <v>1140</v>
      </c>
      <c r="G2718" s="48" t="s">
        <v>1141</v>
      </c>
      <c r="H2718" s="47" t="s">
        <v>1142</v>
      </c>
      <c r="I2718" s="47" t="s">
        <v>940</v>
      </c>
      <c r="J2718" s="47" t="s">
        <v>26</v>
      </c>
    </row>
    <row r="2719" ht="54" customHeight="1" spans="1:10">
      <c r="A2719" s="48" t="s">
        <v>863</v>
      </c>
      <c r="B2719" s="48" t="s">
        <v>4141</v>
      </c>
      <c r="C2719" s="47" t="s">
        <v>1008</v>
      </c>
      <c r="D2719" s="48" t="s">
        <v>1009</v>
      </c>
      <c r="E2719" s="48" t="s">
        <v>1010</v>
      </c>
      <c r="F2719" s="48" t="s">
        <v>1011</v>
      </c>
      <c r="G2719" s="48" t="s">
        <v>1012</v>
      </c>
      <c r="H2719" s="47" t="s">
        <v>1013</v>
      </c>
      <c r="I2719" s="47" t="s">
        <v>1014</v>
      </c>
      <c r="J2719" s="47" t="s">
        <v>26</v>
      </c>
    </row>
    <row r="2720" ht="54" customHeight="1" spans="1:10">
      <c r="A2720" s="48" t="s">
        <v>863</v>
      </c>
      <c r="B2720" s="48" t="s">
        <v>4142</v>
      </c>
      <c r="C2720" s="47" t="s">
        <v>1028</v>
      </c>
      <c r="D2720" s="48" t="s">
        <v>1029</v>
      </c>
      <c r="E2720" s="48" t="s">
        <v>1030</v>
      </c>
      <c r="F2720" s="48" t="s">
        <v>1031</v>
      </c>
      <c r="G2720" s="48" t="s">
        <v>1032</v>
      </c>
      <c r="H2720" s="47" t="s">
        <v>1033</v>
      </c>
      <c r="I2720" s="47" t="s">
        <v>1034</v>
      </c>
      <c r="J2720" s="47" t="s">
        <v>26</v>
      </c>
    </row>
    <row r="2721" ht="54" customHeight="1" spans="1:10">
      <c r="A2721" s="48" t="s">
        <v>863</v>
      </c>
      <c r="B2721" s="48" t="s">
        <v>4143</v>
      </c>
      <c r="C2721" s="47" t="s">
        <v>956</v>
      </c>
      <c r="D2721" s="48" t="s">
        <v>957</v>
      </c>
      <c r="E2721" s="48" t="s">
        <v>958</v>
      </c>
      <c r="F2721" s="48" t="s">
        <v>959</v>
      </c>
      <c r="G2721" s="48" t="s">
        <v>960</v>
      </c>
      <c r="H2721" s="47" t="s">
        <v>961</v>
      </c>
      <c r="I2721" s="47" t="s">
        <v>962</v>
      </c>
      <c r="J2721" s="47" t="s">
        <v>26</v>
      </c>
    </row>
    <row r="2722" ht="54" customHeight="1" spans="1:10">
      <c r="A2722" s="48" t="s">
        <v>863</v>
      </c>
      <c r="B2722" s="48" t="s">
        <v>4144</v>
      </c>
      <c r="C2722" s="47" t="s">
        <v>1277</v>
      </c>
      <c r="D2722" s="48" t="s">
        <v>1278</v>
      </c>
      <c r="E2722" s="48" t="s">
        <v>1279</v>
      </c>
      <c r="F2722" s="48" t="s">
        <v>1280</v>
      </c>
      <c r="G2722" s="48" t="s">
        <v>1281</v>
      </c>
      <c r="H2722" s="47" t="s">
        <v>1282</v>
      </c>
      <c r="I2722" s="47" t="s">
        <v>1283</v>
      </c>
      <c r="J2722" s="47" t="s">
        <v>26</v>
      </c>
    </row>
    <row r="2723" ht="54" customHeight="1" spans="1:10">
      <c r="A2723" s="48" t="s">
        <v>863</v>
      </c>
      <c r="B2723" s="48" t="s">
        <v>4145</v>
      </c>
      <c r="C2723" s="47" t="s">
        <v>1252</v>
      </c>
      <c r="D2723" s="48" t="s">
        <v>1001</v>
      </c>
      <c r="E2723" s="48" t="s">
        <v>1002</v>
      </c>
      <c r="F2723" s="48" t="s">
        <v>1253</v>
      </c>
      <c r="G2723" s="48" t="s">
        <v>1254</v>
      </c>
      <c r="H2723" s="47" t="s">
        <v>1255</v>
      </c>
      <c r="I2723" s="47" t="s">
        <v>1256</v>
      </c>
      <c r="J2723" s="47" t="s">
        <v>26</v>
      </c>
    </row>
    <row r="2724" ht="54" customHeight="1" spans="1:10">
      <c r="A2724" s="48" t="s">
        <v>863</v>
      </c>
      <c r="B2724" s="48" t="s">
        <v>4146</v>
      </c>
      <c r="C2724" s="47" t="s">
        <v>1111</v>
      </c>
      <c r="D2724" s="48" t="s">
        <v>965</v>
      </c>
      <c r="E2724" s="48" t="s">
        <v>966</v>
      </c>
      <c r="F2724" s="48" t="s">
        <v>1112</v>
      </c>
      <c r="G2724" s="48" t="s">
        <v>1113</v>
      </c>
      <c r="H2724" s="47" t="s">
        <v>1114</v>
      </c>
      <c r="I2724" s="47" t="s">
        <v>1115</v>
      </c>
      <c r="J2724" s="47" t="s">
        <v>26</v>
      </c>
    </row>
    <row r="2725" ht="54" customHeight="1" spans="1:10">
      <c r="A2725" s="48" t="s">
        <v>863</v>
      </c>
      <c r="B2725" s="48" t="s">
        <v>4147</v>
      </c>
      <c r="C2725" s="47" t="s">
        <v>1285</v>
      </c>
      <c r="D2725" s="48" t="s">
        <v>965</v>
      </c>
      <c r="E2725" s="48" t="s">
        <v>966</v>
      </c>
      <c r="F2725" s="48" t="s">
        <v>1286</v>
      </c>
      <c r="G2725" s="48" t="s">
        <v>1287</v>
      </c>
      <c r="H2725" s="47" t="s">
        <v>1288</v>
      </c>
      <c r="I2725" s="47" t="s">
        <v>1289</v>
      </c>
      <c r="J2725" s="47" t="s">
        <v>26</v>
      </c>
    </row>
    <row r="2726" ht="54" customHeight="1" spans="1:10">
      <c r="A2726" s="48" t="s">
        <v>863</v>
      </c>
      <c r="B2726" s="48" t="s">
        <v>4148</v>
      </c>
      <c r="C2726" s="47" t="s">
        <v>1137</v>
      </c>
      <c r="D2726" s="48" t="s">
        <v>1138</v>
      </c>
      <c r="E2726" s="48" t="s">
        <v>1139</v>
      </c>
      <c r="F2726" s="48" t="s">
        <v>1140</v>
      </c>
      <c r="G2726" s="48" t="s">
        <v>1141</v>
      </c>
      <c r="H2726" s="47" t="s">
        <v>1142</v>
      </c>
      <c r="I2726" s="47" t="s">
        <v>940</v>
      </c>
      <c r="J2726" s="47" t="s">
        <v>26</v>
      </c>
    </row>
    <row r="2727" ht="54" customHeight="1" spans="1:10">
      <c r="A2727" s="48" t="s">
        <v>863</v>
      </c>
      <c r="B2727" s="48" t="s">
        <v>4149</v>
      </c>
      <c r="C2727" s="47" t="s">
        <v>971</v>
      </c>
      <c r="D2727" s="48" t="s">
        <v>965</v>
      </c>
      <c r="E2727" s="48" t="s">
        <v>966</v>
      </c>
      <c r="F2727" s="48" t="s">
        <v>972</v>
      </c>
      <c r="G2727" s="48" t="s">
        <v>973</v>
      </c>
      <c r="H2727" s="47" t="s">
        <v>974</v>
      </c>
      <c r="I2727" s="47" t="s">
        <v>975</v>
      </c>
      <c r="J2727" s="47" t="s">
        <v>26</v>
      </c>
    </row>
    <row r="2728" ht="54" customHeight="1" spans="1:10">
      <c r="A2728" s="48" t="s">
        <v>863</v>
      </c>
      <c r="B2728" s="48" t="s">
        <v>4150</v>
      </c>
      <c r="C2728" s="47" t="s">
        <v>1291</v>
      </c>
      <c r="D2728" s="48" t="s">
        <v>965</v>
      </c>
      <c r="E2728" s="48" t="s">
        <v>966</v>
      </c>
      <c r="F2728" s="48" t="s">
        <v>1292</v>
      </c>
      <c r="G2728" s="48" t="s">
        <v>1293</v>
      </c>
      <c r="H2728" s="47" t="s">
        <v>1294</v>
      </c>
      <c r="I2728" s="47" t="s">
        <v>1295</v>
      </c>
      <c r="J2728" s="47" t="s">
        <v>26</v>
      </c>
    </row>
    <row r="2729" ht="54" customHeight="1" spans="1:10">
      <c r="A2729" s="48" t="s">
        <v>865</v>
      </c>
      <c r="B2729" s="48" t="s">
        <v>4151</v>
      </c>
      <c r="C2729" s="47" t="s">
        <v>1022</v>
      </c>
      <c r="D2729" s="48" t="s">
        <v>957</v>
      </c>
      <c r="E2729" s="48" t="s">
        <v>958</v>
      </c>
      <c r="F2729" s="48" t="s">
        <v>1023</v>
      </c>
      <c r="G2729" s="48" t="s">
        <v>1024</v>
      </c>
      <c r="H2729" s="47" t="s">
        <v>1025</v>
      </c>
      <c r="I2729" s="47" t="s">
        <v>1026</v>
      </c>
      <c r="J2729" s="47" t="s">
        <v>26</v>
      </c>
    </row>
    <row r="2730" ht="54" customHeight="1" spans="1:10">
      <c r="A2730" s="48" t="s">
        <v>865</v>
      </c>
      <c r="B2730" s="48" t="s">
        <v>4152</v>
      </c>
      <c r="C2730" s="47" t="s">
        <v>1105</v>
      </c>
      <c r="D2730" s="48" t="s">
        <v>1009</v>
      </c>
      <c r="E2730" s="48" t="s">
        <v>1010</v>
      </c>
      <c r="F2730" s="48" t="s">
        <v>1106</v>
      </c>
      <c r="G2730" s="48" t="s">
        <v>1107</v>
      </c>
      <c r="H2730" s="47" t="s">
        <v>1108</v>
      </c>
      <c r="I2730" s="47" t="s">
        <v>1109</v>
      </c>
      <c r="J2730" s="47" t="s">
        <v>26</v>
      </c>
    </row>
    <row r="2731" ht="54" customHeight="1" spans="1:10">
      <c r="A2731" s="48" t="s">
        <v>865</v>
      </c>
      <c r="B2731" s="48" t="s">
        <v>4153</v>
      </c>
      <c r="C2731" s="47" t="s">
        <v>1117</v>
      </c>
      <c r="D2731" s="48" t="s">
        <v>1118</v>
      </c>
      <c r="E2731" s="48" t="s">
        <v>1119</v>
      </c>
      <c r="F2731" s="48" t="s">
        <v>1120</v>
      </c>
      <c r="G2731" s="48" t="s">
        <v>1121</v>
      </c>
      <c r="H2731" s="47" t="s">
        <v>1122</v>
      </c>
      <c r="I2731" s="47" t="s">
        <v>1123</v>
      </c>
      <c r="J2731" s="47" t="s">
        <v>26</v>
      </c>
    </row>
    <row r="2732" ht="54" customHeight="1" spans="1:10">
      <c r="A2732" s="48" t="s">
        <v>865</v>
      </c>
      <c r="B2732" s="48" t="s">
        <v>4154</v>
      </c>
      <c r="C2732" s="47" t="s">
        <v>1137</v>
      </c>
      <c r="D2732" s="48" t="s">
        <v>1138</v>
      </c>
      <c r="E2732" s="48" t="s">
        <v>1139</v>
      </c>
      <c r="F2732" s="48" t="s">
        <v>1140</v>
      </c>
      <c r="G2732" s="48" t="s">
        <v>1141</v>
      </c>
      <c r="H2732" s="47" t="s">
        <v>1142</v>
      </c>
      <c r="I2732" s="47" t="s">
        <v>940</v>
      </c>
      <c r="J2732" s="47" t="s">
        <v>26</v>
      </c>
    </row>
    <row r="2733" ht="54" customHeight="1" spans="1:10">
      <c r="A2733" s="48" t="s">
        <v>865</v>
      </c>
      <c r="B2733" s="48" t="s">
        <v>4155</v>
      </c>
      <c r="C2733" s="47" t="s">
        <v>971</v>
      </c>
      <c r="D2733" s="48" t="s">
        <v>965</v>
      </c>
      <c r="E2733" s="48" t="s">
        <v>966</v>
      </c>
      <c r="F2733" s="48" t="s">
        <v>972</v>
      </c>
      <c r="G2733" s="48" t="s">
        <v>973</v>
      </c>
      <c r="H2733" s="47" t="s">
        <v>974</v>
      </c>
      <c r="I2733" s="47" t="s">
        <v>975</v>
      </c>
      <c r="J2733" s="47" t="s">
        <v>26</v>
      </c>
    </row>
    <row r="2734" ht="54" customHeight="1" spans="1:10">
      <c r="A2734" s="48" t="s">
        <v>865</v>
      </c>
      <c r="B2734" s="48" t="s">
        <v>4156</v>
      </c>
      <c r="C2734" s="47" t="s">
        <v>1291</v>
      </c>
      <c r="D2734" s="48" t="s">
        <v>965</v>
      </c>
      <c r="E2734" s="48" t="s">
        <v>966</v>
      </c>
      <c r="F2734" s="48" t="s">
        <v>1292</v>
      </c>
      <c r="G2734" s="48" t="s">
        <v>1293</v>
      </c>
      <c r="H2734" s="47" t="s">
        <v>1294</v>
      </c>
      <c r="I2734" s="47" t="s">
        <v>1295</v>
      </c>
      <c r="J2734" s="47" t="s">
        <v>26</v>
      </c>
    </row>
    <row r="2735" ht="54" customHeight="1" spans="1:10">
      <c r="A2735" s="48" t="s">
        <v>865</v>
      </c>
      <c r="B2735" s="48" t="s">
        <v>4157</v>
      </c>
      <c r="C2735" s="47" t="s">
        <v>1145</v>
      </c>
      <c r="D2735" s="48" t="s">
        <v>1146</v>
      </c>
      <c r="E2735" s="48" t="s">
        <v>1147</v>
      </c>
      <c r="F2735" s="48" t="s">
        <v>1148</v>
      </c>
      <c r="G2735" s="48" t="s">
        <v>1149</v>
      </c>
      <c r="H2735" s="47" t="s">
        <v>1150</v>
      </c>
      <c r="I2735" s="47" t="s">
        <v>1151</v>
      </c>
      <c r="J2735" s="47" t="s">
        <v>26</v>
      </c>
    </row>
    <row r="2736" ht="54" customHeight="1" spans="1:10">
      <c r="A2736" s="48" t="s">
        <v>865</v>
      </c>
      <c r="B2736" s="48" t="s">
        <v>4158</v>
      </c>
      <c r="C2736" s="47" t="s">
        <v>1245</v>
      </c>
      <c r="D2736" s="48" t="s">
        <v>1171</v>
      </c>
      <c r="E2736" s="48" t="s">
        <v>1172</v>
      </c>
      <c r="F2736" s="48" t="s">
        <v>1246</v>
      </c>
      <c r="G2736" s="48" t="s">
        <v>1247</v>
      </c>
      <c r="H2736" s="47" t="s">
        <v>1248</v>
      </c>
      <c r="I2736" s="47" t="s">
        <v>1176</v>
      </c>
      <c r="J2736" s="47" t="s">
        <v>26</v>
      </c>
    </row>
    <row r="2737" ht="54" customHeight="1" spans="1:10">
      <c r="A2737" s="48" t="s">
        <v>865</v>
      </c>
      <c r="B2737" s="48" t="s">
        <v>4159</v>
      </c>
      <c r="C2737" s="47" t="s">
        <v>1196</v>
      </c>
      <c r="D2737" s="48" t="s">
        <v>1118</v>
      </c>
      <c r="E2737" s="48" t="s">
        <v>1119</v>
      </c>
      <c r="F2737" s="48" t="s">
        <v>1197</v>
      </c>
      <c r="G2737" s="48" t="s">
        <v>1198</v>
      </c>
      <c r="H2737" s="47" t="s">
        <v>1199</v>
      </c>
      <c r="I2737" s="47" t="s">
        <v>1200</v>
      </c>
      <c r="J2737" s="47" t="s">
        <v>26</v>
      </c>
    </row>
    <row r="2738" ht="54" customHeight="1" spans="1:10">
      <c r="A2738" s="48" t="s">
        <v>867</v>
      </c>
      <c r="B2738" s="48" t="s">
        <v>4160</v>
      </c>
      <c r="C2738" s="47" t="s">
        <v>1153</v>
      </c>
      <c r="D2738" s="48" t="s">
        <v>943</v>
      </c>
      <c r="E2738" s="48" t="s">
        <v>944</v>
      </c>
      <c r="F2738" s="48" t="s">
        <v>1154</v>
      </c>
      <c r="G2738" s="48" t="s">
        <v>1155</v>
      </c>
      <c r="H2738" s="47" t="s">
        <v>1156</v>
      </c>
      <c r="I2738" s="47" t="s">
        <v>1157</v>
      </c>
      <c r="J2738" s="47" t="s">
        <v>26</v>
      </c>
    </row>
    <row r="2739" ht="54" customHeight="1" spans="1:10">
      <c r="A2739" s="48" t="s">
        <v>867</v>
      </c>
      <c r="B2739" s="48" t="s">
        <v>4161</v>
      </c>
      <c r="C2739" s="47" t="s">
        <v>1268</v>
      </c>
      <c r="D2739" s="48" t="s">
        <v>957</v>
      </c>
      <c r="E2739" s="48" t="s">
        <v>958</v>
      </c>
      <c r="F2739" s="48" t="s">
        <v>1269</v>
      </c>
      <c r="G2739" s="48" t="s">
        <v>1270</v>
      </c>
      <c r="H2739" s="47" t="s">
        <v>1271</v>
      </c>
      <c r="I2739" s="47" t="s">
        <v>1272</v>
      </c>
      <c r="J2739" s="47" t="s">
        <v>26</v>
      </c>
    </row>
    <row r="2740" ht="54" customHeight="1" spans="1:10">
      <c r="A2740" s="48" t="s">
        <v>867</v>
      </c>
      <c r="B2740" s="48" t="s">
        <v>4162</v>
      </c>
      <c r="C2740" s="47" t="s">
        <v>971</v>
      </c>
      <c r="D2740" s="48" t="s">
        <v>965</v>
      </c>
      <c r="E2740" s="48" t="s">
        <v>966</v>
      </c>
      <c r="F2740" s="48" t="s">
        <v>972</v>
      </c>
      <c r="G2740" s="48" t="s">
        <v>973</v>
      </c>
      <c r="H2740" s="47" t="s">
        <v>974</v>
      </c>
      <c r="I2740" s="47" t="s">
        <v>975</v>
      </c>
      <c r="J2740" s="47" t="s">
        <v>26</v>
      </c>
    </row>
    <row r="2741" ht="54" customHeight="1" spans="1:10">
      <c r="A2741" s="48" t="s">
        <v>867</v>
      </c>
      <c r="B2741" s="48" t="s">
        <v>4163</v>
      </c>
      <c r="C2741" s="47" t="s">
        <v>1291</v>
      </c>
      <c r="D2741" s="48" t="s">
        <v>965</v>
      </c>
      <c r="E2741" s="48" t="s">
        <v>966</v>
      </c>
      <c r="F2741" s="48" t="s">
        <v>1292</v>
      </c>
      <c r="G2741" s="48" t="s">
        <v>1293</v>
      </c>
      <c r="H2741" s="47" t="s">
        <v>1294</v>
      </c>
      <c r="I2741" s="47" t="s">
        <v>1295</v>
      </c>
      <c r="J2741" s="47" t="s">
        <v>26</v>
      </c>
    </row>
    <row r="2742" ht="54" customHeight="1" spans="1:10">
      <c r="A2742" s="48" t="s">
        <v>867</v>
      </c>
      <c r="B2742" s="48" t="s">
        <v>4164</v>
      </c>
      <c r="C2742" s="47" t="s">
        <v>1170</v>
      </c>
      <c r="D2742" s="48" t="s">
        <v>1171</v>
      </c>
      <c r="E2742" s="48" t="s">
        <v>1172</v>
      </c>
      <c r="F2742" s="48" t="s">
        <v>1173</v>
      </c>
      <c r="G2742" s="48" t="s">
        <v>1174</v>
      </c>
      <c r="H2742" s="47" t="s">
        <v>1175</v>
      </c>
      <c r="I2742" s="47" t="s">
        <v>1176</v>
      </c>
      <c r="J2742" s="47" t="s">
        <v>26</v>
      </c>
    </row>
    <row r="2743" ht="54" customHeight="1" spans="1:10">
      <c r="A2743" s="48" t="s">
        <v>869</v>
      </c>
      <c r="B2743" s="48" t="s">
        <v>4165</v>
      </c>
      <c r="C2743" s="47" t="s">
        <v>1008</v>
      </c>
      <c r="D2743" s="48" t="s">
        <v>1009</v>
      </c>
      <c r="E2743" s="48" t="s">
        <v>1010</v>
      </c>
      <c r="F2743" s="48" t="s">
        <v>1011</v>
      </c>
      <c r="G2743" s="48" t="s">
        <v>1012</v>
      </c>
      <c r="H2743" s="47" t="s">
        <v>1013</v>
      </c>
      <c r="I2743" s="47" t="s">
        <v>1014</v>
      </c>
      <c r="J2743" s="47" t="s">
        <v>26</v>
      </c>
    </row>
    <row r="2744" ht="54" customHeight="1" spans="1:10">
      <c r="A2744" s="48" t="s">
        <v>869</v>
      </c>
      <c r="B2744" s="48" t="s">
        <v>4166</v>
      </c>
      <c r="C2744" s="47" t="s">
        <v>1589</v>
      </c>
      <c r="D2744" s="48" t="s">
        <v>943</v>
      </c>
      <c r="E2744" s="48" t="s">
        <v>944</v>
      </c>
      <c r="F2744" s="48" t="s">
        <v>1590</v>
      </c>
      <c r="G2744" s="48" t="s">
        <v>1591</v>
      </c>
      <c r="H2744" s="47" t="s">
        <v>1592</v>
      </c>
      <c r="I2744" s="47" t="s">
        <v>1593</v>
      </c>
      <c r="J2744" s="47" t="s">
        <v>26</v>
      </c>
    </row>
    <row r="2745" ht="54" customHeight="1" spans="1:10">
      <c r="A2745" s="48" t="s">
        <v>869</v>
      </c>
      <c r="B2745" s="48" t="s">
        <v>4167</v>
      </c>
      <c r="C2745" s="47" t="s">
        <v>1097</v>
      </c>
      <c r="D2745" s="48" t="s">
        <v>1098</v>
      </c>
      <c r="E2745" s="48" t="s">
        <v>1099</v>
      </c>
      <c r="F2745" s="48" t="s">
        <v>1100</v>
      </c>
      <c r="G2745" s="48" t="s">
        <v>1101</v>
      </c>
      <c r="H2745" s="47" t="s">
        <v>1102</v>
      </c>
      <c r="I2745" s="47" t="s">
        <v>1103</v>
      </c>
      <c r="J2745" s="47" t="s">
        <v>26</v>
      </c>
    </row>
    <row r="2746" ht="54" customHeight="1" spans="1:10">
      <c r="A2746" s="48" t="s">
        <v>869</v>
      </c>
      <c r="B2746" s="48" t="s">
        <v>4168</v>
      </c>
      <c r="C2746" s="47" t="s">
        <v>1111</v>
      </c>
      <c r="D2746" s="48" t="s">
        <v>965</v>
      </c>
      <c r="E2746" s="48" t="s">
        <v>966</v>
      </c>
      <c r="F2746" s="48" t="s">
        <v>1112</v>
      </c>
      <c r="G2746" s="48" t="s">
        <v>1113</v>
      </c>
      <c r="H2746" s="47" t="s">
        <v>1114</v>
      </c>
      <c r="I2746" s="47" t="s">
        <v>1115</v>
      </c>
      <c r="J2746" s="47" t="s">
        <v>26</v>
      </c>
    </row>
    <row r="2747" ht="54" customHeight="1" spans="1:10">
      <c r="A2747" s="48" t="s">
        <v>869</v>
      </c>
      <c r="B2747" s="48" t="s">
        <v>4169</v>
      </c>
      <c r="C2747" s="47" t="s">
        <v>1291</v>
      </c>
      <c r="D2747" s="48" t="s">
        <v>965</v>
      </c>
      <c r="E2747" s="48" t="s">
        <v>966</v>
      </c>
      <c r="F2747" s="48" t="s">
        <v>1292</v>
      </c>
      <c r="G2747" s="48" t="s">
        <v>1293</v>
      </c>
      <c r="H2747" s="47" t="s">
        <v>1294</v>
      </c>
      <c r="I2747" s="47" t="s">
        <v>1295</v>
      </c>
      <c r="J2747" s="47" t="s">
        <v>26</v>
      </c>
    </row>
    <row r="2748" ht="54" customHeight="1" spans="1:10">
      <c r="A2748" s="48" t="s">
        <v>869</v>
      </c>
      <c r="B2748" s="48" t="s">
        <v>4170</v>
      </c>
      <c r="C2748" s="47" t="s">
        <v>977</v>
      </c>
      <c r="D2748" s="48" t="s">
        <v>978</v>
      </c>
      <c r="E2748" s="48" t="s">
        <v>979</v>
      </c>
      <c r="F2748" s="48" t="s">
        <v>980</v>
      </c>
      <c r="G2748" s="48" t="s">
        <v>981</v>
      </c>
      <c r="H2748" s="47" t="s">
        <v>982</v>
      </c>
      <c r="I2748" s="47" t="s">
        <v>983</v>
      </c>
      <c r="J2748" s="47" t="s">
        <v>26</v>
      </c>
    </row>
    <row r="2749" ht="54" customHeight="1" spans="1:10">
      <c r="A2749" s="48" t="s">
        <v>871</v>
      </c>
      <c r="B2749" s="48" t="s">
        <v>4171</v>
      </c>
      <c r="C2749" s="47" t="s">
        <v>1072</v>
      </c>
      <c r="D2749" s="48" t="s">
        <v>1073</v>
      </c>
      <c r="E2749" s="48" t="s">
        <v>1074</v>
      </c>
      <c r="F2749" s="48" t="s">
        <v>1075</v>
      </c>
      <c r="G2749" s="48" t="s">
        <v>1076</v>
      </c>
      <c r="H2749" s="47" t="s">
        <v>1077</v>
      </c>
      <c r="I2749" s="47" t="s">
        <v>1078</v>
      </c>
      <c r="J2749" s="47" t="s">
        <v>26</v>
      </c>
    </row>
    <row r="2750" ht="54" customHeight="1" spans="1:10">
      <c r="A2750" s="48" t="s">
        <v>871</v>
      </c>
      <c r="B2750" s="48" t="s">
        <v>4172</v>
      </c>
      <c r="C2750" s="47" t="s">
        <v>956</v>
      </c>
      <c r="D2750" s="48" t="s">
        <v>957</v>
      </c>
      <c r="E2750" s="48" t="s">
        <v>958</v>
      </c>
      <c r="F2750" s="48" t="s">
        <v>959</v>
      </c>
      <c r="G2750" s="48" t="s">
        <v>960</v>
      </c>
      <c r="H2750" s="47" t="s">
        <v>961</v>
      </c>
      <c r="I2750" s="47" t="s">
        <v>962</v>
      </c>
      <c r="J2750" s="47" t="s">
        <v>26</v>
      </c>
    </row>
    <row r="2751" ht="54" customHeight="1" spans="1:10">
      <c r="A2751" s="48" t="s">
        <v>871</v>
      </c>
      <c r="B2751" s="48" t="s">
        <v>4173</v>
      </c>
      <c r="C2751" s="47" t="s">
        <v>964</v>
      </c>
      <c r="D2751" s="48" t="s">
        <v>965</v>
      </c>
      <c r="E2751" s="48" t="s">
        <v>966</v>
      </c>
      <c r="F2751" s="48" t="s">
        <v>967</v>
      </c>
      <c r="G2751" s="48" t="s">
        <v>968</v>
      </c>
      <c r="H2751" s="47" t="s">
        <v>969</v>
      </c>
      <c r="I2751" s="47" t="s">
        <v>940</v>
      </c>
      <c r="J2751" s="47" t="s">
        <v>26</v>
      </c>
    </row>
    <row r="2752" ht="54" customHeight="1" spans="1:10">
      <c r="A2752" s="48" t="s">
        <v>871</v>
      </c>
      <c r="B2752" s="48" t="s">
        <v>4174</v>
      </c>
      <c r="C2752" s="47" t="s">
        <v>1137</v>
      </c>
      <c r="D2752" s="48" t="s">
        <v>1138</v>
      </c>
      <c r="E2752" s="48" t="s">
        <v>1139</v>
      </c>
      <c r="F2752" s="48" t="s">
        <v>1140</v>
      </c>
      <c r="G2752" s="48" t="s">
        <v>1141</v>
      </c>
      <c r="H2752" s="47" t="s">
        <v>1142</v>
      </c>
      <c r="I2752" s="47" t="s">
        <v>940</v>
      </c>
      <c r="J2752" s="47" t="s">
        <v>26</v>
      </c>
    </row>
    <row r="2753" ht="54" customHeight="1" spans="1:10">
      <c r="A2753" s="48" t="s">
        <v>871</v>
      </c>
      <c r="B2753" s="48" t="s">
        <v>4175</v>
      </c>
      <c r="C2753" s="47" t="s">
        <v>4176</v>
      </c>
      <c r="D2753" s="48" t="s">
        <v>1146</v>
      </c>
      <c r="E2753" s="48" t="s">
        <v>1147</v>
      </c>
      <c r="F2753" s="48" t="s">
        <v>4177</v>
      </c>
      <c r="G2753" s="48" t="s">
        <v>4178</v>
      </c>
      <c r="H2753" s="47" t="s">
        <v>4179</v>
      </c>
      <c r="I2753" s="47" t="s">
        <v>1151</v>
      </c>
      <c r="J2753" s="47" t="s">
        <v>26</v>
      </c>
    </row>
    <row r="2754" ht="54" customHeight="1" spans="1:10">
      <c r="A2754" s="48" t="s">
        <v>871</v>
      </c>
      <c r="B2754" s="48" t="s">
        <v>4180</v>
      </c>
      <c r="C2754" s="47" t="s">
        <v>1196</v>
      </c>
      <c r="D2754" s="48" t="s">
        <v>1118</v>
      </c>
      <c r="E2754" s="48" t="s">
        <v>1119</v>
      </c>
      <c r="F2754" s="48" t="s">
        <v>1197</v>
      </c>
      <c r="G2754" s="48" t="s">
        <v>1198</v>
      </c>
      <c r="H2754" s="47" t="s">
        <v>1199</v>
      </c>
      <c r="I2754" s="47" t="s">
        <v>1200</v>
      </c>
      <c r="J2754" s="47" t="s">
        <v>26</v>
      </c>
    </row>
    <row r="2755" ht="54" customHeight="1" spans="1:10">
      <c r="A2755" s="48" t="s">
        <v>873</v>
      </c>
      <c r="B2755" s="48" t="s">
        <v>4181</v>
      </c>
      <c r="C2755" s="47" t="s">
        <v>1681</v>
      </c>
      <c r="D2755" s="48" t="s">
        <v>943</v>
      </c>
      <c r="E2755" s="48" t="s">
        <v>944</v>
      </c>
      <c r="F2755" s="48" t="s">
        <v>1682</v>
      </c>
      <c r="G2755" s="48" t="s">
        <v>1683</v>
      </c>
      <c r="H2755" s="47" t="s">
        <v>1684</v>
      </c>
      <c r="I2755" s="47" t="s">
        <v>1685</v>
      </c>
      <c r="J2755" s="47" t="s">
        <v>26</v>
      </c>
    </row>
    <row r="2756" ht="54" customHeight="1" spans="1:10">
      <c r="A2756" s="48" t="s">
        <v>873</v>
      </c>
      <c r="B2756" s="48" t="s">
        <v>4182</v>
      </c>
      <c r="C2756" s="47" t="s">
        <v>1245</v>
      </c>
      <c r="D2756" s="48" t="s">
        <v>1171</v>
      </c>
      <c r="E2756" s="48" t="s">
        <v>1172</v>
      </c>
      <c r="F2756" s="48" t="s">
        <v>1246</v>
      </c>
      <c r="G2756" s="48" t="s">
        <v>1247</v>
      </c>
      <c r="H2756" s="47" t="s">
        <v>1248</v>
      </c>
      <c r="I2756" s="47" t="s">
        <v>1176</v>
      </c>
      <c r="J2756" s="47" t="s">
        <v>26</v>
      </c>
    </row>
    <row r="2757" ht="54" customHeight="1" spans="1:10">
      <c r="A2757" s="48" t="s">
        <v>875</v>
      </c>
      <c r="B2757" s="48" t="s">
        <v>4183</v>
      </c>
      <c r="C2757" s="47" t="s">
        <v>934</v>
      </c>
      <c r="D2757" s="48" t="s">
        <v>935</v>
      </c>
      <c r="E2757" s="48" t="s">
        <v>936</v>
      </c>
      <c r="F2757" s="48" t="s">
        <v>937</v>
      </c>
      <c r="G2757" s="48" t="s">
        <v>938</v>
      </c>
      <c r="H2757" s="47" t="s">
        <v>939</v>
      </c>
      <c r="I2757" s="47" t="s">
        <v>940</v>
      </c>
      <c r="J2757" s="47" t="s">
        <v>29</v>
      </c>
    </row>
    <row r="2758" ht="54" customHeight="1" spans="1:10">
      <c r="A2758" s="48" t="s">
        <v>875</v>
      </c>
      <c r="B2758" s="48" t="s">
        <v>4184</v>
      </c>
      <c r="C2758" s="47" t="s">
        <v>1016</v>
      </c>
      <c r="D2758" s="48" t="s">
        <v>935</v>
      </c>
      <c r="E2758" s="48" t="s">
        <v>936</v>
      </c>
      <c r="F2758" s="48" t="s">
        <v>1017</v>
      </c>
      <c r="G2758" s="48" t="s">
        <v>1018</v>
      </c>
      <c r="H2758" s="47" t="s">
        <v>1019</v>
      </c>
      <c r="I2758" s="47" t="s">
        <v>1020</v>
      </c>
      <c r="J2758" s="47" t="s">
        <v>29</v>
      </c>
    </row>
    <row r="2759" ht="54" customHeight="1" spans="1:10">
      <c r="A2759" s="48" t="s">
        <v>875</v>
      </c>
      <c r="B2759" s="48" t="s">
        <v>4185</v>
      </c>
      <c r="C2759" s="47" t="s">
        <v>942</v>
      </c>
      <c r="D2759" s="48" t="s">
        <v>943</v>
      </c>
      <c r="E2759" s="48" t="s">
        <v>944</v>
      </c>
      <c r="F2759" s="48" t="s">
        <v>945</v>
      </c>
      <c r="G2759" s="48" t="s">
        <v>946</v>
      </c>
      <c r="H2759" s="47" t="s">
        <v>947</v>
      </c>
      <c r="I2759" s="47" t="s">
        <v>948</v>
      </c>
      <c r="J2759" s="47" t="s">
        <v>29</v>
      </c>
    </row>
    <row r="2760" ht="54" customHeight="1" spans="1:10">
      <c r="A2760" s="48" t="s">
        <v>875</v>
      </c>
      <c r="B2760" s="48" t="s">
        <v>4186</v>
      </c>
      <c r="C2760" s="47" t="s">
        <v>950</v>
      </c>
      <c r="D2760" s="48" t="s">
        <v>935</v>
      </c>
      <c r="E2760" s="48" t="s">
        <v>936</v>
      </c>
      <c r="F2760" s="48" t="s">
        <v>951</v>
      </c>
      <c r="G2760" s="48" t="s">
        <v>952</v>
      </c>
      <c r="H2760" s="47" t="s">
        <v>953</v>
      </c>
      <c r="I2760" s="47" t="s">
        <v>954</v>
      </c>
      <c r="J2760" s="47" t="s">
        <v>29</v>
      </c>
    </row>
    <row r="2761" ht="54" customHeight="1" spans="1:10">
      <c r="A2761" s="48" t="s">
        <v>875</v>
      </c>
      <c r="B2761" s="48" t="s">
        <v>4187</v>
      </c>
      <c r="C2761" s="47" t="s">
        <v>1145</v>
      </c>
      <c r="D2761" s="48" t="s">
        <v>1146</v>
      </c>
      <c r="E2761" s="48" t="s">
        <v>1147</v>
      </c>
      <c r="F2761" s="48" t="s">
        <v>1148</v>
      </c>
      <c r="G2761" s="48" t="s">
        <v>1149</v>
      </c>
      <c r="H2761" s="47" t="s">
        <v>1150</v>
      </c>
      <c r="I2761" s="47" t="s">
        <v>1151</v>
      </c>
      <c r="J2761" s="47" t="s">
        <v>29</v>
      </c>
    </row>
    <row r="2762" ht="54" customHeight="1" spans="1:10">
      <c r="A2762" s="48" t="s">
        <v>875</v>
      </c>
      <c r="B2762" s="48" t="s">
        <v>4188</v>
      </c>
      <c r="C2762" s="47" t="s">
        <v>1196</v>
      </c>
      <c r="D2762" s="48" t="s">
        <v>1118</v>
      </c>
      <c r="E2762" s="48" t="s">
        <v>1119</v>
      </c>
      <c r="F2762" s="48" t="s">
        <v>1197</v>
      </c>
      <c r="G2762" s="48" t="s">
        <v>1198</v>
      </c>
      <c r="H2762" s="47" t="s">
        <v>1199</v>
      </c>
      <c r="I2762" s="47" t="s">
        <v>1200</v>
      </c>
      <c r="J2762" s="47" t="s">
        <v>29</v>
      </c>
    </row>
    <row r="2763" ht="54" customHeight="1" spans="1:10">
      <c r="A2763" s="48" t="s">
        <v>877</v>
      </c>
      <c r="B2763" s="48" t="s">
        <v>4189</v>
      </c>
      <c r="C2763" s="47" t="s">
        <v>1111</v>
      </c>
      <c r="D2763" s="48" t="s">
        <v>965</v>
      </c>
      <c r="E2763" s="48" t="s">
        <v>966</v>
      </c>
      <c r="F2763" s="48" t="s">
        <v>1112</v>
      </c>
      <c r="G2763" s="48" t="s">
        <v>1113</v>
      </c>
      <c r="H2763" s="47" t="s">
        <v>1114</v>
      </c>
      <c r="I2763" s="47" t="s">
        <v>1115</v>
      </c>
      <c r="J2763" s="47" t="s">
        <v>26</v>
      </c>
    </row>
    <row r="2764" ht="54" customHeight="1" spans="1:10">
      <c r="A2764" s="48" t="s">
        <v>877</v>
      </c>
      <c r="B2764" s="48" t="s">
        <v>4190</v>
      </c>
      <c r="C2764" s="47" t="s">
        <v>1285</v>
      </c>
      <c r="D2764" s="48" t="s">
        <v>965</v>
      </c>
      <c r="E2764" s="48" t="s">
        <v>966</v>
      </c>
      <c r="F2764" s="48" t="s">
        <v>1286</v>
      </c>
      <c r="G2764" s="48" t="s">
        <v>1287</v>
      </c>
      <c r="H2764" s="47" t="s">
        <v>1288</v>
      </c>
      <c r="I2764" s="47" t="s">
        <v>1289</v>
      </c>
      <c r="J2764" s="47" t="s">
        <v>26</v>
      </c>
    </row>
    <row r="2765" ht="54" customHeight="1" spans="1:10">
      <c r="A2765" s="48" t="s">
        <v>877</v>
      </c>
      <c r="B2765" s="48" t="s">
        <v>4191</v>
      </c>
      <c r="C2765" s="47" t="s">
        <v>1211</v>
      </c>
      <c r="D2765" s="48" t="s">
        <v>965</v>
      </c>
      <c r="E2765" s="48" t="s">
        <v>966</v>
      </c>
      <c r="F2765" s="48" t="s">
        <v>1212</v>
      </c>
      <c r="G2765" s="48" t="s">
        <v>1213</v>
      </c>
      <c r="H2765" s="47" t="s">
        <v>1214</v>
      </c>
      <c r="I2765" s="47" t="s">
        <v>940</v>
      </c>
      <c r="J2765" s="47" t="s">
        <v>26</v>
      </c>
    </row>
    <row r="2766" ht="54" customHeight="1" spans="1:10">
      <c r="A2766" s="48" t="s">
        <v>879</v>
      </c>
      <c r="B2766" s="48" t="s">
        <v>4192</v>
      </c>
      <c r="C2766" s="47" t="s">
        <v>1117</v>
      </c>
      <c r="D2766" s="48" t="s">
        <v>1118</v>
      </c>
      <c r="E2766" s="48" t="s">
        <v>1119</v>
      </c>
      <c r="F2766" s="48" t="s">
        <v>1120</v>
      </c>
      <c r="G2766" s="48" t="s">
        <v>1121</v>
      </c>
      <c r="H2766" s="47" t="s">
        <v>1122</v>
      </c>
      <c r="I2766" s="47" t="s">
        <v>1123</v>
      </c>
      <c r="J2766" s="47" t="s">
        <v>26</v>
      </c>
    </row>
    <row r="2767" ht="54" customHeight="1" spans="1:10">
      <c r="A2767" s="48" t="s">
        <v>879</v>
      </c>
      <c r="B2767" s="48" t="s">
        <v>4193</v>
      </c>
      <c r="C2767" s="47" t="s">
        <v>1291</v>
      </c>
      <c r="D2767" s="48" t="s">
        <v>965</v>
      </c>
      <c r="E2767" s="48" t="s">
        <v>966</v>
      </c>
      <c r="F2767" s="48" t="s">
        <v>1292</v>
      </c>
      <c r="G2767" s="48" t="s">
        <v>1293</v>
      </c>
      <c r="H2767" s="47" t="s">
        <v>1294</v>
      </c>
      <c r="I2767" s="47" t="s">
        <v>1295</v>
      </c>
      <c r="J2767" s="47" t="s">
        <v>26</v>
      </c>
    </row>
    <row r="2768" ht="54" customHeight="1" spans="1:10">
      <c r="A2768" s="48" t="s">
        <v>879</v>
      </c>
      <c r="B2768" s="48" t="s">
        <v>4194</v>
      </c>
      <c r="C2768" s="47" t="s">
        <v>1145</v>
      </c>
      <c r="D2768" s="48" t="s">
        <v>1146</v>
      </c>
      <c r="E2768" s="48" t="s">
        <v>1147</v>
      </c>
      <c r="F2768" s="48" t="s">
        <v>1148</v>
      </c>
      <c r="G2768" s="48" t="s">
        <v>1149</v>
      </c>
      <c r="H2768" s="47" t="s">
        <v>1150</v>
      </c>
      <c r="I2768" s="47" t="s">
        <v>1151</v>
      </c>
      <c r="J2768" s="47" t="s">
        <v>26</v>
      </c>
    </row>
    <row r="2769" ht="54" customHeight="1" spans="1:10">
      <c r="A2769" s="48" t="s">
        <v>879</v>
      </c>
      <c r="B2769" s="48" t="s">
        <v>4195</v>
      </c>
      <c r="C2769" s="47" t="s">
        <v>1245</v>
      </c>
      <c r="D2769" s="48" t="s">
        <v>1171</v>
      </c>
      <c r="E2769" s="48" t="s">
        <v>1172</v>
      </c>
      <c r="F2769" s="48" t="s">
        <v>1246</v>
      </c>
      <c r="G2769" s="48" t="s">
        <v>1247</v>
      </c>
      <c r="H2769" s="47" t="s">
        <v>1248</v>
      </c>
      <c r="I2769" s="47" t="s">
        <v>1176</v>
      </c>
      <c r="J2769" s="47" t="s">
        <v>26</v>
      </c>
    </row>
    <row r="2770" ht="54" customHeight="1" spans="1:10">
      <c r="A2770" s="48" t="s">
        <v>879</v>
      </c>
      <c r="B2770" s="48" t="s">
        <v>4196</v>
      </c>
      <c r="C2770" s="47" t="s">
        <v>1196</v>
      </c>
      <c r="D2770" s="48" t="s">
        <v>1118</v>
      </c>
      <c r="E2770" s="48" t="s">
        <v>1119</v>
      </c>
      <c r="F2770" s="48" t="s">
        <v>1197</v>
      </c>
      <c r="G2770" s="48" t="s">
        <v>1198</v>
      </c>
      <c r="H2770" s="47" t="s">
        <v>1199</v>
      </c>
      <c r="I2770" s="47" t="s">
        <v>1200</v>
      </c>
      <c r="J2770" s="47" t="s">
        <v>26</v>
      </c>
    </row>
    <row r="2771" ht="54" customHeight="1" spans="1:10">
      <c r="A2771" s="48" t="s">
        <v>881</v>
      </c>
      <c r="B2771" s="48" t="s">
        <v>4197</v>
      </c>
      <c r="C2771" s="47" t="s">
        <v>1081</v>
      </c>
      <c r="D2771" s="48" t="s">
        <v>1082</v>
      </c>
      <c r="E2771" s="48" t="s">
        <v>1083</v>
      </c>
      <c r="F2771" s="48" t="s">
        <v>1084</v>
      </c>
      <c r="G2771" s="48" t="s">
        <v>1085</v>
      </c>
      <c r="H2771" s="47" t="s">
        <v>1086</v>
      </c>
      <c r="I2771" s="47" t="s">
        <v>1087</v>
      </c>
      <c r="J2771" s="47" t="s">
        <v>26</v>
      </c>
    </row>
    <row r="2772" ht="54" customHeight="1" spans="1:10">
      <c r="A2772" s="48" t="s">
        <v>881</v>
      </c>
      <c r="B2772" s="48" t="s">
        <v>4198</v>
      </c>
      <c r="C2772" s="47" t="s">
        <v>1052</v>
      </c>
      <c r="D2772" s="48" t="s">
        <v>1009</v>
      </c>
      <c r="E2772" s="48" t="s">
        <v>1010</v>
      </c>
      <c r="F2772" s="48" t="s">
        <v>1053</v>
      </c>
      <c r="G2772" s="48" t="s">
        <v>1054</v>
      </c>
      <c r="H2772" s="47" t="s">
        <v>1055</v>
      </c>
      <c r="I2772" s="47" t="s">
        <v>1056</v>
      </c>
      <c r="J2772" s="47" t="s">
        <v>26</v>
      </c>
    </row>
    <row r="2773" ht="54" customHeight="1" spans="1:10">
      <c r="A2773" s="48" t="s">
        <v>881</v>
      </c>
      <c r="B2773" s="48" t="s">
        <v>4199</v>
      </c>
      <c r="C2773" s="47" t="s">
        <v>1205</v>
      </c>
      <c r="D2773" s="48" t="s">
        <v>978</v>
      </c>
      <c r="E2773" s="48" t="s">
        <v>979</v>
      </c>
      <c r="F2773" s="48" t="s">
        <v>1206</v>
      </c>
      <c r="G2773" s="48" t="s">
        <v>1207</v>
      </c>
      <c r="H2773" s="47" t="s">
        <v>1208</v>
      </c>
      <c r="I2773" s="47" t="s">
        <v>1209</v>
      </c>
      <c r="J2773" s="47" t="s">
        <v>26</v>
      </c>
    </row>
    <row r="2774" ht="54" customHeight="1" spans="1:10">
      <c r="A2774" s="48" t="s">
        <v>881</v>
      </c>
      <c r="B2774" s="48" t="s">
        <v>4200</v>
      </c>
      <c r="C2774" s="47" t="s">
        <v>1159</v>
      </c>
      <c r="D2774" s="48" t="s">
        <v>1146</v>
      </c>
      <c r="E2774" s="48" t="s">
        <v>1147</v>
      </c>
      <c r="F2774" s="48" t="s">
        <v>1160</v>
      </c>
      <c r="G2774" s="48" t="s">
        <v>1161</v>
      </c>
      <c r="H2774" s="47" t="s">
        <v>1162</v>
      </c>
      <c r="I2774" s="47" t="s">
        <v>1151</v>
      </c>
      <c r="J2774" s="47" t="s">
        <v>26</v>
      </c>
    </row>
    <row r="2775" ht="54" customHeight="1" spans="1:10">
      <c r="A2775" s="48" t="s">
        <v>881</v>
      </c>
      <c r="B2775" s="48" t="s">
        <v>4201</v>
      </c>
      <c r="C2775" s="47" t="s">
        <v>1441</v>
      </c>
      <c r="D2775" s="48" t="s">
        <v>1306</v>
      </c>
      <c r="E2775" s="48" t="s">
        <v>1307</v>
      </c>
      <c r="F2775" s="48" t="s">
        <v>1442</v>
      </c>
      <c r="G2775" s="48" t="s">
        <v>1443</v>
      </c>
      <c r="H2775" s="47" t="s">
        <v>1444</v>
      </c>
      <c r="I2775" s="47" t="s">
        <v>1445</v>
      </c>
      <c r="J2775" s="47" t="s">
        <v>26</v>
      </c>
    </row>
    <row r="2776" ht="54" customHeight="1" spans="1:10">
      <c r="A2776" s="48" t="s">
        <v>881</v>
      </c>
      <c r="B2776" s="48" t="s">
        <v>4202</v>
      </c>
      <c r="C2776" s="47" t="s">
        <v>1170</v>
      </c>
      <c r="D2776" s="48" t="s">
        <v>1171</v>
      </c>
      <c r="E2776" s="48" t="s">
        <v>1172</v>
      </c>
      <c r="F2776" s="48" t="s">
        <v>1173</v>
      </c>
      <c r="G2776" s="48" t="s">
        <v>1174</v>
      </c>
      <c r="H2776" s="47" t="s">
        <v>1175</v>
      </c>
      <c r="I2776" s="47" t="s">
        <v>1176</v>
      </c>
      <c r="J2776" s="47" t="s">
        <v>26</v>
      </c>
    </row>
    <row r="2777" ht="54" customHeight="1" spans="1:10">
      <c r="A2777" s="48" t="s">
        <v>883</v>
      </c>
      <c r="B2777" s="48" t="s">
        <v>4203</v>
      </c>
      <c r="C2777" s="47" t="s">
        <v>1022</v>
      </c>
      <c r="D2777" s="48" t="s">
        <v>957</v>
      </c>
      <c r="E2777" s="48" t="s">
        <v>958</v>
      </c>
      <c r="F2777" s="48" t="s">
        <v>1023</v>
      </c>
      <c r="G2777" s="48" t="s">
        <v>1024</v>
      </c>
      <c r="H2777" s="47" t="s">
        <v>1025</v>
      </c>
      <c r="I2777" s="47" t="s">
        <v>1026</v>
      </c>
      <c r="J2777" s="47" t="s">
        <v>26</v>
      </c>
    </row>
    <row r="2778" ht="54" customHeight="1" spans="1:10">
      <c r="A2778" s="48" t="s">
        <v>883</v>
      </c>
      <c r="B2778" s="48" t="s">
        <v>4204</v>
      </c>
      <c r="C2778" s="47" t="s">
        <v>956</v>
      </c>
      <c r="D2778" s="48" t="s">
        <v>957</v>
      </c>
      <c r="E2778" s="48" t="s">
        <v>958</v>
      </c>
      <c r="F2778" s="48" t="s">
        <v>959</v>
      </c>
      <c r="G2778" s="48" t="s">
        <v>960</v>
      </c>
      <c r="H2778" s="47" t="s">
        <v>961</v>
      </c>
      <c r="I2778" s="47" t="s">
        <v>962</v>
      </c>
      <c r="J2778" s="47" t="s">
        <v>26</v>
      </c>
    </row>
    <row r="2779" ht="54" customHeight="1" spans="1:10">
      <c r="A2779" s="48" t="s">
        <v>883</v>
      </c>
      <c r="B2779" s="48" t="s">
        <v>4205</v>
      </c>
      <c r="C2779" s="47" t="s">
        <v>1429</v>
      </c>
      <c r="D2779" s="48" t="s">
        <v>1430</v>
      </c>
      <c r="E2779" s="48" t="s">
        <v>1431</v>
      </c>
      <c r="F2779" s="48" t="s">
        <v>1432</v>
      </c>
      <c r="G2779" s="48" t="s">
        <v>1433</v>
      </c>
      <c r="H2779" s="47" t="s">
        <v>1434</v>
      </c>
      <c r="I2779" s="47" t="s">
        <v>1435</v>
      </c>
      <c r="J2779" s="47" t="s">
        <v>26</v>
      </c>
    </row>
    <row r="2780" ht="54" customHeight="1" spans="1:10">
      <c r="A2780" s="48" t="s">
        <v>883</v>
      </c>
      <c r="B2780" s="48" t="s">
        <v>4206</v>
      </c>
      <c r="C2780" s="47" t="s">
        <v>1226</v>
      </c>
      <c r="D2780" s="48" t="s">
        <v>965</v>
      </c>
      <c r="E2780" s="48" t="s">
        <v>966</v>
      </c>
      <c r="F2780" s="48" t="s">
        <v>1227</v>
      </c>
      <c r="G2780" s="48" t="s">
        <v>1228</v>
      </c>
      <c r="H2780" s="47" t="s">
        <v>1229</v>
      </c>
      <c r="I2780" s="47" t="s">
        <v>940</v>
      </c>
      <c r="J2780" s="47" t="s">
        <v>26</v>
      </c>
    </row>
    <row r="2781" ht="54" customHeight="1" spans="1:10">
      <c r="A2781" s="48" t="s">
        <v>885</v>
      </c>
      <c r="B2781" s="48" t="s">
        <v>4207</v>
      </c>
      <c r="C2781" s="47" t="s">
        <v>1348</v>
      </c>
      <c r="D2781" s="48" t="s">
        <v>1082</v>
      </c>
      <c r="E2781" s="48" t="s">
        <v>1083</v>
      </c>
      <c r="F2781" s="48" t="s">
        <v>1349</v>
      </c>
      <c r="G2781" s="48" t="s">
        <v>1350</v>
      </c>
      <c r="H2781" s="47" t="s">
        <v>1351</v>
      </c>
      <c r="I2781" s="47" t="s">
        <v>1352</v>
      </c>
      <c r="J2781" s="47" t="s">
        <v>26</v>
      </c>
    </row>
    <row r="2782" ht="54" customHeight="1" spans="1:10">
      <c r="A2782" s="48" t="s">
        <v>885</v>
      </c>
      <c r="B2782" s="48" t="s">
        <v>4208</v>
      </c>
      <c r="C2782" s="47" t="s">
        <v>1097</v>
      </c>
      <c r="D2782" s="48" t="s">
        <v>1098</v>
      </c>
      <c r="E2782" s="48" t="s">
        <v>1099</v>
      </c>
      <c r="F2782" s="48" t="s">
        <v>1100</v>
      </c>
      <c r="G2782" s="48" t="s">
        <v>1101</v>
      </c>
      <c r="H2782" s="47" t="s">
        <v>1102</v>
      </c>
      <c r="I2782" s="47" t="s">
        <v>1103</v>
      </c>
      <c r="J2782" s="47" t="s">
        <v>26</v>
      </c>
    </row>
    <row r="2783" ht="54" customHeight="1" spans="1:10">
      <c r="A2783" s="48" t="s">
        <v>885</v>
      </c>
      <c r="B2783" s="48" t="s">
        <v>4209</v>
      </c>
      <c r="C2783" s="47" t="s">
        <v>977</v>
      </c>
      <c r="D2783" s="48" t="s">
        <v>978</v>
      </c>
      <c r="E2783" s="48" t="s">
        <v>979</v>
      </c>
      <c r="F2783" s="48" t="s">
        <v>980</v>
      </c>
      <c r="G2783" s="48" t="s">
        <v>981</v>
      </c>
      <c r="H2783" s="47" t="s">
        <v>982</v>
      </c>
      <c r="I2783" s="47" t="s">
        <v>983</v>
      </c>
      <c r="J2783" s="47" t="s">
        <v>26</v>
      </c>
    </row>
    <row r="2784" ht="54" customHeight="1" spans="1:10">
      <c r="A2784" s="48" t="s">
        <v>887</v>
      </c>
      <c r="B2784" s="48" t="s">
        <v>4210</v>
      </c>
      <c r="C2784" s="47" t="s">
        <v>1097</v>
      </c>
      <c r="D2784" s="48" t="s">
        <v>1098</v>
      </c>
      <c r="E2784" s="48" t="s">
        <v>1099</v>
      </c>
      <c r="F2784" s="48" t="s">
        <v>1100</v>
      </c>
      <c r="G2784" s="48" t="s">
        <v>1101</v>
      </c>
      <c r="H2784" s="47" t="s">
        <v>1102</v>
      </c>
      <c r="I2784" s="47" t="s">
        <v>1103</v>
      </c>
      <c r="J2784" s="47" t="s">
        <v>26</v>
      </c>
    </row>
    <row r="2785" ht="54" customHeight="1" spans="1:10">
      <c r="A2785" s="48" t="s">
        <v>887</v>
      </c>
      <c r="B2785" s="48" t="s">
        <v>4211</v>
      </c>
      <c r="C2785" s="47" t="s">
        <v>971</v>
      </c>
      <c r="D2785" s="48" t="s">
        <v>965</v>
      </c>
      <c r="E2785" s="48" t="s">
        <v>966</v>
      </c>
      <c r="F2785" s="48" t="s">
        <v>972</v>
      </c>
      <c r="G2785" s="48" t="s">
        <v>973</v>
      </c>
      <c r="H2785" s="47" t="s">
        <v>974</v>
      </c>
      <c r="I2785" s="47" t="s">
        <v>975</v>
      </c>
      <c r="J2785" s="47" t="s">
        <v>26</v>
      </c>
    </row>
    <row r="2786" ht="54" customHeight="1" spans="1:10">
      <c r="A2786" s="48" t="s">
        <v>887</v>
      </c>
      <c r="B2786" s="48" t="s">
        <v>4212</v>
      </c>
      <c r="C2786" s="47" t="s">
        <v>1164</v>
      </c>
      <c r="D2786" s="48" t="s">
        <v>978</v>
      </c>
      <c r="E2786" s="48" t="s">
        <v>979</v>
      </c>
      <c r="F2786" s="48" t="s">
        <v>1165</v>
      </c>
      <c r="G2786" s="48" t="s">
        <v>1166</v>
      </c>
      <c r="H2786" s="47" t="s">
        <v>1167</v>
      </c>
      <c r="I2786" s="47" t="s">
        <v>1168</v>
      </c>
      <c r="J2786" s="47" t="s">
        <v>26</v>
      </c>
    </row>
    <row r="2787" ht="54" customHeight="1" spans="1:10">
      <c r="A2787" s="48" t="s">
        <v>889</v>
      </c>
      <c r="B2787" s="48" t="s">
        <v>4213</v>
      </c>
      <c r="C2787" s="47" t="s">
        <v>1459</v>
      </c>
      <c r="D2787" s="48" t="s">
        <v>957</v>
      </c>
      <c r="E2787" s="48" t="s">
        <v>958</v>
      </c>
      <c r="F2787" s="48" t="s">
        <v>1460</v>
      </c>
      <c r="G2787" s="48" t="s">
        <v>1461</v>
      </c>
      <c r="H2787" s="47" t="s">
        <v>1462</v>
      </c>
      <c r="I2787" s="47" t="s">
        <v>1463</v>
      </c>
      <c r="J2787" s="47" t="s">
        <v>26</v>
      </c>
    </row>
    <row r="2788" ht="54" customHeight="1" spans="1:10">
      <c r="A2788" s="48" t="s">
        <v>889</v>
      </c>
      <c r="B2788" s="48" t="s">
        <v>4214</v>
      </c>
      <c r="C2788" s="47" t="s">
        <v>956</v>
      </c>
      <c r="D2788" s="48" t="s">
        <v>957</v>
      </c>
      <c r="E2788" s="48" t="s">
        <v>958</v>
      </c>
      <c r="F2788" s="48" t="s">
        <v>959</v>
      </c>
      <c r="G2788" s="48" t="s">
        <v>960</v>
      </c>
      <c r="H2788" s="47" t="s">
        <v>961</v>
      </c>
      <c r="I2788" s="47" t="s">
        <v>962</v>
      </c>
      <c r="J2788" s="47" t="s">
        <v>26</v>
      </c>
    </row>
    <row r="2789" ht="54" customHeight="1" spans="1:10">
      <c r="A2789" s="48" t="s">
        <v>889</v>
      </c>
      <c r="B2789" s="48" t="s">
        <v>4215</v>
      </c>
      <c r="C2789" s="47" t="s">
        <v>1117</v>
      </c>
      <c r="D2789" s="48" t="s">
        <v>1118</v>
      </c>
      <c r="E2789" s="48" t="s">
        <v>1119</v>
      </c>
      <c r="F2789" s="48" t="s">
        <v>1120</v>
      </c>
      <c r="G2789" s="48" t="s">
        <v>1121</v>
      </c>
      <c r="H2789" s="47" t="s">
        <v>1122</v>
      </c>
      <c r="I2789" s="47" t="s">
        <v>1123</v>
      </c>
      <c r="J2789" s="47" t="s">
        <v>26</v>
      </c>
    </row>
    <row r="2790" ht="54" customHeight="1" spans="1:10">
      <c r="A2790" s="48" t="s">
        <v>889</v>
      </c>
      <c r="B2790" s="48" t="s">
        <v>4216</v>
      </c>
      <c r="C2790" s="47" t="s">
        <v>971</v>
      </c>
      <c r="D2790" s="48" t="s">
        <v>965</v>
      </c>
      <c r="E2790" s="48" t="s">
        <v>966</v>
      </c>
      <c r="F2790" s="48" t="s">
        <v>972</v>
      </c>
      <c r="G2790" s="48" t="s">
        <v>973</v>
      </c>
      <c r="H2790" s="47" t="s">
        <v>974</v>
      </c>
      <c r="I2790" s="47" t="s">
        <v>975</v>
      </c>
      <c r="J2790" s="47" t="s">
        <v>26</v>
      </c>
    </row>
    <row r="2791" ht="54" customHeight="1" spans="1:10">
      <c r="A2791" s="48" t="s">
        <v>889</v>
      </c>
      <c r="B2791" s="48" t="s">
        <v>4217</v>
      </c>
      <c r="C2791" s="47" t="s">
        <v>1291</v>
      </c>
      <c r="D2791" s="48" t="s">
        <v>965</v>
      </c>
      <c r="E2791" s="48" t="s">
        <v>966</v>
      </c>
      <c r="F2791" s="48" t="s">
        <v>1292</v>
      </c>
      <c r="G2791" s="48" t="s">
        <v>1293</v>
      </c>
      <c r="H2791" s="47" t="s">
        <v>1294</v>
      </c>
      <c r="I2791" s="47" t="s">
        <v>1295</v>
      </c>
      <c r="J2791" s="47" t="s">
        <v>26</v>
      </c>
    </row>
    <row r="2792" ht="54" customHeight="1" spans="1:10">
      <c r="A2792" s="48" t="s">
        <v>889</v>
      </c>
      <c r="B2792" s="48" t="s">
        <v>4218</v>
      </c>
      <c r="C2792" s="47" t="s">
        <v>977</v>
      </c>
      <c r="D2792" s="48" t="s">
        <v>978</v>
      </c>
      <c r="E2792" s="48" t="s">
        <v>979</v>
      </c>
      <c r="F2792" s="48" t="s">
        <v>980</v>
      </c>
      <c r="G2792" s="48" t="s">
        <v>981</v>
      </c>
      <c r="H2792" s="47" t="s">
        <v>982</v>
      </c>
      <c r="I2792" s="47" t="s">
        <v>983</v>
      </c>
      <c r="J2792" s="47" t="s">
        <v>26</v>
      </c>
    </row>
    <row r="2793" ht="54" customHeight="1" spans="1:10">
      <c r="A2793" s="48" t="s">
        <v>889</v>
      </c>
      <c r="B2793" s="48" t="s">
        <v>4219</v>
      </c>
      <c r="C2793" s="47" t="s">
        <v>2004</v>
      </c>
      <c r="D2793" s="48" t="s">
        <v>1171</v>
      </c>
      <c r="E2793" s="48" t="s">
        <v>1172</v>
      </c>
      <c r="F2793" s="48" t="s">
        <v>2005</v>
      </c>
      <c r="G2793" s="48" t="s">
        <v>2006</v>
      </c>
      <c r="H2793" s="47" t="s">
        <v>2007</v>
      </c>
      <c r="I2793" s="47" t="s">
        <v>1176</v>
      </c>
      <c r="J2793" s="47" t="s">
        <v>26</v>
      </c>
    </row>
    <row r="2794" ht="54" customHeight="1" spans="1:10">
      <c r="A2794" s="48" t="s">
        <v>889</v>
      </c>
      <c r="B2794" s="48" t="s">
        <v>4220</v>
      </c>
      <c r="C2794" s="47" t="s">
        <v>1145</v>
      </c>
      <c r="D2794" s="48" t="s">
        <v>1146</v>
      </c>
      <c r="E2794" s="48" t="s">
        <v>1147</v>
      </c>
      <c r="F2794" s="48" t="s">
        <v>1148</v>
      </c>
      <c r="G2794" s="48" t="s">
        <v>1149</v>
      </c>
      <c r="H2794" s="47" t="s">
        <v>1150</v>
      </c>
      <c r="I2794" s="47" t="s">
        <v>1151</v>
      </c>
      <c r="J2794" s="47" t="s">
        <v>26</v>
      </c>
    </row>
    <row r="2795" ht="54" customHeight="1" spans="1:10">
      <c r="A2795" s="48" t="s">
        <v>891</v>
      </c>
      <c r="B2795" s="48" t="s">
        <v>4221</v>
      </c>
      <c r="C2795" s="47" t="s">
        <v>934</v>
      </c>
      <c r="D2795" s="48" t="s">
        <v>935</v>
      </c>
      <c r="E2795" s="48" t="s">
        <v>936</v>
      </c>
      <c r="F2795" s="48" t="s">
        <v>937</v>
      </c>
      <c r="G2795" s="48" t="s">
        <v>938</v>
      </c>
      <c r="H2795" s="47" t="s">
        <v>939</v>
      </c>
      <c r="I2795" s="47" t="s">
        <v>940</v>
      </c>
      <c r="J2795" s="47" t="s">
        <v>26</v>
      </c>
    </row>
    <row r="2796" ht="54" customHeight="1" spans="1:10">
      <c r="A2796" s="48" t="s">
        <v>891</v>
      </c>
      <c r="B2796" s="48" t="s">
        <v>4222</v>
      </c>
      <c r="C2796" s="47" t="s">
        <v>1022</v>
      </c>
      <c r="D2796" s="48" t="s">
        <v>957</v>
      </c>
      <c r="E2796" s="48" t="s">
        <v>958</v>
      </c>
      <c r="F2796" s="48" t="s">
        <v>1023</v>
      </c>
      <c r="G2796" s="48" t="s">
        <v>1024</v>
      </c>
      <c r="H2796" s="47" t="s">
        <v>1025</v>
      </c>
      <c r="I2796" s="47" t="s">
        <v>1026</v>
      </c>
      <c r="J2796" s="47" t="s">
        <v>26</v>
      </c>
    </row>
    <row r="2797" ht="54" customHeight="1" spans="1:10">
      <c r="A2797" s="48" t="s">
        <v>891</v>
      </c>
      <c r="B2797" s="48" t="s">
        <v>4223</v>
      </c>
      <c r="C2797" s="47" t="s">
        <v>1089</v>
      </c>
      <c r="D2797" s="48" t="s">
        <v>957</v>
      </c>
      <c r="E2797" s="48" t="s">
        <v>958</v>
      </c>
      <c r="F2797" s="48" t="s">
        <v>1090</v>
      </c>
      <c r="G2797" s="48" t="s">
        <v>1091</v>
      </c>
      <c r="H2797" s="47" t="s">
        <v>1092</v>
      </c>
      <c r="I2797" s="47" t="s">
        <v>1093</v>
      </c>
      <c r="J2797" s="47" t="s">
        <v>26</v>
      </c>
    </row>
    <row r="2798" ht="54" customHeight="1" spans="1:10">
      <c r="A2798" s="48" t="s">
        <v>891</v>
      </c>
      <c r="B2798" s="48" t="s">
        <v>4224</v>
      </c>
      <c r="C2798" s="47" t="s">
        <v>950</v>
      </c>
      <c r="D2798" s="48" t="s">
        <v>935</v>
      </c>
      <c r="E2798" s="48" t="s">
        <v>936</v>
      </c>
      <c r="F2798" s="48" t="s">
        <v>951</v>
      </c>
      <c r="G2798" s="48" t="s">
        <v>952</v>
      </c>
      <c r="H2798" s="47" t="s">
        <v>953</v>
      </c>
      <c r="I2798" s="47" t="s">
        <v>954</v>
      </c>
      <c r="J2798" s="47" t="s">
        <v>26</v>
      </c>
    </row>
    <row r="2799" ht="54" customHeight="1" spans="1:10">
      <c r="A2799" s="48" t="s">
        <v>891</v>
      </c>
      <c r="B2799" s="48" t="s">
        <v>4225</v>
      </c>
      <c r="C2799" s="47" t="s">
        <v>1066</v>
      </c>
      <c r="D2799" s="48" t="s">
        <v>935</v>
      </c>
      <c r="E2799" s="48" t="s">
        <v>936</v>
      </c>
      <c r="F2799" s="48" t="s">
        <v>1067</v>
      </c>
      <c r="G2799" s="48" t="s">
        <v>1068</v>
      </c>
      <c r="H2799" s="47" t="s">
        <v>1069</v>
      </c>
      <c r="I2799" s="47" t="s">
        <v>940</v>
      </c>
      <c r="J2799" s="47" t="s">
        <v>26</v>
      </c>
    </row>
    <row r="2800" ht="54" customHeight="1" spans="1:10">
      <c r="A2800" s="48" t="s">
        <v>891</v>
      </c>
      <c r="B2800" s="48" t="s">
        <v>4226</v>
      </c>
      <c r="C2800" s="47" t="s">
        <v>971</v>
      </c>
      <c r="D2800" s="48" t="s">
        <v>965</v>
      </c>
      <c r="E2800" s="48" t="s">
        <v>966</v>
      </c>
      <c r="F2800" s="48" t="s">
        <v>972</v>
      </c>
      <c r="G2800" s="48" t="s">
        <v>973</v>
      </c>
      <c r="H2800" s="47" t="s">
        <v>974</v>
      </c>
      <c r="I2800" s="47" t="s">
        <v>975</v>
      </c>
      <c r="J2800" s="47" t="s">
        <v>26</v>
      </c>
    </row>
    <row r="2801" ht="54" customHeight="1" spans="1:10">
      <c r="A2801" s="48" t="s">
        <v>891</v>
      </c>
      <c r="B2801" s="48" t="s">
        <v>4227</v>
      </c>
      <c r="C2801" s="47" t="s">
        <v>977</v>
      </c>
      <c r="D2801" s="48" t="s">
        <v>978</v>
      </c>
      <c r="E2801" s="48" t="s">
        <v>979</v>
      </c>
      <c r="F2801" s="48" t="s">
        <v>980</v>
      </c>
      <c r="G2801" s="48" t="s">
        <v>981</v>
      </c>
      <c r="H2801" s="47" t="s">
        <v>982</v>
      </c>
      <c r="I2801" s="47" t="s">
        <v>983</v>
      </c>
      <c r="J2801" s="47" t="s">
        <v>26</v>
      </c>
    </row>
    <row r="2802" ht="54" customHeight="1" spans="1:10">
      <c r="A2802" s="48" t="s">
        <v>891</v>
      </c>
      <c r="B2802" s="48" t="s">
        <v>4228</v>
      </c>
      <c r="C2802" s="47" t="s">
        <v>1313</v>
      </c>
      <c r="D2802" s="48" t="s">
        <v>1037</v>
      </c>
      <c r="E2802" s="48" t="s">
        <v>1038</v>
      </c>
      <c r="F2802" s="48" t="s">
        <v>1314</v>
      </c>
      <c r="G2802" s="48" t="s">
        <v>1315</v>
      </c>
      <c r="H2802" s="47" t="s">
        <v>1316</v>
      </c>
      <c r="I2802" s="47" t="s">
        <v>1317</v>
      </c>
      <c r="J2802" s="47" t="s">
        <v>26</v>
      </c>
    </row>
    <row r="2803" ht="54" customHeight="1" spans="1:10">
      <c r="A2803" s="48" t="s">
        <v>893</v>
      </c>
      <c r="B2803" s="48" t="s">
        <v>4229</v>
      </c>
      <c r="C2803" s="47" t="s">
        <v>1534</v>
      </c>
      <c r="D2803" s="48" t="s">
        <v>935</v>
      </c>
      <c r="E2803" s="48" t="s">
        <v>936</v>
      </c>
      <c r="F2803" s="48" t="s">
        <v>1535</v>
      </c>
      <c r="G2803" s="48" t="s">
        <v>1536</v>
      </c>
      <c r="H2803" s="47" t="s">
        <v>1537</v>
      </c>
      <c r="I2803" s="47" t="s">
        <v>940</v>
      </c>
      <c r="J2803" s="47" t="s">
        <v>26</v>
      </c>
    </row>
    <row r="2804" ht="54" customHeight="1" spans="1:10">
      <c r="A2804" s="48" t="s">
        <v>893</v>
      </c>
      <c r="B2804" s="48" t="s">
        <v>4230</v>
      </c>
      <c r="C2804" s="47" t="s">
        <v>1000</v>
      </c>
      <c r="D2804" s="48" t="s">
        <v>1001</v>
      </c>
      <c r="E2804" s="48" t="s">
        <v>1002</v>
      </c>
      <c r="F2804" s="48" t="s">
        <v>1003</v>
      </c>
      <c r="G2804" s="48" t="s">
        <v>1004</v>
      </c>
      <c r="H2804" s="47" t="s">
        <v>1005</v>
      </c>
      <c r="I2804" s="47" t="s">
        <v>1006</v>
      </c>
      <c r="J2804" s="47" t="s">
        <v>26</v>
      </c>
    </row>
    <row r="2805" ht="54" customHeight="1" spans="1:10">
      <c r="A2805" s="48" t="s">
        <v>893</v>
      </c>
      <c r="B2805" s="48" t="s">
        <v>4231</v>
      </c>
      <c r="C2805" s="47" t="s">
        <v>942</v>
      </c>
      <c r="D2805" s="48" t="s">
        <v>943</v>
      </c>
      <c r="E2805" s="48" t="s">
        <v>944</v>
      </c>
      <c r="F2805" s="48" t="s">
        <v>945</v>
      </c>
      <c r="G2805" s="48" t="s">
        <v>946</v>
      </c>
      <c r="H2805" s="47" t="s">
        <v>947</v>
      </c>
      <c r="I2805" s="47" t="s">
        <v>948</v>
      </c>
      <c r="J2805" s="47" t="s">
        <v>26</v>
      </c>
    </row>
    <row r="2806" ht="54" customHeight="1" spans="1:10">
      <c r="A2806" s="48" t="s">
        <v>893</v>
      </c>
      <c r="B2806" s="48" t="s">
        <v>4232</v>
      </c>
      <c r="C2806" s="47" t="s">
        <v>1572</v>
      </c>
      <c r="D2806" s="48" t="s">
        <v>1098</v>
      </c>
      <c r="E2806" s="48" t="s">
        <v>1099</v>
      </c>
      <c r="F2806" s="48" t="s">
        <v>1573</v>
      </c>
      <c r="G2806" s="48" t="s">
        <v>1574</v>
      </c>
      <c r="H2806" s="47" t="s">
        <v>1575</v>
      </c>
      <c r="I2806" s="47" t="s">
        <v>1576</v>
      </c>
      <c r="J2806" s="47" t="s">
        <v>26</v>
      </c>
    </row>
    <row r="2807" ht="54" customHeight="1" spans="1:10">
      <c r="A2807" s="48" t="s">
        <v>893</v>
      </c>
      <c r="B2807" s="48" t="s">
        <v>4233</v>
      </c>
      <c r="C2807" s="47" t="s">
        <v>1028</v>
      </c>
      <c r="D2807" s="48" t="s">
        <v>1029</v>
      </c>
      <c r="E2807" s="48" t="s">
        <v>1030</v>
      </c>
      <c r="F2807" s="48" t="s">
        <v>1031</v>
      </c>
      <c r="G2807" s="48" t="s">
        <v>1032</v>
      </c>
      <c r="H2807" s="47" t="s">
        <v>1033</v>
      </c>
      <c r="I2807" s="47" t="s">
        <v>1034</v>
      </c>
      <c r="J2807" s="47" t="s">
        <v>26</v>
      </c>
    </row>
    <row r="2808" ht="54" customHeight="1" spans="1:10">
      <c r="A2808" s="48" t="s">
        <v>893</v>
      </c>
      <c r="B2808" s="48" t="s">
        <v>4234</v>
      </c>
      <c r="C2808" s="47" t="s">
        <v>1081</v>
      </c>
      <c r="D2808" s="48" t="s">
        <v>1082</v>
      </c>
      <c r="E2808" s="48" t="s">
        <v>1083</v>
      </c>
      <c r="F2808" s="48" t="s">
        <v>1084</v>
      </c>
      <c r="G2808" s="48" t="s">
        <v>1085</v>
      </c>
      <c r="H2808" s="47" t="s">
        <v>1086</v>
      </c>
      <c r="I2808" s="47" t="s">
        <v>1087</v>
      </c>
      <c r="J2808" s="47" t="s">
        <v>26</v>
      </c>
    </row>
    <row r="2809" ht="54" customHeight="1" spans="1:10">
      <c r="A2809" s="48" t="s">
        <v>893</v>
      </c>
      <c r="B2809" s="48" t="s">
        <v>4235</v>
      </c>
      <c r="C2809" s="47" t="s">
        <v>956</v>
      </c>
      <c r="D2809" s="48" t="s">
        <v>957</v>
      </c>
      <c r="E2809" s="48" t="s">
        <v>958</v>
      </c>
      <c r="F2809" s="48" t="s">
        <v>959</v>
      </c>
      <c r="G2809" s="48" t="s">
        <v>960</v>
      </c>
      <c r="H2809" s="47" t="s">
        <v>961</v>
      </c>
      <c r="I2809" s="47" t="s">
        <v>962</v>
      </c>
      <c r="J2809" s="47" t="s">
        <v>26</v>
      </c>
    </row>
    <row r="2810" ht="54" customHeight="1" spans="1:10">
      <c r="A2810" s="48" t="s">
        <v>893</v>
      </c>
      <c r="B2810" s="48" t="s">
        <v>4236</v>
      </c>
      <c r="C2810" s="47" t="s">
        <v>1105</v>
      </c>
      <c r="D2810" s="48" t="s">
        <v>1009</v>
      </c>
      <c r="E2810" s="48" t="s">
        <v>1010</v>
      </c>
      <c r="F2810" s="48" t="s">
        <v>1106</v>
      </c>
      <c r="G2810" s="48" t="s">
        <v>1107</v>
      </c>
      <c r="H2810" s="47" t="s">
        <v>1108</v>
      </c>
      <c r="I2810" s="47" t="s">
        <v>1109</v>
      </c>
      <c r="J2810" s="47" t="s">
        <v>26</v>
      </c>
    </row>
    <row r="2811" ht="54" customHeight="1" spans="1:10">
      <c r="A2811" s="48" t="s">
        <v>893</v>
      </c>
      <c r="B2811" s="48" t="s">
        <v>4237</v>
      </c>
      <c r="C2811" s="47" t="s">
        <v>1252</v>
      </c>
      <c r="D2811" s="48" t="s">
        <v>1001</v>
      </c>
      <c r="E2811" s="48" t="s">
        <v>1002</v>
      </c>
      <c r="F2811" s="48" t="s">
        <v>1253</v>
      </c>
      <c r="G2811" s="48" t="s">
        <v>1254</v>
      </c>
      <c r="H2811" s="47" t="s">
        <v>1255</v>
      </c>
      <c r="I2811" s="47" t="s">
        <v>1256</v>
      </c>
      <c r="J2811" s="47" t="s">
        <v>26</v>
      </c>
    </row>
    <row r="2812" ht="54" customHeight="1" spans="1:10">
      <c r="A2812" s="48" t="s">
        <v>893</v>
      </c>
      <c r="B2812" s="48" t="s">
        <v>4238</v>
      </c>
      <c r="C2812" s="47" t="s">
        <v>1111</v>
      </c>
      <c r="D2812" s="48" t="s">
        <v>965</v>
      </c>
      <c r="E2812" s="48" t="s">
        <v>966</v>
      </c>
      <c r="F2812" s="48" t="s">
        <v>1112</v>
      </c>
      <c r="G2812" s="48" t="s">
        <v>1113</v>
      </c>
      <c r="H2812" s="47" t="s">
        <v>1114</v>
      </c>
      <c r="I2812" s="47" t="s">
        <v>1115</v>
      </c>
      <c r="J2812" s="47" t="s">
        <v>26</v>
      </c>
    </row>
    <row r="2813" ht="54" customHeight="1" spans="1:10">
      <c r="A2813" s="48" t="s">
        <v>893</v>
      </c>
      <c r="B2813" s="48" t="s">
        <v>4239</v>
      </c>
      <c r="C2813" s="47" t="s">
        <v>1117</v>
      </c>
      <c r="D2813" s="48" t="s">
        <v>1118</v>
      </c>
      <c r="E2813" s="48" t="s">
        <v>1119</v>
      </c>
      <c r="F2813" s="48" t="s">
        <v>1120</v>
      </c>
      <c r="G2813" s="48" t="s">
        <v>1121</v>
      </c>
      <c r="H2813" s="47" t="s">
        <v>1122</v>
      </c>
      <c r="I2813" s="47" t="s">
        <v>1123</v>
      </c>
      <c r="J2813" s="47" t="s">
        <v>26</v>
      </c>
    </row>
    <row r="2814" ht="54" customHeight="1" spans="1:10">
      <c r="A2814" s="48" t="s">
        <v>893</v>
      </c>
      <c r="B2814" s="48" t="s">
        <v>4240</v>
      </c>
      <c r="C2814" s="47" t="s">
        <v>1545</v>
      </c>
      <c r="D2814" s="48" t="s">
        <v>1138</v>
      </c>
      <c r="E2814" s="48" t="s">
        <v>1139</v>
      </c>
      <c r="F2814" s="48" t="s">
        <v>1546</v>
      </c>
      <c r="G2814" s="48" t="s">
        <v>1547</v>
      </c>
      <c r="H2814" s="47" t="s">
        <v>1548</v>
      </c>
      <c r="I2814" s="47" t="s">
        <v>940</v>
      </c>
      <c r="J2814" s="47" t="s">
        <v>26</v>
      </c>
    </row>
    <row r="2815" ht="54" customHeight="1" spans="1:10">
      <c r="A2815" s="48" t="s">
        <v>895</v>
      </c>
      <c r="B2815" s="48" t="s">
        <v>4241</v>
      </c>
      <c r="C2815" s="47" t="s">
        <v>934</v>
      </c>
      <c r="D2815" s="48" t="s">
        <v>935</v>
      </c>
      <c r="E2815" s="48" t="s">
        <v>936</v>
      </c>
      <c r="F2815" s="48" t="s">
        <v>937</v>
      </c>
      <c r="G2815" s="48" t="s">
        <v>938</v>
      </c>
      <c r="H2815" s="47" t="s">
        <v>939</v>
      </c>
      <c r="I2815" s="47" t="s">
        <v>940</v>
      </c>
      <c r="J2815" s="47" t="s">
        <v>26</v>
      </c>
    </row>
    <row r="2816" ht="54" customHeight="1" spans="1:10">
      <c r="A2816" s="48" t="s">
        <v>895</v>
      </c>
      <c r="B2816" s="48" t="s">
        <v>4242</v>
      </c>
      <c r="C2816" s="47" t="s">
        <v>1052</v>
      </c>
      <c r="D2816" s="48" t="s">
        <v>1009</v>
      </c>
      <c r="E2816" s="48" t="s">
        <v>1010</v>
      </c>
      <c r="F2816" s="48" t="s">
        <v>1053</v>
      </c>
      <c r="G2816" s="48" t="s">
        <v>1054</v>
      </c>
      <c r="H2816" s="47" t="s">
        <v>1055</v>
      </c>
      <c r="I2816" s="47" t="s">
        <v>1056</v>
      </c>
      <c r="J2816" s="47" t="s">
        <v>26</v>
      </c>
    </row>
    <row r="2817" ht="54" customHeight="1" spans="1:10">
      <c r="A2817" s="48" t="s">
        <v>895</v>
      </c>
      <c r="B2817" s="48" t="s">
        <v>4243</v>
      </c>
      <c r="C2817" s="47" t="s">
        <v>1252</v>
      </c>
      <c r="D2817" s="48" t="s">
        <v>1001</v>
      </c>
      <c r="E2817" s="48" t="s">
        <v>1002</v>
      </c>
      <c r="F2817" s="48" t="s">
        <v>1253</v>
      </c>
      <c r="G2817" s="48" t="s">
        <v>1254</v>
      </c>
      <c r="H2817" s="47" t="s">
        <v>1255</v>
      </c>
      <c r="I2817" s="47" t="s">
        <v>1256</v>
      </c>
      <c r="J2817" s="47" t="s">
        <v>26</v>
      </c>
    </row>
    <row r="2818" ht="54" customHeight="1" spans="1:10">
      <c r="A2818" s="48" t="s">
        <v>895</v>
      </c>
      <c r="B2818" s="48" t="s">
        <v>4244</v>
      </c>
      <c r="C2818" s="47" t="s">
        <v>971</v>
      </c>
      <c r="D2818" s="48" t="s">
        <v>965</v>
      </c>
      <c r="E2818" s="48" t="s">
        <v>966</v>
      </c>
      <c r="F2818" s="48" t="s">
        <v>972</v>
      </c>
      <c r="G2818" s="48" t="s">
        <v>973</v>
      </c>
      <c r="H2818" s="47" t="s">
        <v>974</v>
      </c>
      <c r="I2818" s="47" t="s">
        <v>975</v>
      </c>
      <c r="J2818" s="47" t="s">
        <v>26</v>
      </c>
    </row>
    <row r="2819" ht="54" customHeight="1" spans="1:10">
      <c r="A2819" s="48" t="s">
        <v>895</v>
      </c>
      <c r="B2819" s="48" t="s">
        <v>4245</v>
      </c>
      <c r="C2819" s="47" t="s">
        <v>1164</v>
      </c>
      <c r="D2819" s="48" t="s">
        <v>978</v>
      </c>
      <c r="E2819" s="48" t="s">
        <v>979</v>
      </c>
      <c r="F2819" s="48" t="s">
        <v>1165</v>
      </c>
      <c r="G2819" s="48" t="s">
        <v>1166</v>
      </c>
      <c r="H2819" s="47" t="s">
        <v>1167</v>
      </c>
      <c r="I2819" s="47" t="s">
        <v>1168</v>
      </c>
      <c r="J2819" s="47" t="s">
        <v>26</v>
      </c>
    </row>
    <row r="2820" ht="54" customHeight="1" spans="1:10">
      <c r="A2820" s="48" t="s">
        <v>897</v>
      </c>
      <c r="B2820" s="48" t="s">
        <v>4246</v>
      </c>
      <c r="C2820" s="47" t="s">
        <v>1534</v>
      </c>
      <c r="D2820" s="48" t="s">
        <v>935</v>
      </c>
      <c r="E2820" s="48" t="s">
        <v>936</v>
      </c>
      <c r="F2820" s="48" t="s">
        <v>1535</v>
      </c>
      <c r="G2820" s="48" t="s">
        <v>1536</v>
      </c>
      <c r="H2820" s="47" t="s">
        <v>1537</v>
      </c>
      <c r="I2820" s="47" t="s">
        <v>940</v>
      </c>
      <c r="J2820" s="47" t="s">
        <v>26</v>
      </c>
    </row>
    <row r="2821" ht="54" customHeight="1" spans="1:10">
      <c r="A2821" s="48" t="s">
        <v>897</v>
      </c>
      <c r="B2821" s="48" t="s">
        <v>4247</v>
      </c>
      <c r="C2821" s="47" t="s">
        <v>2074</v>
      </c>
      <c r="D2821" s="48" t="s">
        <v>1029</v>
      </c>
      <c r="E2821" s="48" t="s">
        <v>1030</v>
      </c>
      <c r="F2821" s="48" t="s">
        <v>2075</v>
      </c>
      <c r="G2821" s="48" t="s">
        <v>2076</v>
      </c>
      <c r="H2821" s="47" t="s">
        <v>2077</v>
      </c>
      <c r="I2821" s="47" t="s">
        <v>2078</v>
      </c>
      <c r="J2821" s="47" t="s">
        <v>26</v>
      </c>
    </row>
    <row r="2822" ht="54" customHeight="1" spans="1:10">
      <c r="A2822" s="48" t="s">
        <v>897</v>
      </c>
      <c r="B2822" s="48" t="s">
        <v>4248</v>
      </c>
      <c r="C2822" s="47" t="s">
        <v>1297</v>
      </c>
      <c r="D2822" s="48" t="s">
        <v>1009</v>
      </c>
      <c r="E2822" s="48" t="s">
        <v>1010</v>
      </c>
      <c r="F2822" s="48" t="s">
        <v>1298</v>
      </c>
      <c r="G2822" s="48" t="s">
        <v>1299</v>
      </c>
      <c r="H2822" s="47" t="s">
        <v>1300</v>
      </c>
      <c r="I2822" s="47" t="s">
        <v>1301</v>
      </c>
      <c r="J2822" s="47" t="s">
        <v>26</v>
      </c>
    </row>
    <row r="2823" ht="54" customHeight="1" spans="1:10">
      <c r="A2823" s="48" t="s">
        <v>897</v>
      </c>
      <c r="B2823" s="48" t="s">
        <v>4249</v>
      </c>
      <c r="C2823" s="47" t="s">
        <v>1097</v>
      </c>
      <c r="D2823" s="48" t="s">
        <v>1098</v>
      </c>
      <c r="E2823" s="48" t="s">
        <v>1099</v>
      </c>
      <c r="F2823" s="48" t="s">
        <v>1100</v>
      </c>
      <c r="G2823" s="48" t="s">
        <v>1101</v>
      </c>
      <c r="H2823" s="47" t="s">
        <v>1102</v>
      </c>
      <c r="I2823" s="47" t="s">
        <v>1103</v>
      </c>
      <c r="J2823" s="47" t="s">
        <v>26</v>
      </c>
    </row>
    <row r="2824" ht="54" customHeight="1" spans="1:10">
      <c r="A2824" s="48" t="s">
        <v>897</v>
      </c>
      <c r="B2824" s="48" t="s">
        <v>4250</v>
      </c>
      <c r="C2824" s="47" t="s">
        <v>1666</v>
      </c>
      <c r="D2824" s="48" t="s">
        <v>1082</v>
      </c>
      <c r="E2824" s="48" t="s">
        <v>1083</v>
      </c>
      <c r="F2824" s="48" t="s">
        <v>1667</v>
      </c>
      <c r="G2824" s="48" t="s">
        <v>1668</v>
      </c>
      <c r="H2824" s="47" t="s">
        <v>1669</v>
      </c>
      <c r="I2824" s="47" t="s">
        <v>1670</v>
      </c>
      <c r="J2824" s="47" t="s">
        <v>26</v>
      </c>
    </row>
    <row r="2825" ht="54" customHeight="1" spans="1:10">
      <c r="A2825" s="48" t="s">
        <v>897</v>
      </c>
      <c r="B2825" s="48" t="s">
        <v>4251</v>
      </c>
      <c r="C2825" s="47" t="s">
        <v>1066</v>
      </c>
      <c r="D2825" s="48" t="s">
        <v>935</v>
      </c>
      <c r="E2825" s="48" t="s">
        <v>936</v>
      </c>
      <c r="F2825" s="48" t="s">
        <v>1067</v>
      </c>
      <c r="G2825" s="48" t="s">
        <v>1068</v>
      </c>
      <c r="H2825" s="47" t="s">
        <v>1069</v>
      </c>
      <c r="I2825" s="47" t="s">
        <v>940</v>
      </c>
      <c r="J2825" s="47" t="s">
        <v>26</v>
      </c>
    </row>
    <row r="2826" ht="54" customHeight="1" spans="1:10">
      <c r="A2826" s="48" t="s">
        <v>897</v>
      </c>
      <c r="B2826" s="48" t="s">
        <v>4252</v>
      </c>
      <c r="C2826" s="47" t="s">
        <v>1545</v>
      </c>
      <c r="D2826" s="48" t="s">
        <v>1138</v>
      </c>
      <c r="E2826" s="48" t="s">
        <v>1139</v>
      </c>
      <c r="F2826" s="48" t="s">
        <v>1546</v>
      </c>
      <c r="G2826" s="48" t="s">
        <v>1547</v>
      </c>
      <c r="H2826" s="47" t="s">
        <v>1548</v>
      </c>
      <c r="I2826" s="47" t="s">
        <v>940</v>
      </c>
      <c r="J2826" s="47" t="s">
        <v>26</v>
      </c>
    </row>
    <row r="2827" ht="54" customHeight="1" spans="1:10">
      <c r="A2827" s="48" t="s">
        <v>897</v>
      </c>
      <c r="B2827" s="48" t="s">
        <v>4253</v>
      </c>
      <c r="C2827" s="47" t="s">
        <v>1137</v>
      </c>
      <c r="D2827" s="48" t="s">
        <v>1138</v>
      </c>
      <c r="E2827" s="48" t="s">
        <v>1139</v>
      </c>
      <c r="F2827" s="48" t="s">
        <v>1140</v>
      </c>
      <c r="G2827" s="48" t="s">
        <v>1141</v>
      </c>
      <c r="H2827" s="47" t="s">
        <v>1142</v>
      </c>
      <c r="I2827" s="47" t="s">
        <v>940</v>
      </c>
      <c r="J2827" s="47" t="s">
        <v>26</v>
      </c>
    </row>
    <row r="2828" ht="54" customHeight="1" spans="1:10">
      <c r="A2828" s="48" t="s">
        <v>897</v>
      </c>
      <c r="B2828" s="48" t="s">
        <v>4254</v>
      </c>
      <c r="C2828" s="47" t="s">
        <v>971</v>
      </c>
      <c r="D2828" s="48" t="s">
        <v>965</v>
      </c>
      <c r="E2828" s="48" t="s">
        <v>966</v>
      </c>
      <c r="F2828" s="48" t="s">
        <v>972</v>
      </c>
      <c r="G2828" s="48" t="s">
        <v>973</v>
      </c>
      <c r="H2828" s="47" t="s">
        <v>974</v>
      </c>
      <c r="I2828" s="47" t="s">
        <v>975</v>
      </c>
      <c r="J2828" s="47" t="s">
        <v>26</v>
      </c>
    </row>
    <row r="2829" ht="54" customHeight="1" spans="1:10">
      <c r="A2829" s="48" t="s">
        <v>897</v>
      </c>
      <c r="B2829" s="48" t="s">
        <v>4255</v>
      </c>
      <c r="C2829" s="47" t="s">
        <v>977</v>
      </c>
      <c r="D2829" s="48" t="s">
        <v>978</v>
      </c>
      <c r="E2829" s="48" t="s">
        <v>979</v>
      </c>
      <c r="F2829" s="48" t="s">
        <v>980</v>
      </c>
      <c r="G2829" s="48" t="s">
        <v>981</v>
      </c>
      <c r="H2829" s="47" t="s">
        <v>982</v>
      </c>
      <c r="I2829" s="47" t="s">
        <v>983</v>
      </c>
      <c r="J2829" s="47" t="s">
        <v>26</v>
      </c>
    </row>
    <row r="2830" ht="54" customHeight="1" spans="1:10">
      <c r="A2830" s="48" t="s">
        <v>899</v>
      </c>
      <c r="B2830" s="48" t="s">
        <v>4256</v>
      </c>
      <c r="C2830" s="47" t="s">
        <v>1534</v>
      </c>
      <c r="D2830" s="48" t="s">
        <v>935</v>
      </c>
      <c r="E2830" s="48" t="s">
        <v>936</v>
      </c>
      <c r="F2830" s="48" t="s">
        <v>1535</v>
      </c>
      <c r="G2830" s="48" t="s">
        <v>1536</v>
      </c>
      <c r="H2830" s="47" t="s">
        <v>1537</v>
      </c>
      <c r="I2830" s="47" t="s">
        <v>940</v>
      </c>
      <c r="J2830" s="47" t="s">
        <v>26</v>
      </c>
    </row>
    <row r="2831" ht="54" customHeight="1" spans="1:10">
      <c r="A2831" s="48" t="s">
        <v>899</v>
      </c>
      <c r="B2831" s="48" t="s">
        <v>4257</v>
      </c>
      <c r="C2831" s="47" t="s">
        <v>1000</v>
      </c>
      <c r="D2831" s="48" t="s">
        <v>1001</v>
      </c>
      <c r="E2831" s="48" t="s">
        <v>1002</v>
      </c>
      <c r="F2831" s="48" t="s">
        <v>1003</v>
      </c>
      <c r="G2831" s="48" t="s">
        <v>1004</v>
      </c>
      <c r="H2831" s="47" t="s">
        <v>1005</v>
      </c>
      <c r="I2831" s="47" t="s">
        <v>1006</v>
      </c>
      <c r="J2831" s="47" t="s">
        <v>26</v>
      </c>
    </row>
    <row r="2832" ht="54" customHeight="1" spans="1:10">
      <c r="A2832" s="48" t="s">
        <v>899</v>
      </c>
      <c r="B2832" s="48" t="s">
        <v>4258</v>
      </c>
      <c r="C2832" s="47" t="s">
        <v>1572</v>
      </c>
      <c r="D2832" s="48" t="s">
        <v>1098</v>
      </c>
      <c r="E2832" s="48" t="s">
        <v>1099</v>
      </c>
      <c r="F2832" s="48" t="s">
        <v>1573</v>
      </c>
      <c r="G2832" s="48" t="s">
        <v>1574</v>
      </c>
      <c r="H2832" s="47" t="s">
        <v>1575</v>
      </c>
      <c r="I2832" s="47" t="s">
        <v>1576</v>
      </c>
      <c r="J2832" s="47" t="s">
        <v>26</v>
      </c>
    </row>
    <row r="2833" ht="54" customHeight="1" spans="1:10">
      <c r="A2833" s="48" t="s">
        <v>899</v>
      </c>
      <c r="B2833" s="48" t="s">
        <v>4259</v>
      </c>
      <c r="C2833" s="47" t="s">
        <v>1589</v>
      </c>
      <c r="D2833" s="48" t="s">
        <v>943</v>
      </c>
      <c r="E2833" s="48" t="s">
        <v>944</v>
      </c>
      <c r="F2833" s="48" t="s">
        <v>1590</v>
      </c>
      <c r="G2833" s="48" t="s">
        <v>1591</v>
      </c>
      <c r="H2833" s="47" t="s">
        <v>1592</v>
      </c>
      <c r="I2833" s="47" t="s">
        <v>1593</v>
      </c>
      <c r="J2833" s="47" t="s">
        <v>26</v>
      </c>
    </row>
    <row r="2834" ht="54" customHeight="1" spans="1:10">
      <c r="A2834" s="48" t="s">
        <v>899</v>
      </c>
      <c r="B2834" s="48" t="s">
        <v>4260</v>
      </c>
      <c r="C2834" s="47" t="s">
        <v>1097</v>
      </c>
      <c r="D2834" s="48" t="s">
        <v>1098</v>
      </c>
      <c r="E2834" s="48" t="s">
        <v>1099</v>
      </c>
      <c r="F2834" s="48" t="s">
        <v>1100</v>
      </c>
      <c r="G2834" s="48" t="s">
        <v>1101</v>
      </c>
      <c r="H2834" s="47" t="s">
        <v>1102</v>
      </c>
      <c r="I2834" s="47" t="s">
        <v>1103</v>
      </c>
      <c r="J2834" s="47" t="s">
        <v>26</v>
      </c>
    </row>
    <row r="2835" ht="54" customHeight="1" spans="1:10">
      <c r="A2835" s="48" t="s">
        <v>899</v>
      </c>
      <c r="B2835" s="48" t="s">
        <v>4261</v>
      </c>
      <c r="C2835" s="47" t="s">
        <v>1111</v>
      </c>
      <c r="D2835" s="48" t="s">
        <v>965</v>
      </c>
      <c r="E2835" s="48" t="s">
        <v>966</v>
      </c>
      <c r="F2835" s="48" t="s">
        <v>1112</v>
      </c>
      <c r="G2835" s="48" t="s">
        <v>1113</v>
      </c>
      <c r="H2835" s="47" t="s">
        <v>1114</v>
      </c>
      <c r="I2835" s="47" t="s">
        <v>1115</v>
      </c>
      <c r="J2835" s="47" t="s">
        <v>26</v>
      </c>
    </row>
    <row r="2836" ht="54" customHeight="1" spans="1:10">
      <c r="A2836" s="48" t="s">
        <v>899</v>
      </c>
      <c r="B2836" s="48" t="s">
        <v>4262</v>
      </c>
      <c r="C2836" s="47" t="s">
        <v>1545</v>
      </c>
      <c r="D2836" s="48" t="s">
        <v>1138</v>
      </c>
      <c r="E2836" s="48" t="s">
        <v>1139</v>
      </c>
      <c r="F2836" s="48" t="s">
        <v>1546</v>
      </c>
      <c r="G2836" s="48" t="s">
        <v>1547</v>
      </c>
      <c r="H2836" s="47" t="s">
        <v>1548</v>
      </c>
      <c r="I2836" s="47" t="s">
        <v>940</v>
      </c>
      <c r="J2836" s="47" t="s">
        <v>26</v>
      </c>
    </row>
    <row r="2837" ht="54" customHeight="1" spans="1:10">
      <c r="A2837" s="48" t="s">
        <v>899</v>
      </c>
      <c r="B2837" s="48" t="s">
        <v>4263</v>
      </c>
      <c r="C2837" s="47" t="s">
        <v>1285</v>
      </c>
      <c r="D2837" s="48" t="s">
        <v>965</v>
      </c>
      <c r="E2837" s="48" t="s">
        <v>966</v>
      </c>
      <c r="F2837" s="48" t="s">
        <v>1286</v>
      </c>
      <c r="G2837" s="48" t="s">
        <v>1287</v>
      </c>
      <c r="H2837" s="47" t="s">
        <v>1288</v>
      </c>
      <c r="I2837" s="47" t="s">
        <v>1289</v>
      </c>
      <c r="J2837" s="47" t="s">
        <v>26</v>
      </c>
    </row>
    <row r="2838" ht="54" customHeight="1" spans="1:10">
      <c r="A2838" s="48" t="s">
        <v>899</v>
      </c>
      <c r="B2838" s="48" t="s">
        <v>4264</v>
      </c>
      <c r="C2838" s="47" t="s">
        <v>1137</v>
      </c>
      <c r="D2838" s="48" t="s">
        <v>1138</v>
      </c>
      <c r="E2838" s="48" t="s">
        <v>1139</v>
      </c>
      <c r="F2838" s="48" t="s">
        <v>1140</v>
      </c>
      <c r="G2838" s="48" t="s">
        <v>1141</v>
      </c>
      <c r="H2838" s="47" t="s">
        <v>1142</v>
      </c>
      <c r="I2838" s="47" t="s">
        <v>940</v>
      </c>
      <c r="J2838" s="47" t="s">
        <v>26</v>
      </c>
    </row>
    <row r="2839" ht="54" customHeight="1" spans="1:10">
      <c r="A2839" s="48" t="s">
        <v>899</v>
      </c>
      <c r="B2839" s="48" t="s">
        <v>4265</v>
      </c>
      <c r="C2839" s="47" t="s">
        <v>1356</v>
      </c>
      <c r="D2839" s="48" t="s">
        <v>1082</v>
      </c>
      <c r="E2839" s="48" t="s">
        <v>1083</v>
      </c>
      <c r="F2839" s="48" t="s">
        <v>1357</v>
      </c>
      <c r="G2839" s="48" t="s">
        <v>1358</v>
      </c>
      <c r="H2839" s="47" t="s">
        <v>1359</v>
      </c>
      <c r="I2839" s="47" t="s">
        <v>1360</v>
      </c>
      <c r="J2839" s="47" t="s">
        <v>26</v>
      </c>
    </row>
    <row r="2840" ht="54" customHeight="1" spans="1:10">
      <c r="A2840" s="48" t="s">
        <v>899</v>
      </c>
      <c r="B2840" s="48" t="s">
        <v>4266</v>
      </c>
      <c r="C2840" s="47" t="s">
        <v>1211</v>
      </c>
      <c r="D2840" s="48" t="s">
        <v>965</v>
      </c>
      <c r="E2840" s="48" t="s">
        <v>966</v>
      </c>
      <c r="F2840" s="48" t="s">
        <v>1212</v>
      </c>
      <c r="G2840" s="48" t="s">
        <v>1213</v>
      </c>
      <c r="H2840" s="47" t="s">
        <v>1214</v>
      </c>
      <c r="I2840" s="47" t="s">
        <v>940</v>
      </c>
      <c r="J2840" s="47" t="s">
        <v>26</v>
      </c>
    </row>
    <row r="2841" ht="54" customHeight="1" spans="1:10">
      <c r="A2841" s="48" t="s">
        <v>901</v>
      </c>
      <c r="B2841" s="48" t="s">
        <v>4267</v>
      </c>
      <c r="C2841" s="47" t="s">
        <v>1534</v>
      </c>
      <c r="D2841" s="48" t="s">
        <v>935</v>
      </c>
      <c r="E2841" s="48" t="s">
        <v>936</v>
      </c>
      <c r="F2841" s="48" t="s">
        <v>1535</v>
      </c>
      <c r="G2841" s="48" t="s">
        <v>1536</v>
      </c>
      <c r="H2841" s="47" t="s">
        <v>1537</v>
      </c>
      <c r="I2841" s="47" t="s">
        <v>940</v>
      </c>
      <c r="J2841" s="47" t="s">
        <v>26</v>
      </c>
    </row>
    <row r="2842" ht="54" customHeight="1" spans="1:10">
      <c r="A2842" s="48" t="s">
        <v>901</v>
      </c>
      <c r="B2842" s="48" t="s">
        <v>4268</v>
      </c>
      <c r="C2842" s="47" t="s">
        <v>1008</v>
      </c>
      <c r="D2842" s="48" t="s">
        <v>1009</v>
      </c>
      <c r="E2842" s="48" t="s">
        <v>1010</v>
      </c>
      <c r="F2842" s="48" t="s">
        <v>1011</v>
      </c>
      <c r="G2842" s="48" t="s">
        <v>1012</v>
      </c>
      <c r="H2842" s="47" t="s">
        <v>1013</v>
      </c>
      <c r="I2842" s="47" t="s">
        <v>1014</v>
      </c>
      <c r="J2842" s="47" t="s">
        <v>26</v>
      </c>
    </row>
    <row r="2843" ht="54" customHeight="1" spans="1:10">
      <c r="A2843" s="48" t="s">
        <v>901</v>
      </c>
      <c r="B2843" s="48" t="s">
        <v>4269</v>
      </c>
      <c r="C2843" s="47" t="s">
        <v>1480</v>
      </c>
      <c r="D2843" s="48" t="s">
        <v>1001</v>
      </c>
      <c r="E2843" s="48" t="s">
        <v>1002</v>
      </c>
      <c r="F2843" s="48" t="s">
        <v>1481</v>
      </c>
      <c r="G2843" s="48" t="s">
        <v>1482</v>
      </c>
      <c r="H2843" s="47" t="s">
        <v>1483</v>
      </c>
      <c r="I2843" s="47" t="s">
        <v>1484</v>
      </c>
      <c r="J2843" s="47" t="s">
        <v>26</v>
      </c>
    </row>
    <row r="2844" ht="54" customHeight="1" spans="1:10">
      <c r="A2844" s="48" t="s">
        <v>901</v>
      </c>
      <c r="B2844" s="48" t="s">
        <v>4270</v>
      </c>
      <c r="C2844" s="47" t="s">
        <v>1459</v>
      </c>
      <c r="D2844" s="48" t="s">
        <v>957</v>
      </c>
      <c r="E2844" s="48" t="s">
        <v>958</v>
      </c>
      <c r="F2844" s="48" t="s">
        <v>1460</v>
      </c>
      <c r="G2844" s="48" t="s">
        <v>1461</v>
      </c>
      <c r="H2844" s="47" t="s">
        <v>1462</v>
      </c>
      <c r="I2844" s="47" t="s">
        <v>1463</v>
      </c>
      <c r="J2844" s="47" t="s">
        <v>26</v>
      </c>
    </row>
    <row r="2845" ht="54" customHeight="1" spans="1:10">
      <c r="A2845" s="48" t="s">
        <v>901</v>
      </c>
      <c r="B2845" s="48" t="s">
        <v>4271</v>
      </c>
      <c r="C2845" s="47" t="s">
        <v>1105</v>
      </c>
      <c r="D2845" s="48" t="s">
        <v>1009</v>
      </c>
      <c r="E2845" s="48" t="s">
        <v>1010</v>
      </c>
      <c r="F2845" s="48" t="s">
        <v>1106</v>
      </c>
      <c r="G2845" s="48" t="s">
        <v>1107</v>
      </c>
      <c r="H2845" s="47" t="s">
        <v>1108</v>
      </c>
      <c r="I2845" s="47" t="s">
        <v>1109</v>
      </c>
      <c r="J2845" s="47" t="s">
        <v>26</v>
      </c>
    </row>
    <row r="2846" ht="54" customHeight="1" spans="1:10">
      <c r="A2846" s="48" t="s">
        <v>901</v>
      </c>
      <c r="B2846" s="48" t="s">
        <v>4272</v>
      </c>
      <c r="C2846" s="47" t="s">
        <v>1767</v>
      </c>
      <c r="D2846" s="48" t="s">
        <v>957</v>
      </c>
      <c r="E2846" s="48" t="s">
        <v>958</v>
      </c>
      <c r="F2846" s="48" t="s">
        <v>1768</v>
      </c>
      <c r="G2846" s="48" t="s">
        <v>1769</v>
      </c>
      <c r="H2846" s="47" t="s">
        <v>1770</v>
      </c>
      <c r="I2846" s="47" t="s">
        <v>1771</v>
      </c>
      <c r="J2846" s="47" t="s">
        <v>26</v>
      </c>
    </row>
    <row r="2847" ht="54" customHeight="1" spans="1:10">
      <c r="A2847" s="48" t="s">
        <v>901</v>
      </c>
      <c r="B2847" s="48" t="s">
        <v>4273</v>
      </c>
      <c r="C2847" s="47" t="s">
        <v>1375</v>
      </c>
      <c r="D2847" s="48" t="s">
        <v>1098</v>
      </c>
      <c r="E2847" s="48" t="s">
        <v>1099</v>
      </c>
      <c r="F2847" s="48" t="s">
        <v>1376</v>
      </c>
      <c r="G2847" s="48" t="s">
        <v>1377</v>
      </c>
      <c r="H2847" s="47" t="s">
        <v>1378</v>
      </c>
      <c r="I2847" s="47" t="s">
        <v>1379</v>
      </c>
      <c r="J2847" s="47" t="s">
        <v>26</v>
      </c>
    </row>
    <row r="2848" ht="54" customHeight="1" spans="1:10">
      <c r="A2848" s="48" t="s">
        <v>901</v>
      </c>
      <c r="B2848" s="48" t="s">
        <v>4274</v>
      </c>
      <c r="C2848" s="47" t="s">
        <v>1066</v>
      </c>
      <c r="D2848" s="48" t="s">
        <v>935</v>
      </c>
      <c r="E2848" s="48" t="s">
        <v>936</v>
      </c>
      <c r="F2848" s="48" t="s">
        <v>1067</v>
      </c>
      <c r="G2848" s="48" t="s">
        <v>1068</v>
      </c>
      <c r="H2848" s="47" t="s">
        <v>1069</v>
      </c>
      <c r="I2848" s="47" t="s">
        <v>940</v>
      </c>
      <c r="J2848" s="47" t="s">
        <v>26</v>
      </c>
    </row>
    <row r="2849" ht="54" customHeight="1" spans="1:10">
      <c r="A2849" s="48" t="s">
        <v>901</v>
      </c>
      <c r="B2849" s="48" t="s">
        <v>4275</v>
      </c>
      <c r="C2849" s="47" t="s">
        <v>1111</v>
      </c>
      <c r="D2849" s="48" t="s">
        <v>965</v>
      </c>
      <c r="E2849" s="48" t="s">
        <v>966</v>
      </c>
      <c r="F2849" s="48" t="s">
        <v>1112</v>
      </c>
      <c r="G2849" s="48" t="s">
        <v>1113</v>
      </c>
      <c r="H2849" s="47" t="s">
        <v>1114</v>
      </c>
      <c r="I2849" s="47" t="s">
        <v>1115</v>
      </c>
      <c r="J2849" s="47" t="s">
        <v>26</v>
      </c>
    </row>
    <row r="2850" ht="54" customHeight="1" spans="1:10">
      <c r="A2850" s="48" t="s">
        <v>901</v>
      </c>
      <c r="B2850" s="48" t="s">
        <v>4276</v>
      </c>
      <c r="C2850" s="47" t="s">
        <v>1545</v>
      </c>
      <c r="D2850" s="48" t="s">
        <v>1138</v>
      </c>
      <c r="E2850" s="48" t="s">
        <v>1139</v>
      </c>
      <c r="F2850" s="48" t="s">
        <v>1546</v>
      </c>
      <c r="G2850" s="48" t="s">
        <v>1547</v>
      </c>
      <c r="H2850" s="47" t="s">
        <v>1548</v>
      </c>
      <c r="I2850" s="47" t="s">
        <v>940</v>
      </c>
      <c r="J2850" s="47" t="s">
        <v>26</v>
      </c>
    </row>
    <row r="2851" ht="54" customHeight="1" spans="1:10">
      <c r="A2851" s="48" t="s">
        <v>903</v>
      </c>
      <c r="B2851" s="48" t="s">
        <v>4277</v>
      </c>
      <c r="C2851" s="47" t="s">
        <v>1516</v>
      </c>
      <c r="D2851" s="48" t="s">
        <v>1073</v>
      </c>
      <c r="E2851" s="48" t="s">
        <v>1074</v>
      </c>
      <c r="F2851" s="48" t="s">
        <v>1517</v>
      </c>
      <c r="G2851" s="48" t="s">
        <v>1518</v>
      </c>
      <c r="H2851" s="47" t="s">
        <v>1519</v>
      </c>
      <c r="I2851" s="47" t="s">
        <v>1520</v>
      </c>
      <c r="J2851" s="47" t="s">
        <v>26</v>
      </c>
    </row>
    <row r="2852" ht="54" customHeight="1" spans="1:10">
      <c r="A2852" s="48" t="s">
        <v>903</v>
      </c>
      <c r="B2852" s="48" t="s">
        <v>4278</v>
      </c>
      <c r="C2852" s="47" t="s">
        <v>1072</v>
      </c>
      <c r="D2852" s="48" t="s">
        <v>1073</v>
      </c>
      <c r="E2852" s="48" t="s">
        <v>1074</v>
      </c>
      <c r="F2852" s="48" t="s">
        <v>1075</v>
      </c>
      <c r="G2852" s="48" t="s">
        <v>1076</v>
      </c>
      <c r="H2852" s="47" t="s">
        <v>1077</v>
      </c>
      <c r="I2852" s="47" t="s">
        <v>1078</v>
      </c>
      <c r="J2852" s="47" t="s">
        <v>26</v>
      </c>
    </row>
    <row r="2853" ht="54" customHeight="1" spans="1:10">
      <c r="A2853" s="48" t="s">
        <v>903</v>
      </c>
      <c r="B2853" s="48" t="s">
        <v>4279</v>
      </c>
      <c r="C2853" s="47" t="s">
        <v>1421</v>
      </c>
      <c r="D2853" s="48" t="s">
        <v>1422</v>
      </c>
      <c r="E2853" s="48" t="s">
        <v>1423</v>
      </c>
      <c r="F2853" s="48" t="s">
        <v>1424</v>
      </c>
      <c r="G2853" s="48" t="s">
        <v>1423</v>
      </c>
      <c r="H2853" s="47" t="s">
        <v>1425</v>
      </c>
      <c r="I2853" s="47" t="s">
        <v>1426</v>
      </c>
      <c r="J2853" s="47" t="s">
        <v>26</v>
      </c>
    </row>
    <row r="2854" ht="54" customHeight="1" spans="1:10">
      <c r="A2854" s="48" t="s">
        <v>903</v>
      </c>
      <c r="B2854" s="48" t="s">
        <v>4280</v>
      </c>
      <c r="C2854" s="47" t="s">
        <v>1016</v>
      </c>
      <c r="D2854" s="48" t="s">
        <v>935</v>
      </c>
      <c r="E2854" s="48" t="s">
        <v>936</v>
      </c>
      <c r="F2854" s="48" t="s">
        <v>1017</v>
      </c>
      <c r="G2854" s="48" t="s">
        <v>1018</v>
      </c>
      <c r="H2854" s="47" t="s">
        <v>1019</v>
      </c>
      <c r="I2854" s="47" t="s">
        <v>1020</v>
      </c>
      <c r="J2854" s="47" t="s">
        <v>26</v>
      </c>
    </row>
    <row r="2855" ht="54" customHeight="1" spans="1:10">
      <c r="A2855" s="48" t="s">
        <v>903</v>
      </c>
      <c r="B2855" s="48" t="s">
        <v>4281</v>
      </c>
      <c r="C2855" s="47" t="s">
        <v>1362</v>
      </c>
      <c r="D2855" s="48" t="s">
        <v>1059</v>
      </c>
      <c r="E2855" s="48" t="s">
        <v>1060</v>
      </c>
      <c r="F2855" s="48" t="s">
        <v>1363</v>
      </c>
      <c r="G2855" s="48" t="s">
        <v>1364</v>
      </c>
      <c r="H2855" s="47" t="s">
        <v>1365</v>
      </c>
      <c r="I2855" s="47" t="s">
        <v>1366</v>
      </c>
      <c r="J2855" s="47" t="s">
        <v>26</v>
      </c>
    </row>
    <row r="2856" ht="54" customHeight="1" spans="1:10">
      <c r="A2856" s="48" t="s">
        <v>903</v>
      </c>
      <c r="B2856" s="48" t="s">
        <v>4282</v>
      </c>
      <c r="C2856" s="47" t="s">
        <v>1718</v>
      </c>
      <c r="D2856" s="48" t="s">
        <v>1719</v>
      </c>
      <c r="E2856" s="48" t="s">
        <v>1720</v>
      </c>
      <c r="F2856" s="48" t="s">
        <v>1721</v>
      </c>
      <c r="G2856" s="48" t="s">
        <v>1722</v>
      </c>
      <c r="H2856" s="47" t="s">
        <v>1723</v>
      </c>
      <c r="I2856" s="47" t="s">
        <v>1724</v>
      </c>
      <c r="J2856" s="47" t="s">
        <v>26</v>
      </c>
    </row>
    <row r="2857" ht="54" customHeight="1" spans="1:10">
      <c r="A2857" s="48" t="s">
        <v>903</v>
      </c>
      <c r="B2857" s="48" t="s">
        <v>4283</v>
      </c>
      <c r="C2857" s="47" t="s">
        <v>1066</v>
      </c>
      <c r="D2857" s="48" t="s">
        <v>935</v>
      </c>
      <c r="E2857" s="48" t="s">
        <v>936</v>
      </c>
      <c r="F2857" s="48" t="s">
        <v>1067</v>
      </c>
      <c r="G2857" s="48" t="s">
        <v>1068</v>
      </c>
      <c r="H2857" s="47" t="s">
        <v>1069</v>
      </c>
      <c r="I2857" s="47" t="s">
        <v>940</v>
      </c>
      <c r="J2857" s="47" t="s">
        <v>26</v>
      </c>
    </row>
    <row r="2858" ht="54" customHeight="1" spans="1:10">
      <c r="A2858" s="48" t="s">
        <v>903</v>
      </c>
      <c r="B2858" s="48" t="s">
        <v>4284</v>
      </c>
      <c r="C2858" s="47" t="s">
        <v>1111</v>
      </c>
      <c r="D2858" s="48" t="s">
        <v>965</v>
      </c>
      <c r="E2858" s="48" t="s">
        <v>966</v>
      </c>
      <c r="F2858" s="48" t="s">
        <v>1112</v>
      </c>
      <c r="G2858" s="48" t="s">
        <v>1113</v>
      </c>
      <c r="H2858" s="47" t="s">
        <v>1114</v>
      </c>
      <c r="I2858" s="47" t="s">
        <v>1115</v>
      </c>
      <c r="J2858" s="47" t="s">
        <v>26</v>
      </c>
    </row>
    <row r="2859" ht="54" customHeight="1" spans="1:10">
      <c r="A2859" s="48" t="s">
        <v>903</v>
      </c>
      <c r="B2859" s="48" t="s">
        <v>4285</v>
      </c>
      <c r="C2859" s="47" t="s">
        <v>1125</v>
      </c>
      <c r="D2859" s="48" t="s">
        <v>1059</v>
      </c>
      <c r="E2859" s="48" t="s">
        <v>1060</v>
      </c>
      <c r="F2859" s="48" t="s">
        <v>1126</v>
      </c>
      <c r="G2859" s="48" t="s">
        <v>1127</v>
      </c>
      <c r="H2859" s="47" t="s">
        <v>1128</v>
      </c>
      <c r="I2859" s="47" t="s">
        <v>1129</v>
      </c>
      <c r="J2859" s="47" t="s">
        <v>26</v>
      </c>
    </row>
    <row r="2860" ht="54" customHeight="1" spans="1:10">
      <c r="A2860" s="48" t="s">
        <v>903</v>
      </c>
      <c r="B2860" s="48" t="s">
        <v>4286</v>
      </c>
      <c r="C2860" s="47" t="s">
        <v>1137</v>
      </c>
      <c r="D2860" s="48" t="s">
        <v>1138</v>
      </c>
      <c r="E2860" s="48" t="s">
        <v>1139</v>
      </c>
      <c r="F2860" s="48" t="s">
        <v>1140</v>
      </c>
      <c r="G2860" s="48" t="s">
        <v>1141</v>
      </c>
      <c r="H2860" s="47" t="s">
        <v>1142</v>
      </c>
      <c r="I2860" s="47" t="s">
        <v>940</v>
      </c>
      <c r="J2860" s="47" t="s">
        <v>26</v>
      </c>
    </row>
    <row r="2861" ht="54" customHeight="1" spans="1:10">
      <c r="A2861" s="48" t="s">
        <v>903</v>
      </c>
      <c r="B2861" s="48" t="s">
        <v>4287</v>
      </c>
      <c r="C2861" s="47" t="s">
        <v>971</v>
      </c>
      <c r="D2861" s="48" t="s">
        <v>965</v>
      </c>
      <c r="E2861" s="48" t="s">
        <v>966</v>
      </c>
      <c r="F2861" s="48" t="s">
        <v>972</v>
      </c>
      <c r="G2861" s="48" t="s">
        <v>973</v>
      </c>
      <c r="H2861" s="47" t="s">
        <v>974</v>
      </c>
      <c r="I2861" s="47" t="s">
        <v>975</v>
      </c>
      <c r="J2861" s="47" t="s">
        <v>26</v>
      </c>
    </row>
    <row r="2862" ht="54" customHeight="1" spans="1:10">
      <c r="A2862" s="48" t="s">
        <v>903</v>
      </c>
      <c r="B2862" s="48" t="s">
        <v>4288</v>
      </c>
      <c r="C2862" s="47" t="s">
        <v>1205</v>
      </c>
      <c r="D2862" s="48" t="s">
        <v>978</v>
      </c>
      <c r="E2862" s="48" t="s">
        <v>979</v>
      </c>
      <c r="F2862" s="48" t="s">
        <v>1206</v>
      </c>
      <c r="G2862" s="48" t="s">
        <v>1207</v>
      </c>
      <c r="H2862" s="47" t="s">
        <v>1208</v>
      </c>
      <c r="I2862" s="47" t="s">
        <v>1209</v>
      </c>
      <c r="J2862" s="47" t="s">
        <v>26</v>
      </c>
    </row>
    <row r="2863" ht="54" customHeight="1" spans="1:10">
      <c r="A2863" s="48" t="s">
        <v>905</v>
      </c>
      <c r="B2863" s="48" t="s">
        <v>4289</v>
      </c>
      <c r="C2863" s="47" t="s">
        <v>985</v>
      </c>
      <c r="D2863" s="48" t="s">
        <v>986</v>
      </c>
      <c r="E2863" s="48" t="s">
        <v>987</v>
      </c>
      <c r="F2863" s="48" t="s">
        <v>988</v>
      </c>
      <c r="G2863" s="48" t="s">
        <v>987</v>
      </c>
      <c r="H2863" s="47" t="s">
        <v>989</v>
      </c>
      <c r="I2863" s="47" t="s">
        <v>990</v>
      </c>
      <c r="J2863" s="47" t="s">
        <v>26</v>
      </c>
    </row>
    <row r="2864" ht="54" customHeight="1" spans="1:10">
      <c r="A2864" s="48" t="s">
        <v>905</v>
      </c>
      <c r="B2864" s="48" t="s">
        <v>4290</v>
      </c>
      <c r="C2864" s="47" t="s">
        <v>934</v>
      </c>
      <c r="D2864" s="48" t="s">
        <v>935</v>
      </c>
      <c r="E2864" s="48" t="s">
        <v>936</v>
      </c>
      <c r="F2864" s="48" t="s">
        <v>937</v>
      </c>
      <c r="G2864" s="48" t="s">
        <v>938</v>
      </c>
      <c r="H2864" s="47" t="s">
        <v>939</v>
      </c>
      <c r="I2864" s="47" t="s">
        <v>940</v>
      </c>
      <c r="J2864" s="47" t="s">
        <v>26</v>
      </c>
    </row>
    <row r="2865" ht="54" customHeight="1" spans="1:10">
      <c r="A2865" s="48" t="s">
        <v>905</v>
      </c>
      <c r="B2865" s="48" t="s">
        <v>4291</v>
      </c>
      <c r="C2865" s="47" t="s">
        <v>1505</v>
      </c>
      <c r="D2865" s="48" t="s">
        <v>1506</v>
      </c>
      <c r="E2865" s="48" t="s">
        <v>1507</v>
      </c>
      <c r="F2865" s="48" t="s">
        <v>1508</v>
      </c>
      <c r="G2865" s="48" t="s">
        <v>1507</v>
      </c>
      <c r="H2865" s="47" t="s">
        <v>1509</v>
      </c>
      <c r="I2865" s="47" t="s">
        <v>1510</v>
      </c>
      <c r="J2865" s="47" t="s">
        <v>26</v>
      </c>
    </row>
    <row r="2866" ht="54" customHeight="1" spans="1:10">
      <c r="A2866" s="48" t="s">
        <v>905</v>
      </c>
      <c r="B2866" s="48" t="s">
        <v>4292</v>
      </c>
      <c r="C2866" s="47" t="s">
        <v>1000</v>
      </c>
      <c r="D2866" s="48" t="s">
        <v>1001</v>
      </c>
      <c r="E2866" s="48" t="s">
        <v>1002</v>
      </c>
      <c r="F2866" s="48" t="s">
        <v>1003</v>
      </c>
      <c r="G2866" s="48" t="s">
        <v>1004</v>
      </c>
      <c r="H2866" s="47" t="s">
        <v>1005</v>
      </c>
      <c r="I2866" s="47" t="s">
        <v>1006</v>
      </c>
      <c r="J2866" s="47" t="s">
        <v>26</v>
      </c>
    </row>
    <row r="2867" ht="54" customHeight="1" spans="1:10">
      <c r="A2867" s="48" t="s">
        <v>905</v>
      </c>
      <c r="B2867" s="48" t="s">
        <v>4293</v>
      </c>
      <c r="C2867" s="47" t="s">
        <v>1028</v>
      </c>
      <c r="D2867" s="48" t="s">
        <v>1029</v>
      </c>
      <c r="E2867" s="48" t="s">
        <v>1030</v>
      </c>
      <c r="F2867" s="48" t="s">
        <v>1031</v>
      </c>
      <c r="G2867" s="48" t="s">
        <v>1032</v>
      </c>
      <c r="H2867" s="47" t="s">
        <v>1033</v>
      </c>
      <c r="I2867" s="47" t="s">
        <v>1034</v>
      </c>
      <c r="J2867" s="47" t="s">
        <v>26</v>
      </c>
    </row>
    <row r="2868" ht="54" customHeight="1" spans="1:10">
      <c r="A2868" s="48" t="s">
        <v>905</v>
      </c>
      <c r="B2868" s="48" t="s">
        <v>4294</v>
      </c>
      <c r="C2868" s="47" t="s">
        <v>1718</v>
      </c>
      <c r="D2868" s="48" t="s">
        <v>1719</v>
      </c>
      <c r="E2868" s="48" t="s">
        <v>1720</v>
      </c>
      <c r="F2868" s="48" t="s">
        <v>1721</v>
      </c>
      <c r="G2868" s="48" t="s">
        <v>1722</v>
      </c>
      <c r="H2868" s="47" t="s">
        <v>1723</v>
      </c>
      <c r="I2868" s="47" t="s">
        <v>1724</v>
      </c>
      <c r="J2868" s="47" t="s">
        <v>26</v>
      </c>
    </row>
    <row r="2869" ht="54" customHeight="1" spans="1:10">
      <c r="A2869" s="48" t="s">
        <v>907</v>
      </c>
      <c r="B2869" s="48" t="s">
        <v>4295</v>
      </c>
      <c r="C2869" s="47" t="s">
        <v>985</v>
      </c>
      <c r="D2869" s="48" t="s">
        <v>986</v>
      </c>
      <c r="E2869" s="48" t="s">
        <v>987</v>
      </c>
      <c r="F2869" s="48" t="s">
        <v>988</v>
      </c>
      <c r="G2869" s="48" t="s">
        <v>987</v>
      </c>
      <c r="H2869" s="47" t="s">
        <v>989</v>
      </c>
      <c r="I2869" s="47" t="s">
        <v>990</v>
      </c>
      <c r="J2869" s="47" t="s">
        <v>29</v>
      </c>
    </row>
    <row r="2870" ht="54" customHeight="1" spans="1:10">
      <c r="A2870" s="48" t="s">
        <v>907</v>
      </c>
      <c r="B2870" s="48" t="s">
        <v>4296</v>
      </c>
      <c r="C2870" s="47" t="s">
        <v>992</v>
      </c>
      <c r="D2870" s="48" t="s">
        <v>993</v>
      </c>
      <c r="E2870" s="48" t="s">
        <v>994</v>
      </c>
      <c r="F2870" s="48" t="s">
        <v>995</v>
      </c>
      <c r="G2870" s="48" t="s">
        <v>996</v>
      </c>
      <c r="H2870" s="47" t="s">
        <v>997</v>
      </c>
      <c r="I2870" s="47" t="s">
        <v>998</v>
      </c>
      <c r="J2870" s="47" t="s">
        <v>29</v>
      </c>
    </row>
    <row r="2871" ht="54" customHeight="1" spans="1:10">
      <c r="A2871" s="48" t="s">
        <v>907</v>
      </c>
      <c r="B2871" s="48" t="s">
        <v>4297</v>
      </c>
      <c r="C2871" s="47" t="s">
        <v>1016</v>
      </c>
      <c r="D2871" s="48" t="s">
        <v>935</v>
      </c>
      <c r="E2871" s="48" t="s">
        <v>936</v>
      </c>
      <c r="F2871" s="48" t="s">
        <v>1017</v>
      </c>
      <c r="G2871" s="48" t="s">
        <v>1018</v>
      </c>
      <c r="H2871" s="47" t="s">
        <v>1019</v>
      </c>
      <c r="I2871" s="47" t="s">
        <v>1020</v>
      </c>
      <c r="J2871" s="47" t="s">
        <v>29</v>
      </c>
    </row>
    <row r="2872" ht="54" customHeight="1" spans="1:10">
      <c r="A2872" s="48" t="s">
        <v>907</v>
      </c>
      <c r="B2872" s="48" t="s">
        <v>4298</v>
      </c>
      <c r="C2872" s="47" t="s">
        <v>1480</v>
      </c>
      <c r="D2872" s="48" t="s">
        <v>1001</v>
      </c>
      <c r="E2872" s="48" t="s">
        <v>1002</v>
      </c>
      <c r="F2872" s="48" t="s">
        <v>1481</v>
      </c>
      <c r="G2872" s="48" t="s">
        <v>1482</v>
      </c>
      <c r="H2872" s="47" t="s">
        <v>1483</v>
      </c>
      <c r="I2872" s="47" t="s">
        <v>1484</v>
      </c>
      <c r="J2872" s="47" t="s">
        <v>29</v>
      </c>
    </row>
    <row r="2873" ht="54" customHeight="1" spans="1:10">
      <c r="A2873" s="48" t="s">
        <v>907</v>
      </c>
      <c r="B2873" s="48" t="s">
        <v>4299</v>
      </c>
      <c r="C2873" s="47" t="s">
        <v>1044</v>
      </c>
      <c r="D2873" s="48" t="s">
        <v>1045</v>
      </c>
      <c r="E2873" s="48" t="s">
        <v>1046</v>
      </c>
      <c r="F2873" s="48" t="s">
        <v>1047</v>
      </c>
      <c r="G2873" s="48" t="s">
        <v>1048</v>
      </c>
      <c r="H2873" s="47" t="s">
        <v>1049</v>
      </c>
      <c r="I2873" s="47" t="s">
        <v>1050</v>
      </c>
      <c r="J2873" s="47" t="s">
        <v>29</v>
      </c>
    </row>
    <row r="2874" ht="54" customHeight="1" spans="1:10">
      <c r="A2874" s="48" t="s">
        <v>907</v>
      </c>
      <c r="B2874" s="48" t="s">
        <v>4300</v>
      </c>
      <c r="C2874" s="47" t="s">
        <v>1052</v>
      </c>
      <c r="D2874" s="48" t="s">
        <v>1009</v>
      </c>
      <c r="E2874" s="48" t="s">
        <v>1010</v>
      </c>
      <c r="F2874" s="48" t="s">
        <v>1053</v>
      </c>
      <c r="G2874" s="48" t="s">
        <v>1054</v>
      </c>
      <c r="H2874" s="47" t="s">
        <v>1055</v>
      </c>
      <c r="I2874" s="47" t="s">
        <v>1056</v>
      </c>
      <c r="J2874" s="47" t="s">
        <v>29</v>
      </c>
    </row>
    <row r="2875" ht="54" customHeight="1" spans="1:10">
      <c r="A2875" s="48" t="s">
        <v>907</v>
      </c>
      <c r="B2875" s="48" t="s">
        <v>4301</v>
      </c>
      <c r="C2875" s="47" t="s">
        <v>1375</v>
      </c>
      <c r="D2875" s="48" t="s">
        <v>1098</v>
      </c>
      <c r="E2875" s="48" t="s">
        <v>1099</v>
      </c>
      <c r="F2875" s="48" t="s">
        <v>1376</v>
      </c>
      <c r="G2875" s="48" t="s">
        <v>1377</v>
      </c>
      <c r="H2875" s="47" t="s">
        <v>1378</v>
      </c>
      <c r="I2875" s="47" t="s">
        <v>1379</v>
      </c>
      <c r="J2875" s="47" t="s">
        <v>29</v>
      </c>
    </row>
    <row r="2876" ht="54" customHeight="1" spans="1:10">
      <c r="A2876" s="48" t="s">
        <v>907</v>
      </c>
      <c r="B2876" s="48" t="s">
        <v>4302</v>
      </c>
      <c r="C2876" s="47" t="s">
        <v>1066</v>
      </c>
      <c r="D2876" s="48" t="s">
        <v>935</v>
      </c>
      <c r="E2876" s="48" t="s">
        <v>936</v>
      </c>
      <c r="F2876" s="48" t="s">
        <v>1067</v>
      </c>
      <c r="G2876" s="48" t="s">
        <v>1068</v>
      </c>
      <c r="H2876" s="47" t="s">
        <v>1069</v>
      </c>
      <c r="I2876" s="47" t="s">
        <v>940</v>
      </c>
      <c r="J2876" s="47" t="s">
        <v>29</v>
      </c>
    </row>
    <row r="2877" ht="54" customHeight="1" spans="1:10">
      <c r="A2877" s="48" t="s">
        <v>907</v>
      </c>
      <c r="B2877" s="48" t="s">
        <v>4303</v>
      </c>
      <c r="C2877" s="47" t="s">
        <v>1638</v>
      </c>
      <c r="D2877" s="48" t="s">
        <v>1118</v>
      </c>
      <c r="E2877" s="48" t="s">
        <v>1119</v>
      </c>
      <c r="F2877" s="48" t="s">
        <v>1639</v>
      </c>
      <c r="G2877" s="48" t="s">
        <v>1640</v>
      </c>
      <c r="H2877" s="47" t="s">
        <v>1641</v>
      </c>
      <c r="I2877" s="47" t="s">
        <v>1642</v>
      </c>
      <c r="J2877" s="47" t="s">
        <v>29</v>
      </c>
    </row>
    <row r="2878" ht="54" customHeight="1" spans="1:10">
      <c r="A2878" s="48" t="s">
        <v>907</v>
      </c>
      <c r="B2878" s="48" t="s">
        <v>4304</v>
      </c>
      <c r="C2878" s="47" t="s">
        <v>1226</v>
      </c>
      <c r="D2878" s="48" t="s">
        <v>965</v>
      </c>
      <c r="E2878" s="48" t="s">
        <v>966</v>
      </c>
      <c r="F2878" s="48" t="s">
        <v>1227</v>
      </c>
      <c r="G2878" s="48" t="s">
        <v>1228</v>
      </c>
      <c r="H2878" s="47" t="s">
        <v>1229</v>
      </c>
      <c r="I2878" s="47" t="s">
        <v>940</v>
      </c>
      <c r="J2878" s="47" t="s">
        <v>29</v>
      </c>
    </row>
    <row r="2879" ht="54" customHeight="1" spans="1:10">
      <c r="A2879" s="48" t="s">
        <v>907</v>
      </c>
      <c r="B2879" s="48" t="s">
        <v>4305</v>
      </c>
      <c r="C2879" s="47" t="s">
        <v>1137</v>
      </c>
      <c r="D2879" s="48" t="s">
        <v>1138</v>
      </c>
      <c r="E2879" s="48" t="s">
        <v>1139</v>
      </c>
      <c r="F2879" s="48" t="s">
        <v>1140</v>
      </c>
      <c r="G2879" s="48" t="s">
        <v>1141</v>
      </c>
      <c r="H2879" s="47" t="s">
        <v>1142</v>
      </c>
      <c r="I2879" s="47" t="s">
        <v>940</v>
      </c>
      <c r="J2879" s="47" t="s">
        <v>29</v>
      </c>
    </row>
    <row r="2880" ht="54" customHeight="1" spans="1:10">
      <c r="A2880" s="48" t="s">
        <v>907</v>
      </c>
      <c r="B2880" s="48" t="s">
        <v>4306</v>
      </c>
      <c r="C2880" s="47" t="s">
        <v>971</v>
      </c>
      <c r="D2880" s="48" t="s">
        <v>965</v>
      </c>
      <c r="E2880" s="48" t="s">
        <v>966</v>
      </c>
      <c r="F2880" s="48" t="s">
        <v>972</v>
      </c>
      <c r="G2880" s="48" t="s">
        <v>973</v>
      </c>
      <c r="H2880" s="47" t="s">
        <v>974</v>
      </c>
      <c r="I2880" s="47" t="s">
        <v>975</v>
      </c>
      <c r="J2880" s="47" t="s">
        <v>29</v>
      </c>
    </row>
    <row r="2881" ht="54" customHeight="1" spans="1:10">
      <c r="A2881" s="48" t="s">
        <v>909</v>
      </c>
      <c r="B2881" s="48" t="s">
        <v>4307</v>
      </c>
      <c r="C2881" s="47" t="s">
        <v>2074</v>
      </c>
      <c r="D2881" s="48" t="s">
        <v>1029</v>
      </c>
      <c r="E2881" s="48" t="s">
        <v>1030</v>
      </c>
      <c r="F2881" s="48" t="s">
        <v>2075</v>
      </c>
      <c r="G2881" s="48" t="s">
        <v>2076</v>
      </c>
      <c r="H2881" s="47" t="s">
        <v>2077</v>
      </c>
      <c r="I2881" s="47" t="s">
        <v>2078</v>
      </c>
      <c r="J2881" s="47" t="s">
        <v>29</v>
      </c>
    </row>
    <row r="2882" ht="54" customHeight="1" spans="1:10">
      <c r="A2882" s="48" t="s">
        <v>909</v>
      </c>
      <c r="B2882" s="48" t="s">
        <v>4308</v>
      </c>
      <c r="C2882" s="47" t="s">
        <v>1000</v>
      </c>
      <c r="D2882" s="48" t="s">
        <v>1001</v>
      </c>
      <c r="E2882" s="48" t="s">
        <v>1002</v>
      </c>
      <c r="F2882" s="48" t="s">
        <v>1003</v>
      </c>
      <c r="G2882" s="48" t="s">
        <v>1004</v>
      </c>
      <c r="H2882" s="47" t="s">
        <v>1005</v>
      </c>
      <c r="I2882" s="47" t="s">
        <v>1006</v>
      </c>
      <c r="J2882" s="47" t="s">
        <v>29</v>
      </c>
    </row>
    <row r="2883" ht="54" customHeight="1" spans="1:10">
      <c r="A2883" s="48" t="s">
        <v>909</v>
      </c>
      <c r="B2883" s="48" t="s">
        <v>4309</v>
      </c>
      <c r="C2883" s="47" t="s">
        <v>1008</v>
      </c>
      <c r="D2883" s="48" t="s">
        <v>1009</v>
      </c>
      <c r="E2883" s="48" t="s">
        <v>1010</v>
      </c>
      <c r="F2883" s="48" t="s">
        <v>1011</v>
      </c>
      <c r="G2883" s="48" t="s">
        <v>1012</v>
      </c>
      <c r="H2883" s="47" t="s">
        <v>1013</v>
      </c>
      <c r="I2883" s="47" t="s">
        <v>1014</v>
      </c>
      <c r="J2883" s="47" t="s">
        <v>29</v>
      </c>
    </row>
    <row r="2884" ht="54" customHeight="1" spans="1:10">
      <c r="A2884" s="48" t="s">
        <v>909</v>
      </c>
      <c r="B2884" s="48" t="s">
        <v>4310</v>
      </c>
      <c r="C2884" s="47" t="s">
        <v>1934</v>
      </c>
      <c r="D2884" s="48" t="s">
        <v>1184</v>
      </c>
      <c r="E2884" s="48" t="s">
        <v>1185</v>
      </c>
      <c r="F2884" s="48" t="s">
        <v>1935</v>
      </c>
      <c r="G2884" s="48" t="s">
        <v>1936</v>
      </c>
      <c r="H2884" s="47" t="s">
        <v>1937</v>
      </c>
      <c r="I2884" s="47" t="s">
        <v>1938</v>
      </c>
      <c r="J2884" s="47" t="s">
        <v>29</v>
      </c>
    </row>
    <row r="2885" ht="54" customHeight="1" spans="1:10">
      <c r="A2885" s="48" t="s">
        <v>909</v>
      </c>
      <c r="B2885" s="48" t="s">
        <v>4311</v>
      </c>
      <c r="C2885" s="47" t="s">
        <v>956</v>
      </c>
      <c r="D2885" s="48" t="s">
        <v>957</v>
      </c>
      <c r="E2885" s="48" t="s">
        <v>958</v>
      </c>
      <c r="F2885" s="48" t="s">
        <v>959</v>
      </c>
      <c r="G2885" s="48" t="s">
        <v>960</v>
      </c>
      <c r="H2885" s="47" t="s">
        <v>961</v>
      </c>
      <c r="I2885" s="47" t="s">
        <v>962</v>
      </c>
      <c r="J2885" s="47" t="s">
        <v>29</v>
      </c>
    </row>
    <row r="2886" ht="54" customHeight="1" spans="1:10">
      <c r="A2886" s="48" t="s">
        <v>909</v>
      </c>
      <c r="B2886" s="48" t="s">
        <v>4312</v>
      </c>
      <c r="C2886" s="47" t="s">
        <v>1097</v>
      </c>
      <c r="D2886" s="48" t="s">
        <v>1098</v>
      </c>
      <c r="E2886" s="48" t="s">
        <v>1099</v>
      </c>
      <c r="F2886" s="48" t="s">
        <v>1100</v>
      </c>
      <c r="G2886" s="48" t="s">
        <v>1101</v>
      </c>
      <c r="H2886" s="47" t="s">
        <v>1102</v>
      </c>
      <c r="I2886" s="47" t="s">
        <v>1103</v>
      </c>
      <c r="J2886" s="47" t="s">
        <v>29</v>
      </c>
    </row>
    <row r="2887" ht="54" customHeight="1" spans="1:10">
      <c r="A2887" s="48" t="s">
        <v>909</v>
      </c>
      <c r="B2887" s="48" t="s">
        <v>4313</v>
      </c>
      <c r="C2887" s="47" t="s">
        <v>1375</v>
      </c>
      <c r="D2887" s="48" t="s">
        <v>1098</v>
      </c>
      <c r="E2887" s="48" t="s">
        <v>1099</v>
      </c>
      <c r="F2887" s="48" t="s">
        <v>1376</v>
      </c>
      <c r="G2887" s="48" t="s">
        <v>1377</v>
      </c>
      <c r="H2887" s="47" t="s">
        <v>1378</v>
      </c>
      <c r="I2887" s="47" t="s">
        <v>1379</v>
      </c>
      <c r="J2887" s="47" t="s">
        <v>29</v>
      </c>
    </row>
    <row r="2888" ht="54" customHeight="1" spans="1:10">
      <c r="A2888" s="48" t="s">
        <v>909</v>
      </c>
      <c r="B2888" s="48" t="s">
        <v>4314</v>
      </c>
      <c r="C2888" s="47" t="s">
        <v>1545</v>
      </c>
      <c r="D2888" s="48" t="s">
        <v>1138</v>
      </c>
      <c r="E2888" s="48" t="s">
        <v>1139</v>
      </c>
      <c r="F2888" s="48" t="s">
        <v>1546</v>
      </c>
      <c r="G2888" s="48" t="s">
        <v>1547</v>
      </c>
      <c r="H2888" s="47" t="s">
        <v>1548</v>
      </c>
      <c r="I2888" s="47" t="s">
        <v>940</v>
      </c>
      <c r="J2888" s="47" t="s">
        <v>29</v>
      </c>
    </row>
    <row r="2889" ht="54" customHeight="1" spans="1:10">
      <c r="A2889" s="48" t="s">
        <v>911</v>
      </c>
      <c r="B2889" s="48" t="s">
        <v>4315</v>
      </c>
      <c r="C2889" s="47" t="s">
        <v>985</v>
      </c>
      <c r="D2889" s="48" t="s">
        <v>986</v>
      </c>
      <c r="E2889" s="48" t="s">
        <v>987</v>
      </c>
      <c r="F2889" s="48" t="s">
        <v>988</v>
      </c>
      <c r="G2889" s="48" t="s">
        <v>987</v>
      </c>
      <c r="H2889" s="47" t="s">
        <v>989</v>
      </c>
      <c r="I2889" s="47" t="s">
        <v>990</v>
      </c>
      <c r="J2889" s="47" t="s">
        <v>26</v>
      </c>
    </row>
    <row r="2890" ht="54" customHeight="1" spans="1:10">
      <c r="A2890" s="48" t="s">
        <v>911</v>
      </c>
      <c r="B2890" s="48" t="s">
        <v>4316</v>
      </c>
      <c r="C2890" s="47" t="s">
        <v>1072</v>
      </c>
      <c r="D2890" s="48" t="s">
        <v>1073</v>
      </c>
      <c r="E2890" s="48" t="s">
        <v>1074</v>
      </c>
      <c r="F2890" s="48" t="s">
        <v>1075</v>
      </c>
      <c r="G2890" s="48" t="s">
        <v>1076</v>
      </c>
      <c r="H2890" s="47" t="s">
        <v>1077</v>
      </c>
      <c r="I2890" s="47" t="s">
        <v>1078</v>
      </c>
      <c r="J2890" s="47" t="s">
        <v>26</v>
      </c>
    </row>
    <row r="2891" ht="54" customHeight="1" spans="1:10">
      <c r="A2891" s="48" t="s">
        <v>911</v>
      </c>
      <c r="B2891" s="48" t="s">
        <v>4317</v>
      </c>
      <c r="C2891" s="47" t="s">
        <v>1081</v>
      </c>
      <c r="D2891" s="48" t="s">
        <v>1082</v>
      </c>
      <c r="E2891" s="48" t="s">
        <v>1083</v>
      </c>
      <c r="F2891" s="48" t="s">
        <v>1084</v>
      </c>
      <c r="G2891" s="48" t="s">
        <v>1085</v>
      </c>
      <c r="H2891" s="47" t="s">
        <v>1086</v>
      </c>
      <c r="I2891" s="47" t="s">
        <v>1087</v>
      </c>
      <c r="J2891" s="47" t="s">
        <v>26</v>
      </c>
    </row>
    <row r="2892" ht="54" customHeight="1" spans="1:10">
      <c r="A2892" s="48" t="s">
        <v>911</v>
      </c>
      <c r="B2892" s="48" t="s">
        <v>4318</v>
      </c>
      <c r="C2892" s="47" t="s">
        <v>1097</v>
      </c>
      <c r="D2892" s="48" t="s">
        <v>1098</v>
      </c>
      <c r="E2892" s="48" t="s">
        <v>1099</v>
      </c>
      <c r="F2892" s="48" t="s">
        <v>1100</v>
      </c>
      <c r="G2892" s="48" t="s">
        <v>1101</v>
      </c>
      <c r="H2892" s="47" t="s">
        <v>1102</v>
      </c>
      <c r="I2892" s="47" t="s">
        <v>1103</v>
      </c>
      <c r="J2892" s="47" t="s">
        <v>26</v>
      </c>
    </row>
    <row r="2893" ht="54" customHeight="1" spans="1:10">
      <c r="A2893" s="48" t="s">
        <v>911</v>
      </c>
      <c r="B2893" s="48" t="s">
        <v>4319</v>
      </c>
      <c r="C2893" s="47" t="s">
        <v>1666</v>
      </c>
      <c r="D2893" s="48" t="s">
        <v>1082</v>
      </c>
      <c r="E2893" s="48" t="s">
        <v>1083</v>
      </c>
      <c r="F2893" s="48" t="s">
        <v>1667</v>
      </c>
      <c r="G2893" s="48" t="s">
        <v>1668</v>
      </c>
      <c r="H2893" s="47" t="s">
        <v>1669</v>
      </c>
      <c r="I2893" s="47" t="s">
        <v>1670</v>
      </c>
      <c r="J2893" s="47" t="s">
        <v>26</v>
      </c>
    </row>
    <row r="2894" ht="54" customHeight="1" spans="1:10">
      <c r="A2894" s="48" t="s">
        <v>911</v>
      </c>
      <c r="B2894" s="48" t="s">
        <v>4320</v>
      </c>
      <c r="C2894" s="47" t="s">
        <v>1066</v>
      </c>
      <c r="D2894" s="48" t="s">
        <v>935</v>
      </c>
      <c r="E2894" s="48" t="s">
        <v>936</v>
      </c>
      <c r="F2894" s="48" t="s">
        <v>1067</v>
      </c>
      <c r="G2894" s="48" t="s">
        <v>1068</v>
      </c>
      <c r="H2894" s="47" t="s">
        <v>1069</v>
      </c>
      <c r="I2894" s="47" t="s">
        <v>940</v>
      </c>
      <c r="J2894" s="47" t="s">
        <v>26</v>
      </c>
    </row>
    <row r="2895" ht="54" customHeight="1" spans="1:10">
      <c r="A2895" s="48" t="s">
        <v>911</v>
      </c>
      <c r="B2895" s="48" t="s">
        <v>4321</v>
      </c>
      <c r="C2895" s="47" t="s">
        <v>1252</v>
      </c>
      <c r="D2895" s="48" t="s">
        <v>1001</v>
      </c>
      <c r="E2895" s="48" t="s">
        <v>1002</v>
      </c>
      <c r="F2895" s="48" t="s">
        <v>1253</v>
      </c>
      <c r="G2895" s="48" t="s">
        <v>1254</v>
      </c>
      <c r="H2895" s="47" t="s">
        <v>1255</v>
      </c>
      <c r="I2895" s="47" t="s">
        <v>1256</v>
      </c>
      <c r="J2895" s="47" t="s">
        <v>26</v>
      </c>
    </row>
    <row r="2896" ht="54" customHeight="1" spans="1:10">
      <c r="A2896" s="48" t="s">
        <v>911</v>
      </c>
      <c r="B2896" s="48" t="s">
        <v>4322</v>
      </c>
      <c r="C2896" s="47" t="s">
        <v>1137</v>
      </c>
      <c r="D2896" s="48" t="s">
        <v>1138</v>
      </c>
      <c r="E2896" s="48" t="s">
        <v>1139</v>
      </c>
      <c r="F2896" s="48" t="s">
        <v>1140</v>
      </c>
      <c r="G2896" s="48" t="s">
        <v>1141</v>
      </c>
      <c r="H2896" s="47" t="s">
        <v>1142</v>
      </c>
      <c r="I2896" s="47" t="s">
        <v>940</v>
      </c>
      <c r="J2896" s="47" t="s">
        <v>26</v>
      </c>
    </row>
    <row r="2897" ht="54" customHeight="1" spans="1:10">
      <c r="A2897" s="48" t="s">
        <v>911</v>
      </c>
      <c r="B2897" s="48" t="s">
        <v>4323</v>
      </c>
      <c r="C2897" s="47" t="s">
        <v>977</v>
      </c>
      <c r="D2897" s="48" t="s">
        <v>978</v>
      </c>
      <c r="E2897" s="48" t="s">
        <v>979</v>
      </c>
      <c r="F2897" s="48" t="s">
        <v>980</v>
      </c>
      <c r="G2897" s="48" t="s">
        <v>981</v>
      </c>
      <c r="H2897" s="47" t="s">
        <v>982</v>
      </c>
      <c r="I2897" s="47" t="s">
        <v>983</v>
      </c>
      <c r="J2897" s="47" t="s">
        <v>26</v>
      </c>
    </row>
    <row r="2898" ht="54" customHeight="1" spans="1:10">
      <c r="A2898" s="48" t="s">
        <v>911</v>
      </c>
      <c r="B2898" s="48" t="s">
        <v>4324</v>
      </c>
      <c r="C2898" s="47" t="s">
        <v>1313</v>
      </c>
      <c r="D2898" s="48" t="s">
        <v>1037</v>
      </c>
      <c r="E2898" s="48" t="s">
        <v>1038</v>
      </c>
      <c r="F2898" s="48" t="s">
        <v>1314</v>
      </c>
      <c r="G2898" s="48" t="s">
        <v>1315</v>
      </c>
      <c r="H2898" s="47" t="s">
        <v>1316</v>
      </c>
      <c r="I2898" s="47" t="s">
        <v>1317</v>
      </c>
      <c r="J2898" s="47" t="s">
        <v>26</v>
      </c>
    </row>
    <row r="2899" ht="54" customHeight="1" spans="1:10">
      <c r="A2899" s="48" t="s">
        <v>911</v>
      </c>
      <c r="B2899" s="48" t="s">
        <v>4325</v>
      </c>
      <c r="C2899" s="47" t="s">
        <v>1205</v>
      </c>
      <c r="D2899" s="48" t="s">
        <v>978</v>
      </c>
      <c r="E2899" s="48" t="s">
        <v>979</v>
      </c>
      <c r="F2899" s="48" t="s">
        <v>1206</v>
      </c>
      <c r="G2899" s="48" t="s">
        <v>1207</v>
      </c>
      <c r="H2899" s="47" t="s">
        <v>1208</v>
      </c>
      <c r="I2899" s="47" t="s">
        <v>1209</v>
      </c>
      <c r="J2899" s="47" t="s">
        <v>26</v>
      </c>
    </row>
    <row r="2900" ht="54" customHeight="1" spans="1:10">
      <c r="A2900" s="48" t="s">
        <v>911</v>
      </c>
      <c r="B2900" s="48" t="s">
        <v>4326</v>
      </c>
      <c r="C2900" s="47" t="s">
        <v>1216</v>
      </c>
      <c r="D2900" s="48" t="s">
        <v>993</v>
      </c>
      <c r="E2900" s="48" t="s">
        <v>994</v>
      </c>
      <c r="F2900" s="48" t="s">
        <v>1217</v>
      </c>
      <c r="G2900" s="48" t="s">
        <v>1218</v>
      </c>
      <c r="H2900" s="47" t="s">
        <v>1219</v>
      </c>
      <c r="I2900" s="47" t="s">
        <v>1220</v>
      </c>
      <c r="J2900" s="47" t="s">
        <v>26</v>
      </c>
    </row>
    <row r="2901" ht="54" customHeight="1" spans="1:10">
      <c r="A2901" s="48" t="s">
        <v>913</v>
      </c>
      <c r="B2901" s="48" t="s">
        <v>4327</v>
      </c>
      <c r="C2901" s="47" t="s">
        <v>985</v>
      </c>
      <c r="D2901" s="48" t="s">
        <v>986</v>
      </c>
      <c r="E2901" s="48" t="s">
        <v>987</v>
      </c>
      <c r="F2901" s="48" t="s">
        <v>988</v>
      </c>
      <c r="G2901" s="48" t="s">
        <v>987</v>
      </c>
      <c r="H2901" s="47" t="s">
        <v>989</v>
      </c>
      <c r="I2901" s="47" t="s">
        <v>990</v>
      </c>
      <c r="J2901" s="47" t="s">
        <v>29</v>
      </c>
    </row>
    <row r="2902" ht="54" customHeight="1" spans="1:10">
      <c r="A2902" s="48" t="s">
        <v>913</v>
      </c>
      <c r="B2902" s="48" t="s">
        <v>4328</v>
      </c>
      <c r="C2902" s="47" t="s">
        <v>992</v>
      </c>
      <c r="D2902" s="48" t="s">
        <v>993</v>
      </c>
      <c r="E2902" s="48" t="s">
        <v>994</v>
      </c>
      <c r="F2902" s="48" t="s">
        <v>995</v>
      </c>
      <c r="G2902" s="48" t="s">
        <v>996</v>
      </c>
      <c r="H2902" s="47" t="s">
        <v>997</v>
      </c>
      <c r="I2902" s="47" t="s">
        <v>998</v>
      </c>
      <c r="J2902" s="47" t="s">
        <v>29</v>
      </c>
    </row>
    <row r="2903" ht="54" customHeight="1" spans="1:10">
      <c r="A2903" s="48" t="s">
        <v>913</v>
      </c>
      <c r="B2903" s="48" t="s">
        <v>4329</v>
      </c>
      <c r="C2903" s="47" t="s">
        <v>1000</v>
      </c>
      <c r="D2903" s="48" t="s">
        <v>1001</v>
      </c>
      <c r="E2903" s="48" t="s">
        <v>1002</v>
      </c>
      <c r="F2903" s="48" t="s">
        <v>1003</v>
      </c>
      <c r="G2903" s="48" t="s">
        <v>1004</v>
      </c>
      <c r="H2903" s="47" t="s">
        <v>1005</v>
      </c>
      <c r="I2903" s="47" t="s">
        <v>1006</v>
      </c>
      <c r="J2903" s="47" t="s">
        <v>29</v>
      </c>
    </row>
    <row r="2904" ht="54" customHeight="1" spans="1:10">
      <c r="A2904" s="48" t="s">
        <v>913</v>
      </c>
      <c r="B2904" s="48" t="s">
        <v>4330</v>
      </c>
      <c r="C2904" s="47" t="s">
        <v>1268</v>
      </c>
      <c r="D2904" s="48" t="s">
        <v>957</v>
      </c>
      <c r="E2904" s="48" t="s">
        <v>958</v>
      </c>
      <c r="F2904" s="48" t="s">
        <v>1269</v>
      </c>
      <c r="G2904" s="48" t="s">
        <v>1270</v>
      </c>
      <c r="H2904" s="47" t="s">
        <v>1271</v>
      </c>
      <c r="I2904" s="47" t="s">
        <v>1272</v>
      </c>
      <c r="J2904" s="47" t="s">
        <v>29</v>
      </c>
    </row>
    <row r="2905" ht="54" customHeight="1" spans="1:10">
      <c r="A2905" s="48" t="s">
        <v>913</v>
      </c>
      <c r="B2905" s="48" t="s">
        <v>4331</v>
      </c>
      <c r="C2905" s="47" t="s">
        <v>1052</v>
      </c>
      <c r="D2905" s="48" t="s">
        <v>1009</v>
      </c>
      <c r="E2905" s="48" t="s">
        <v>1010</v>
      </c>
      <c r="F2905" s="48" t="s">
        <v>1053</v>
      </c>
      <c r="G2905" s="48" t="s">
        <v>1054</v>
      </c>
      <c r="H2905" s="47" t="s">
        <v>1055</v>
      </c>
      <c r="I2905" s="47" t="s">
        <v>1056</v>
      </c>
      <c r="J2905" s="47" t="s">
        <v>29</v>
      </c>
    </row>
    <row r="2906" ht="54" customHeight="1" spans="1:10">
      <c r="A2906" s="48" t="s">
        <v>913</v>
      </c>
      <c r="B2906" s="48" t="s">
        <v>4332</v>
      </c>
      <c r="C2906" s="47" t="s">
        <v>1718</v>
      </c>
      <c r="D2906" s="48" t="s">
        <v>1719</v>
      </c>
      <c r="E2906" s="48" t="s">
        <v>1720</v>
      </c>
      <c r="F2906" s="48" t="s">
        <v>1721</v>
      </c>
      <c r="G2906" s="48" t="s">
        <v>1722</v>
      </c>
      <c r="H2906" s="47" t="s">
        <v>1723</v>
      </c>
      <c r="I2906" s="47" t="s">
        <v>1724</v>
      </c>
      <c r="J2906" s="47" t="s">
        <v>29</v>
      </c>
    </row>
    <row r="2907" ht="54" customHeight="1" spans="1:10">
      <c r="A2907" s="48" t="s">
        <v>913</v>
      </c>
      <c r="B2907" s="48" t="s">
        <v>4333</v>
      </c>
      <c r="C2907" s="47" t="s">
        <v>1375</v>
      </c>
      <c r="D2907" s="48" t="s">
        <v>1098</v>
      </c>
      <c r="E2907" s="48" t="s">
        <v>1099</v>
      </c>
      <c r="F2907" s="48" t="s">
        <v>1376</v>
      </c>
      <c r="G2907" s="48" t="s">
        <v>1377</v>
      </c>
      <c r="H2907" s="47" t="s">
        <v>1378</v>
      </c>
      <c r="I2907" s="47" t="s">
        <v>1379</v>
      </c>
      <c r="J2907" s="47" t="s">
        <v>29</v>
      </c>
    </row>
    <row r="2908" ht="54" customHeight="1" spans="1:10">
      <c r="A2908" s="48" t="s">
        <v>913</v>
      </c>
      <c r="B2908" s="48" t="s">
        <v>4334</v>
      </c>
      <c r="C2908" s="47" t="s">
        <v>1137</v>
      </c>
      <c r="D2908" s="48" t="s">
        <v>1138</v>
      </c>
      <c r="E2908" s="48" t="s">
        <v>1139</v>
      </c>
      <c r="F2908" s="48" t="s">
        <v>1140</v>
      </c>
      <c r="G2908" s="48" t="s">
        <v>1141</v>
      </c>
      <c r="H2908" s="47" t="s">
        <v>1142</v>
      </c>
      <c r="I2908" s="47" t="s">
        <v>940</v>
      </c>
      <c r="J2908" s="47" t="s">
        <v>29</v>
      </c>
    </row>
    <row r="2909" ht="54" customHeight="1" spans="1:10">
      <c r="A2909" s="48" t="s">
        <v>915</v>
      </c>
      <c r="B2909" s="48" t="s">
        <v>4335</v>
      </c>
      <c r="C2909" s="47" t="s">
        <v>985</v>
      </c>
      <c r="D2909" s="48" t="s">
        <v>986</v>
      </c>
      <c r="E2909" s="48" t="s">
        <v>987</v>
      </c>
      <c r="F2909" s="48" t="s">
        <v>988</v>
      </c>
      <c r="G2909" s="48" t="s">
        <v>987</v>
      </c>
      <c r="H2909" s="47" t="s">
        <v>989</v>
      </c>
      <c r="I2909" s="47" t="s">
        <v>990</v>
      </c>
      <c r="J2909" s="47" t="s">
        <v>26</v>
      </c>
    </row>
    <row r="2910" ht="54" customHeight="1" spans="1:10">
      <c r="A2910" s="48" t="s">
        <v>915</v>
      </c>
      <c r="B2910" s="48" t="s">
        <v>4336</v>
      </c>
      <c r="C2910" s="47" t="s">
        <v>1480</v>
      </c>
      <c r="D2910" s="48" t="s">
        <v>1001</v>
      </c>
      <c r="E2910" s="48" t="s">
        <v>1002</v>
      </c>
      <c r="F2910" s="48" t="s">
        <v>1481</v>
      </c>
      <c r="G2910" s="48" t="s">
        <v>1482</v>
      </c>
      <c r="H2910" s="47" t="s">
        <v>1483</v>
      </c>
      <c r="I2910" s="47" t="s">
        <v>1484</v>
      </c>
      <c r="J2910" s="47" t="s">
        <v>26</v>
      </c>
    </row>
    <row r="2911" ht="54" customHeight="1" spans="1:10">
      <c r="A2911" s="48" t="s">
        <v>915</v>
      </c>
      <c r="B2911" s="48" t="s">
        <v>4337</v>
      </c>
      <c r="C2911" s="47" t="s">
        <v>1718</v>
      </c>
      <c r="D2911" s="48" t="s">
        <v>1719</v>
      </c>
      <c r="E2911" s="48" t="s">
        <v>1720</v>
      </c>
      <c r="F2911" s="48" t="s">
        <v>1721</v>
      </c>
      <c r="G2911" s="48" t="s">
        <v>1722</v>
      </c>
      <c r="H2911" s="47" t="s">
        <v>1723</v>
      </c>
      <c r="I2911" s="47" t="s">
        <v>1724</v>
      </c>
      <c r="J2911" s="47" t="s">
        <v>26</v>
      </c>
    </row>
    <row r="2912" ht="54" customHeight="1" spans="1:10">
      <c r="A2912" s="48" t="s">
        <v>915</v>
      </c>
      <c r="B2912" s="48" t="s">
        <v>4338</v>
      </c>
      <c r="C2912" s="47" t="s">
        <v>1137</v>
      </c>
      <c r="D2912" s="48" t="s">
        <v>1138</v>
      </c>
      <c r="E2912" s="48" t="s">
        <v>1139</v>
      </c>
      <c r="F2912" s="48" t="s">
        <v>1140</v>
      </c>
      <c r="G2912" s="48" t="s">
        <v>1141</v>
      </c>
      <c r="H2912" s="47" t="s">
        <v>1142</v>
      </c>
      <c r="I2912" s="47" t="s">
        <v>940</v>
      </c>
      <c r="J2912" s="47" t="s">
        <v>26</v>
      </c>
    </row>
    <row r="2913" ht="54" customHeight="1" spans="1:10">
      <c r="A2913" s="48" t="s">
        <v>915</v>
      </c>
      <c r="B2913" s="48" t="s">
        <v>4339</v>
      </c>
      <c r="C2913" s="47" t="s">
        <v>1205</v>
      </c>
      <c r="D2913" s="48" t="s">
        <v>978</v>
      </c>
      <c r="E2913" s="48" t="s">
        <v>979</v>
      </c>
      <c r="F2913" s="48" t="s">
        <v>1206</v>
      </c>
      <c r="G2913" s="48" t="s">
        <v>1207</v>
      </c>
      <c r="H2913" s="47" t="s">
        <v>1208</v>
      </c>
      <c r="I2913" s="47" t="s">
        <v>1209</v>
      </c>
      <c r="J2913" s="47" t="s">
        <v>26</v>
      </c>
    </row>
    <row r="2914" ht="54" customHeight="1" spans="1:10">
      <c r="A2914" s="48" t="s">
        <v>915</v>
      </c>
      <c r="B2914" s="48" t="s">
        <v>4340</v>
      </c>
      <c r="C2914" s="47" t="s">
        <v>1216</v>
      </c>
      <c r="D2914" s="48" t="s">
        <v>993</v>
      </c>
      <c r="E2914" s="48" t="s">
        <v>994</v>
      </c>
      <c r="F2914" s="48" t="s">
        <v>1217</v>
      </c>
      <c r="G2914" s="48" t="s">
        <v>1218</v>
      </c>
      <c r="H2914" s="47" t="s">
        <v>1219</v>
      </c>
      <c r="I2914" s="47" t="s">
        <v>1220</v>
      </c>
      <c r="J2914" s="47" t="s">
        <v>26</v>
      </c>
    </row>
    <row r="2915" ht="54" customHeight="1" spans="1:10">
      <c r="A2915" s="48" t="s">
        <v>915</v>
      </c>
      <c r="B2915" s="48" t="s">
        <v>4341</v>
      </c>
      <c r="C2915" s="47" t="s">
        <v>1245</v>
      </c>
      <c r="D2915" s="48" t="s">
        <v>1171</v>
      </c>
      <c r="E2915" s="48" t="s">
        <v>1172</v>
      </c>
      <c r="F2915" s="48" t="s">
        <v>1246</v>
      </c>
      <c r="G2915" s="48" t="s">
        <v>1247</v>
      </c>
      <c r="H2915" s="47" t="s">
        <v>1248</v>
      </c>
      <c r="I2915" s="47" t="s">
        <v>1176</v>
      </c>
      <c r="J2915" s="47" t="s">
        <v>26</v>
      </c>
    </row>
    <row r="2916" ht="54" customHeight="1" spans="1:10">
      <c r="A2916" s="48" t="s">
        <v>917</v>
      </c>
      <c r="B2916" s="48" t="s">
        <v>4342</v>
      </c>
      <c r="C2916" s="47" t="s">
        <v>2074</v>
      </c>
      <c r="D2916" s="48" t="s">
        <v>1029</v>
      </c>
      <c r="E2916" s="48" t="s">
        <v>1030</v>
      </c>
      <c r="F2916" s="48" t="s">
        <v>2075</v>
      </c>
      <c r="G2916" s="48" t="s">
        <v>2076</v>
      </c>
      <c r="H2916" s="47" t="s">
        <v>2077</v>
      </c>
      <c r="I2916" s="47" t="s">
        <v>2078</v>
      </c>
      <c r="J2916" s="47" t="s">
        <v>26</v>
      </c>
    </row>
    <row r="2917" ht="54" customHeight="1" spans="1:10">
      <c r="A2917" s="48" t="s">
        <v>917</v>
      </c>
      <c r="B2917" s="48" t="s">
        <v>4343</v>
      </c>
      <c r="C2917" s="47" t="s">
        <v>1651</v>
      </c>
      <c r="D2917" s="48" t="s">
        <v>1082</v>
      </c>
      <c r="E2917" s="48" t="s">
        <v>1083</v>
      </c>
      <c r="F2917" s="48" t="s">
        <v>1652</v>
      </c>
      <c r="G2917" s="48" t="s">
        <v>1653</v>
      </c>
      <c r="H2917" s="47" t="s">
        <v>1654</v>
      </c>
      <c r="I2917" s="47" t="s">
        <v>1655</v>
      </c>
      <c r="J2917" s="47" t="s">
        <v>26</v>
      </c>
    </row>
    <row r="2918" ht="54" customHeight="1" spans="1:10">
      <c r="A2918" s="48" t="s">
        <v>917</v>
      </c>
      <c r="B2918" s="48" t="s">
        <v>4344</v>
      </c>
      <c r="C2918" s="47" t="s">
        <v>1375</v>
      </c>
      <c r="D2918" s="48" t="s">
        <v>1098</v>
      </c>
      <c r="E2918" s="48" t="s">
        <v>1099</v>
      </c>
      <c r="F2918" s="48" t="s">
        <v>1376</v>
      </c>
      <c r="G2918" s="48" t="s">
        <v>1377</v>
      </c>
      <c r="H2918" s="47" t="s">
        <v>1378</v>
      </c>
      <c r="I2918" s="47" t="s">
        <v>1379</v>
      </c>
      <c r="J2918" s="47" t="s">
        <v>26</v>
      </c>
    </row>
    <row r="2919" ht="54" customHeight="1" spans="1:10">
      <c r="A2919" s="48" t="s">
        <v>917</v>
      </c>
      <c r="B2919" s="48" t="s">
        <v>4345</v>
      </c>
      <c r="C2919" s="47" t="s">
        <v>1066</v>
      </c>
      <c r="D2919" s="48" t="s">
        <v>935</v>
      </c>
      <c r="E2919" s="48" t="s">
        <v>936</v>
      </c>
      <c r="F2919" s="48" t="s">
        <v>1067</v>
      </c>
      <c r="G2919" s="48" t="s">
        <v>1068</v>
      </c>
      <c r="H2919" s="47" t="s">
        <v>1069</v>
      </c>
      <c r="I2919" s="47" t="s">
        <v>940</v>
      </c>
      <c r="J2919" s="47" t="s">
        <v>26</v>
      </c>
    </row>
    <row r="2920" ht="54" customHeight="1" spans="1:10">
      <c r="A2920" s="48" t="s">
        <v>917</v>
      </c>
      <c r="B2920" s="48" t="s">
        <v>4346</v>
      </c>
      <c r="C2920" s="47" t="s">
        <v>971</v>
      </c>
      <c r="D2920" s="48" t="s">
        <v>965</v>
      </c>
      <c r="E2920" s="48" t="s">
        <v>966</v>
      </c>
      <c r="F2920" s="48" t="s">
        <v>972</v>
      </c>
      <c r="G2920" s="48" t="s">
        <v>973</v>
      </c>
      <c r="H2920" s="47" t="s">
        <v>974</v>
      </c>
      <c r="I2920" s="47" t="s">
        <v>975</v>
      </c>
      <c r="J2920" s="47" t="s">
        <v>26</v>
      </c>
    </row>
    <row r="2921" ht="54" customHeight="1" spans="1:10">
      <c r="A2921" s="48" t="s">
        <v>917</v>
      </c>
      <c r="B2921" s="48" t="s">
        <v>4347</v>
      </c>
      <c r="C2921" s="47" t="s">
        <v>977</v>
      </c>
      <c r="D2921" s="48" t="s">
        <v>978</v>
      </c>
      <c r="E2921" s="48" t="s">
        <v>979</v>
      </c>
      <c r="F2921" s="48" t="s">
        <v>980</v>
      </c>
      <c r="G2921" s="48" t="s">
        <v>981</v>
      </c>
      <c r="H2921" s="47" t="s">
        <v>982</v>
      </c>
      <c r="I2921" s="47" t="s">
        <v>983</v>
      </c>
      <c r="J2921" s="47" t="s">
        <v>26</v>
      </c>
    </row>
    <row r="2922" ht="54" customHeight="1" spans="1:10">
      <c r="A2922" s="48" t="s">
        <v>917</v>
      </c>
      <c r="B2922" s="48" t="s">
        <v>4348</v>
      </c>
      <c r="C2922" s="47" t="s">
        <v>1245</v>
      </c>
      <c r="D2922" s="48" t="s">
        <v>1171</v>
      </c>
      <c r="E2922" s="48" t="s">
        <v>1172</v>
      </c>
      <c r="F2922" s="48" t="s">
        <v>1246</v>
      </c>
      <c r="G2922" s="48" t="s">
        <v>1247</v>
      </c>
      <c r="H2922" s="47" t="s">
        <v>1248</v>
      </c>
      <c r="I2922" s="47" t="s">
        <v>1176</v>
      </c>
      <c r="J2922" s="47" t="s">
        <v>26</v>
      </c>
    </row>
    <row r="2923" ht="54" customHeight="1" spans="1:10">
      <c r="A2923" s="48" t="s">
        <v>919</v>
      </c>
      <c r="B2923" s="48" t="s">
        <v>4349</v>
      </c>
      <c r="C2923" s="47" t="s">
        <v>985</v>
      </c>
      <c r="D2923" s="48" t="s">
        <v>986</v>
      </c>
      <c r="E2923" s="48" t="s">
        <v>987</v>
      </c>
      <c r="F2923" s="48" t="s">
        <v>988</v>
      </c>
      <c r="G2923" s="48" t="s">
        <v>987</v>
      </c>
      <c r="H2923" s="47" t="s">
        <v>989</v>
      </c>
      <c r="I2923" s="47" t="s">
        <v>990</v>
      </c>
      <c r="J2923" s="47" t="s">
        <v>26</v>
      </c>
    </row>
    <row r="2924" ht="54" customHeight="1" spans="1:10">
      <c r="A2924" s="48" t="s">
        <v>919</v>
      </c>
      <c r="B2924" s="48" t="s">
        <v>4350</v>
      </c>
      <c r="C2924" s="47" t="s">
        <v>934</v>
      </c>
      <c r="D2924" s="48" t="s">
        <v>935</v>
      </c>
      <c r="E2924" s="48" t="s">
        <v>936</v>
      </c>
      <c r="F2924" s="48" t="s">
        <v>937</v>
      </c>
      <c r="G2924" s="48" t="s">
        <v>938</v>
      </c>
      <c r="H2924" s="47" t="s">
        <v>939</v>
      </c>
      <c r="I2924" s="47" t="s">
        <v>940</v>
      </c>
      <c r="J2924" s="47" t="s">
        <v>26</v>
      </c>
    </row>
    <row r="2925" ht="54" customHeight="1" spans="1:10">
      <c r="A2925" s="48" t="s">
        <v>919</v>
      </c>
      <c r="B2925" s="48" t="s">
        <v>4351</v>
      </c>
      <c r="C2925" s="47" t="s">
        <v>1505</v>
      </c>
      <c r="D2925" s="48" t="s">
        <v>1506</v>
      </c>
      <c r="E2925" s="48" t="s">
        <v>1507</v>
      </c>
      <c r="F2925" s="48" t="s">
        <v>1508</v>
      </c>
      <c r="G2925" s="48" t="s">
        <v>1507</v>
      </c>
      <c r="H2925" s="47" t="s">
        <v>1509</v>
      </c>
      <c r="I2925" s="47" t="s">
        <v>1510</v>
      </c>
      <c r="J2925" s="47" t="s">
        <v>26</v>
      </c>
    </row>
    <row r="2926" ht="54" customHeight="1" spans="1:10">
      <c r="A2926" s="48" t="s">
        <v>919</v>
      </c>
      <c r="B2926" s="48" t="s">
        <v>4352</v>
      </c>
      <c r="C2926" s="47" t="s">
        <v>1028</v>
      </c>
      <c r="D2926" s="48" t="s">
        <v>1029</v>
      </c>
      <c r="E2926" s="48" t="s">
        <v>1030</v>
      </c>
      <c r="F2926" s="48" t="s">
        <v>1031</v>
      </c>
      <c r="G2926" s="48" t="s">
        <v>1032</v>
      </c>
      <c r="H2926" s="47" t="s">
        <v>1033</v>
      </c>
      <c r="I2926" s="47" t="s">
        <v>1034</v>
      </c>
      <c r="J2926" s="47" t="s">
        <v>26</v>
      </c>
    </row>
    <row r="2927" ht="54" customHeight="1" spans="1:10">
      <c r="A2927" s="48" t="s">
        <v>919</v>
      </c>
      <c r="B2927" s="48" t="s">
        <v>4353</v>
      </c>
      <c r="C2927" s="47" t="s">
        <v>1718</v>
      </c>
      <c r="D2927" s="48" t="s">
        <v>1719</v>
      </c>
      <c r="E2927" s="48" t="s">
        <v>1720</v>
      </c>
      <c r="F2927" s="48" t="s">
        <v>1721</v>
      </c>
      <c r="G2927" s="48" t="s">
        <v>1722</v>
      </c>
      <c r="H2927" s="47" t="s">
        <v>1723</v>
      </c>
      <c r="I2927" s="47" t="s">
        <v>1724</v>
      </c>
      <c r="J2927" s="47" t="s">
        <v>26</v>
      </c>
    </row>
    <row r="2928" ht="54" customHeight="1" spans="1:10">
      <c r="A2928" s="48" t="s">
        <v>919</v>
      </c>
      <c r="B2928" s="48" t="s">
        <v>4354</v>
      </c>
      <c r="C2928" s="47" t="s">
        <v>1131</v>
      </c>
      <c r="D2928" s="48" t="s">
        <v>993</v>
      </c>
      <c r="E2928" s="48" t="s">
        <v>994</v>
      </c>
      <c r="F2928" s="48" t="s">
        <v>1132</v>
      </c>
      <c r="G2928" s="48" t="s">
        <v>1133</v>
      </c>
      <c r="H2928" s="47" t="s">
        <v>1134</v>
      </c>
      <c r="I2928" s="47" t="s">
        <v>1135</v>
      </c>
      <c r="J2928" s="47" t="s">
        <v>26</v>
      </c>
    </row>
    <row r="2929" ht="54" customHeight="1" spans="1:10">
      <c r="A2929" s="48" t="s">
        <v>921</v>
      </c>
      <c r="B2929" s="48" t="s">
        <v>4355</v>
      </c>
      <c r="C2929" s="47" t="s">
        <v>985</v>
      </c>
      <c r="D2929" s="48" t="s">
        <v>986</v>
      </c>
      <c r="E2929" s="48" t="s">
        <v>987</v>
      </c>
      <c r="F2929" s="48" t="s">
        <v>988</v>
      </c>
      <c r="G2929" s="48" t="s">
        <v>987</v>
      </c>
      <c r="H2929" s="47" t="s">
        <v>989</v>
      </c>
      <c r="I2929" s="47" t="s">
        <v>990</v>
      </c>
      <c r="J2929" s="47" t="s">
        <v>26</v>
      </c>
    </row>
    <row r="2930" ht="54" customHeight="1" spans="1:10">
      <c r="A2930" s="48" t="s">
        <v>921</v>
      </c>
      <c r="B2930" s="48" t="s">
        <v>4356</v>
      </c>
      <c r="C2930" s="47" t="s">
        <v>1480</v>
      </c>
      <c r="D2930" s="48" t="s">
        <v>1001</v>
      </c>
      <c r="E2930" s="48" t="s">
        <v>1002</v>
      </c>
      <c r="F2930" s="48" t="s">
        <v>1481</v>
      </c>
      <c r="G2930" s="48" t="s">
        <v>1482</v>
      </c>
      <c r="H2930" s="47" t="s">
        <v>1483</v>
      </c>
      <c r="I2930" s="47" t="s">
        <v>1484</v>
      </c>
      <c r="J2930" s="47" t="s">
        <v>26</v>
      </c>
    </row>
    <row r="2931" ht="54" customHeight="1" spans="1:10">
      <c r="A2931" s="48" t="s">
        <v>921</v>
      </c>
      <c r="B2931" s="48" t="s">
        <v>4357</v>
      </c>
      <c r="C2931" s="47" t="s">
        <v>1105</v>
      </c>
      <c r="D2931" s="48" t="s">
        <v>1009</v>
      </c>
      <c r="E2931" s="48" t="s">
        <v>1010</v>
      </c>
      <c r="F2931" s="48" t="s">
        <v>1106</v>
      </c>
      <c r="G2931" s="48" t="s">
        <v>1107</v>
      </c>
      <c r="H2931" s="47" t="s">
        <v>1108</v>
      </c>
      <c r="I2931" s="47" t="s">
        <v>1109</v>
      </c>
      <c r="J2931" s="47" t="s">
        <v>26</v>
      </c>
    </row>
    <row r="2932" ht="54" customHeight="1" spans="1:10">
      <c r="A2932" s="48" t="s">
        <v>921</v>
      </c>
      <c r="B2932" s="48" t="s">
        <v>4358</v>
      </c>
      <c r="C2932" s="47" t="s">
        <v>1044</v>
      </c>
      <c r="D2932" s="48" t="s">
        <v>1045</v>
      </c>
      <c r="E2932" s="48" t="s">
        <v>1046</v>
      </c>
      <c r="F2932" s="48" t="s">
        <v>1047</v>
      </c>
      <c r="G2932" s="48" t="s">
        <v>1048</v>
      </c>
      <c r="H2932" s="47" t="s">
        <v>1049</v>
      </c>
      <c r="I2932" s="47" t="s">
        <v>1050</v>
      </c>
      <c r="J2932" s="47" t="s">
        <v>26</v>
      </c>
    </row>
    <row r="2933" ht="54" customHeight="1" spans="1:10">
      <c r="A2933" s="48" t="s">
        <v>921</v>
      </c>
      <c r="B2933" s="48" t="s">
        <v>4359</v>
      </c>
      <c r="C2933" s="47" t="s">
        <v>1097</v>
      </c>
      <c r="D2933" s="48" t="s">
        <v>1098</v>
      </c>
      <c r="E2933" s="48" t="s">
        <v>1099</v>
      </c>
      <c r="F2933" s="48" t="s">
        <v>1100</v>
      </c>
      <c r="G2933" s="48" t="s">
        <v>1101</v>
      </c>
      <c r="H2933" s="47" t="s">
        <v>1102</v>
      </c>
      <c r="I2933" s="47" t="s">
        <v>1103</v>
      </c>
      <c r="J2933" s="47" t="s">
        <v>26</v>
      </c>
    </row>
    <row r="2934" ht="54" customHeight="1" spans="1:10">
      <c r="A2934" s="48" t="s">
        <v>921</v>
      </c>
      <c r="B2934" s="48" t="s">
        <v>4360</v>
      </c>
      <c r="C2934" s="47" t="s">
        <v>1066</v>
      </c>
      <c r="D2934" s="48" t="s">
        <v>935</v>
      </c>
      <c r="E2934" s="48" t="s">
        <v>936</v>
      </c>
      <c r="F2934" s="48" t="s">
        <v>1067</v>
      </c>
      <c r="G2934" s="48" t="s">
        <v>1068</v>
      </c>
      <c r="H2934" s="47" t="s">
        <v>1069</v>
      </c>
      <c r="I2934" s="47" t="s">
        <v>940</v>
      </c>
      <c r="J2934" s="47" t="s">
        <v>26</v>
      </c>
    </row>
    <row r="2935" ht="54" customHeight="1" spans="1:10">
      <c r="A2935" s="48" t="s">
        <v>921</v>
      </c>
      <c r="B2935" s="48" t="s">
        <v>4361</v>
      </c>
      <c r="C2935" s="47" t="s">
        <v>1252</v>
      </c>
      <c r="D2935" s="48" t="s">
        <v>1001</v>
      </c>
      <c r="E2935" s="48" t="s">
        <v>1002</v>
      </c>
      <c r="F2935" s="48" t="s">
        <v>1253</v>
      </c>
      <c r="G2935" s="48" t="s">
        <v>1254</v>
      </c>
      <c r="H2935" s="47" t="s">
        <v>1255</v>
      </c>
      <c r="I2935" s="47" t="s">
        <v>1256</v>
      </c>
      <c r="J2935" s="47" t="s">
        <v>26</v>
      </c>
    </row>
    <row r="2936" ht="54" customHeight="1" spans="1:10">
      <c r="A2936" s="48" t="s">
        <v>921</v>
      </c>
      <c r="B2936" s="48" t="s">
        <v>4362</v>
      </c>
      <c r="C2936" s="47" t="s">
        <v>1137</v>
      </c>
      <c r="D2936" s="48" t="s">
        <v>1138</v>
      </c>
      <c r="E2936" s="48" t="s">
        <v>1139</v>
      </c>
      <c r="F2936" s="48" t="s">
        <v>1140</v>
      </c>
      <c r="G2936" s="48" t="s">
        <v>1141</v>
      </c>
      <c r="H2936" s="47" t="s">
        <v>1142</v>
      </c>
      <c r="I2936" s="47" t="s">
        <v>940</v>
      </c>
      <c r="J2936" s="47" t="s">
        <v>26</v>
      </c>
    </row>
    <row r="2937" ht="54" customHeight="1" spans="1:10">
      <c r="A2937" s="48" t="s">
        <v>921</v>
      </c>
      <c r="B2937" s="48" t="s">
        <v>4363</v>
      </c>
      <c r="C2937" s="47" t="s">
        <v>1216</v>
      </c>
      <c r="D2937" s="48" t="s">
        <v>993</v>
      </c>
      <c r="E2937" s="48" t="s">
        <v>994</v>
      </c>
      <c r="F2937" s="48" t="s">
        <v>1217</v>
      </c>
      <c r="G2937" s="48" t="s">
        <v>1218</v>
      </c>
      <c r="H2937" s="47" t="s">
        <v>1219</v>
      </c>
      <c r="I2937" s="47" t="s">
        <v>1220</v>
      </c>
      <c r="J2937" s="47" t="s">
        <v>26</v>
      </c>
    </row>
    <row r="2938" ht="54" customHeight="1" spans="1:10">
      <c r="A2938" s="48" t="s">
        <v>921</v>
      </c>
      <c r="B2938" s="48" t="s">
        <v>4364</v>
      </c>
      <c r="C2938" s="47" t="s">
        <v>1145</v>
      </c>
      <c r="D2938" s="48" t="s">
        <v>1146</v>
      </c>
      <c r="E2938" s="48" t="s">
        <v>1147</v>
      </c>
      <c r="F2938" s="48" t="s">
        <v>1148</v>
      </c>
      <c r="G2938" s="48" t="s">
        <v>1149</v>
      </c>
      <c r="H2938" s="47" t="s">
        <v>1150</v>
      </c>
      <c r="I2938" s="47" t="s">
        <v>1151</v>
      </c>
      <c r="J2938" s="47" t="s">
        <v>26</v>
      </c>
    </row>
    <row r="2939" ht="54" customHeight="1" spans="1:10">
      <c r="A2939" s="48" t="s">
        <v>923</v>
      </c>
      <c r="B2939" s="48" t="s">
        <v>4365</v>
      </c>
      <c r="C2939" s="47" t="s">
        <v>985</v>
      </c>
      <c r="D2939" s="48" t="s">
        <v>986</v>
      </c>
      <c r="E2939" s="48" t="s">
        <v>987</v>
      </c>
      <c r="F2939" s="48" t="s">
        <v>988</v>
      </c>
      <c r="G2939" s="48" t="s">
        <v>987</v>
      </c>
      <c r="H2939" s="47" t="s">
        <v>989</v>
      </c>
      <c r="I2939" s="47" t="s">
        <v>990</v>
      </c>
      <c r="J2939" s="47" t="s">
        <v>26</v>
      </c>
    </row>
    <row r="2940" ht="54" customHeight="1" spans="1:10">
      <c r="A2940" s="48" t="s">
        <v>923</v>
      </c>
      <c r="B2940" s="48" t="s">
        <v>4366</v>
      </c>
      <c r="C2940" s="47" t="s">
        <v>2074</v>
      </c>
      <c r="D2940" s="48" t="s">
        <v>1029</v>
      </c>
      <c r="E2940" s="48" t="s">
        <v>1030</v>
      </c>
      <c r="F2940" s="48" t="s">
        <v>2075</v>
      </c>
      <c r="G2940" s="48" t="s">
        <v>2076</v>
      </c>
      <c r="H2940" s="47" t="s">
        <v>2077</v>
      </c>
      <c r="I2940" s="47" t="s">
        <v>2078</v>
      </c>
      <c r="J2940" s="47" t="s">
        <v>26</v>
      </c>
    </row>
    <row r="2941" ht="54" customHeight="1" spans="1:10">
      <c r="A2941" s="48" t="s">
        <v>923</v>
      </c>
      <c r="B2941" s="48" t="s">
        <v>4367</v>
      </c>
      <c r="C2941" s="47" t="s">
        <v>992</v>
      </c>
      <c r="D2941" s="48" t="s">
        <v>993</v>
      </c>
      <c r="E2941" s="48" t="s">
        <v>994</v>
      </c>
      <c r="F2941" s="48" t="s">
        <v>995</v>
      </c>
      <c r="G2941" s="48" t="s">
        <v>996</v>
      </c>
      <c r="H2941" s="47" t="s">
        <v>997</v>
      </c>
      <c r="I2941" s="47" t="s">
        <v>998</v>
      </c>
      <c r="J2941" s="47" t="s">
        <v>26</v>
      </c>
    </row>
    <row r="2942" ht="54" customHeight="1" spans="1:10">
      <c r="A2942" s="48" t="s">
        <v>923</v>
      </c>
      <c r="B2942" s="48" t="s">
        <v>4368</v>
      </c>
      <c r="C2942" s="47" t="s">
        <v>1052</v>
      </c>
      <c r="D2942" s="48" t="s">
        <v>1009</v>
      </c>
      <c r="E2942" s="48" t="s">
        <v>1010</v>
      </c>
      <c r="F2942" s="48" t="s">
        <v>1053</v>
      </c>
      <c r="G2942" s="48" t="s">
        <v>1054</v>
      </c>
      <c r="H2942" s="47" t="s">
        <v>1055</v>
      </c>
      <c r="I2942" s="47" t="s">
        <v>1056</v>
      </c>
      <c r="J2942" s="47" t="s">
        <v>26</v>
      </c>
    </row>
    <row r="2943" ht="54" customHeight="1" spans="1:10">
      <c r="A2943" s="48" t="s">
        <v>923</v>
      </c>
      <c r="B2943" s="48" t="s">
        <v>4369</v>
      </c>
      <c r="C2943" s="47" t="s">
        <v>1097</v>
      </c>
      <c r="D2943" s="48" t="s">
        <v>1098</v>
      </c>
      <c r="E2943" s="48" t="s">
        <v>1099</v>
      </c>
      <c r="F2943" s="48" t="s">
        <v>1100</v>
      </c>
      <c r="G2943" s="48" t="s">
        <v>1101</v>
      </c>
      <c r="H2943" s="47" t="s">
        <v>1102</v>
      </c>
      <c r="I2943" s="47" t="s">
        <v>1103</v>
      </c>
      <c r="J2943" s="47" t="s">
        <v>26</v>
      </c>
    </row>
    <row r="2944" ht="54" customHeight="1" spans="1:10">
      <c r="A2944" s="48" t="s">
        <v>923</v>
      </c>
      <c r="B2944" s="48" t="s">
        <v>4370</v>
      </c>
      <c r="C2944" s="47" t="s">
        <v>1638</v>
      </c>
      <c r="D2944" s="48" t="s">
        <v>1118</v>
      </c>
      <c r="E2944" s="48" t="s">
        <v>1119</v>
      </c>
      <c r="F2944" s="48" t="s">
        <v>1639</v>
      </c>
      <c r="G2944" s="48" t="s">
        <v>1640</v>
      </c>
      <c r="H2944" s="47" t="s">
        <v>1641</v>
      </c>
      <c r="I2944" s="47" t="s">
        <v>1642</v>
      </c>
      <c r="J2944" s="47" t="s">
        <v>26</v>
      </c>
    </row>
  </sheetData>
  <sheetProtection formatCells="0" insertHyperlinks="0" autoFilter="0"/>
  <pageMargins left="0.7" right="0.7" top="0.75" bottom="0.75" header="0.3" footer="0.3"/>
  <headerFooter/>
  <picture r:id="cco-watermark"/>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9"/>
  <sheetViews>
    <sheetView showGridLines="0" workbookViewId="0">
      <selection activeCell="A1" sqref="A1"/>
    </sheetView>
  </sheetViews>
  <sheetFormatPr defaultColWidth="9" defaultRowHeight="14.25" outlineLevelCol="7"/>
  <cols>
    <col min="1" max="1" customWidth="true" width="12.0" collapsed="false"/>
    <col min="2" max="7" customWidth="true" width="17.0" collapsed="false"/>
    <col min="8" max="8" customWidth="true" width="22.0" collapsed="false"/>
  </cols>
  <sheetData>
    <row r="1" ht="30" customHeight="1" spans="1:8">
      <c r="A1" s="46" t="s">
        <v>18</v>
      </c>
      <c r="B1" s="47" t="s">
        <v>8</v>
      </c>
      <c r="C1" s="47" t="s">
        <v>4371</v>
      </c>
      <c r="D1" s="47" t="s">
        <v>4372</v>
      </c>
      <c r="E1" s="47" t="s">
        <v>4373</v>
      </c>
      <c r="F1" s="47" t="s">
        <v>4374</v>
      </c>
      <c r="G1" s="47" t="s">
        <v>4375</v>
      </c>
      <c r="H1" s="47" t="s">
        <v>4376</v>
      </c>
    </row>
    <row r="2" ht="24" customHeight="1" spans="1:8">
      <c r="A2" s="48" t="s">
        <v>23</v>
      </c>
      <c r="B2" s="48">
        <v>7</v>
      </c>
      <c r="C2" s="48" t="s">
        <v>4377</v>
      </c>
      <c r="D2" s="48" t="s">
        <v>4377</v>
      </c>
      <c r="E2" s="48" t="s">
        <v>4377</v>
      </c>
      <c r="F2" s="48" t="s">
        <v>4377</v>
      </c>
      <c r="G2" s="48" t="s">
        <v>4377</v>
      </c>
      <c r="H2" s="48" t="s">
        <v>4378</v>
      </c>
    </row>
    <row r="3" ht="24" customHeight="1" spans="1:8">
      <c r="A3" s="48" t="s">
        <v>27</v>
      </c>
      <c r="B3" s="48">
        <v>12</v>
      </c>
      <c r="C3" s="48" t="s">
        <v>4377</v>
      </c>
      <c r="D3" s="48" t="s">
        <v>4377</v>
      </c>
      <c r="E3" s="48" t="s">
        <v>4377</v>
      </c>
      <c r="F3" s="48" t="s">
        <v>4377</v>
      </c>
      <c r="G3" s="48" t="s">
        <v>4377</v>
      </c>
      <c r="H3" s="48" t="s">
        <v>4379</v>
      </c>
    </row>
    <row r="4" ht="24" customHeight="1" spans="1:8">
      <c r="A4" s="48" t="s">
        <v>30</v>
      </c>
      <c r="B4" s="48">
        <v>8</v>
      </c>
      <c r="C4" s="48" t="s">
        <v>4377</v>
      </c>
      <c r="D4" s="48" t="s">
        <v>4377</v>
      </c>
      <c r="E4" s="48" t="s">
        <v>4377</v>
      </c>
      <c r="F4" s="48" t="s">
        <v>4377</v>
      </c>
      <c r="G4" s="48" t="s">
        <v>4377</v>
      </c>
      <c r="H4" s="48" t="s">
        <v>4378</v>
      </c>
    </row>
    <row r="5" ht="24" customHeight="1" spans="1:8">
      <c r="A5" s="48" t="s">
        <v>33</v>
      </c>
      <c r="B5" s="48">
        <v>8</v>
      </c>
      <c r="C5" s="48" t="s">
        <v>4377</v>
      </c>
      <c r="D5" s="48" t="s">
        <v>4377</v>
      </c>
      <c r="E5" s="48" t="s">
        <v>4377</v>
      </c>
      <c r="F5" s="48" t="s">
        <v>4377</v>
      </c>
      <c r="G5" s="48" t="s">
        <v>4377</v>
      </c>
      <c r="H5" s="48" t="s">
        <v>4378</v>
      </c>
    </row>
    <row r="6" ht="24" customHeight="1" spans="1:8">
      <c r="A6" s="48" t="s">
        <v>35</v>
      </c>
      <c r="B6" s="48">
        <v>4</v>
      </c>
      <c r="C6" s="48" t="s">
        <v>4377</v>
      </c>
      <c r="D6" s="48" t="s">
        <v>4377</v>
      </c>
      <c r="E6" s="48" t="s">
        <v>4377</v>
      </c>
      <c r="F6" s="48" t="s">
        <v>4377</v>
      </c>
      <c r="G6" s="48" t="s">
        <v>4377</v>
      </c>
      <c r="H6" s="48" t="s">
        <v>4378</v>
      </c>
    </row>
    <row r="7" ht="24" customHeight="1" spans="1:8">
      <c r="A7" s="48" t="s">
        <v>37</v>
      </c>
      <c r="B7" s="48">
        <v>12</v>
      </c>
      <c r="C7" s="48" t="s">
        <v>4377</v>
      </c>
      <c r="D7" s="48" t="s">
        <v>4377</v>
      </c>
      <c r="E7" s="48" t="s">
        <v>4377</v>
      </c>
      <c r="F7" s="48" t="s">
        <v>4377</v>
      </c>
      <c r="G7" s="48" t="s">
        <v>4377</v>
      </c>
      <c r="H7" s="48" t="s">
        <v>4379</v>
      </c>
    </row>
    <row r="8" ht="24" customHeight="1" spans="1:8">
      <c r="A8" s="48" t="s">
        <v>40</v>
      </c>
      <c r="B8" s="48">
        <v>8</v>
      </c>
      <c r="C8" s="48" t="s">
        <v>4377</v>
      </c>
      <c r="D8" s="48" t="s">
        <v>4377</v>
      </c>
      <c r="E8" s="48" t="s">
        <v>4377</v>
      </c>
      <c r="F8" s="48" t="s">
        <v>4377</v>
      </c>
      <c r="G8" s="48" t="s">
        <v>4377</v>
      </c>
      <c r="H8" s="48" t="s">
        <v>4378</v>
      </c>
    </row>
    <row r="9" ht="24" customHeight="1" spans="1:8">
      <c r="A9" s="48" t="s">
        <v>42</v>
      </c>
      <c r="B9" s="48">
        <v>8</v>
      </c>
      <c r="C9" s="48" t="s">
        <v>4377</v>
      </c>
      <c r="D9" s="48" t="s">
        <v>4377</v>
      </c>
      <c r="E9" s="48" t="s">
        <v>4377</v>
      </c>
      <c r="F9" s="48" t="s">
        <v>4377</v>
      </c>
      <c r="G9" s="48" t="s">
        <v>4377</v>
      </c>
      <c r="H9" s="48" t="s">
        <v>4378</v>
      </c>
    </row>
    <row r="10" ht="24" customHeight="1" spans="1:8">
      <c r="A10" s="48" t="s">
        <v>44</v>
      </c>
      <c r="B10" s="48">
        <v>5</v>
      </c>
      <c r="C10" s="48" t="s">
        <v>4377</v>
      </c>
      <c r="D10" s="48" t="s">
        <v>4377</v>
      </c>
      <c r="E10" s="48" t="s">
        <v>4377</v>
      </c>
      <c r="F10" s="48" t="s">
        <v>4377</v>
      </c>
      <c r="G10" s="48" t="s">
        <v>4377</v>
      </c>
      <c r="H10" s="48" t="s">
        <v>4378</v>
      </c>
    </row>
    <row r="11" ht="24" customHeight="1" spans="1:8">
      <c r="A11" s="48" t="s">
        <v>46</v>
      </c>
      <c r="B11" s="48">
        <v>4</v>
      </c>
      <c r="C11" s="48" t="s">
        <v>4377</v>
      </c>
      <c r="D11" s="48" t="s">
        <v>4377</v>
      </c>
      <c r="E11" s="48" t="s">
        <v>4377</v>
      </c>
      <c r="F11" s="48" t="s">
        <v>4377</v>
      </c>
      <c r="G11" s="48" t="s">
        <v>4377</v>
      </c>
      <c r="H11" s="48" t="s">
        <v>4378</v>
      </c>
    </row>
    <row r="12" ht="24" customHeight="1" spans="1:8">
      <c r="A12" s="48" t="s">
        <v>48</v>
      </c>
      <c r="B12" s="48">
        <v>8</v>
      </c>
      <c r="C12" s="48" t="s">
        <v>4377</v>
      </c>
      <c r="D12" s="48" t="s">
        <v>4377</v>
      </c>
      <c r="E12" s="48" t="s">
        <v>4377</v>
      </c>
      <c r="F12" s="48" t="s">
        <v>4377</v>
      </c>
      <c r="G12" s="48" t="s">
        <v>4377</v>
      </c>
      <c r="H12" s="48" t="s">
        <v>4378</v>
      </c>
    </row>
    <row r="13" ht="24" customHeight="1" spans="1:8">
      <c r="A13" s="48" t="s">
        <v>50</v>
      </c>
      <c r="B13" s="48">
        <v>8</v>
      </c>
      <c r="C13" s="48" t="s">
        <v>4377</v>
      </c>
      <c r="D13" s="48" t="s">
        <v>4377</v>
      </c>
      <c r="E13" s="48" t="s">
        <v>4377</v>
      </c>
      <c r="F13" s="48" t="s">
        <v>4377</v>
      </c>
      <c r="G13" s="48" t="s">
        <v>4377</v>
      </c>
      <c r="H13" s="48" t="s">
        <v>4378</v>
      </c>
    </row>
    <row r="14" ht="24" customHeight="1" spans="1:8">
      <c r="A14" s="48" t="s">
        <v>52</v>
      </c>
      <c r="B14" s="48">
        <v>7</v>
      </c>
      <c r="C14" s="48" t="s">
        <v>4377</v>
      </c>
      <c r="D14" s="48" t="s">
        <v>4377</v>
      </c>
      <c r="E14" s="48" t="s">
        <v>4377</v>
      </c>
      <c r="F14" s="48" t="s">
        <v>4377</v>
      </c>
      <c r="G14" s="48" t="s">
        <v>4377</v>
      </c>
      <c r="H14" s="48" t="s">
        <v>4378</v>
      </c>
    </row>
    <row r="15" ht="24" customHeight="1" spans="1:8">
      <c r="A15" s="48" t="s">
        <v>54</v>
      </c>
      <c r="B15" s="48">
        <v>4</v>
      </c>
      <c r="C15" s="48" t="s">
        <v>4377</v>
      </c>
      <c r="D15" s="48" t="s">
        <v>4377</v>
      </c>
      <c r="E15" s="48" t="s">
        <v>4377</v>
      </c>
      <c r="F15" s="48" t="s">
        <v>4377</v>
      </c>
      <c r="G15" s="48" t="s">
        <v>4377</v>
      </c>
      <c r="H15" s="48" t="s">
        <v>4378</v>
      </c>
    </row>
    <row r="16" ht="24" customHeight="1" spans="1:8">
      <c r="A16" s="48" t="s">
        <v>56</v>
      </c>
      <c r="B16" s="48">
        <v>5</v>
      </c>
      <c r="C16" s="48" t="s">
        <v>4377</v>
      </c>
      <c r="D16" s="48" t="s">
        <v>4377</v>
      </c>
      <c r="E16" s="48" t="s">
        <v>4377</v>
      </c>
      <c r="F16" s="48" t="s">
        <v>4377</v>
      </c>
      <c r="G16" s="48" t="s">
        <v>4377</v>
      </c>
      <c r="H16" s="48" t="s">
        <v>4378</v>
      </c>
    </row>
    <row r="17" ht="24" customHeight="1" spans="1:8">
      <c r="A17" s="48" t="s">
        <v>58</v>
      </c>
      <c r="B17" s="48">
        <v>12</v>
      </c>
      <c r="C17" s="48" t="s">
        <v>4377</v>
      </c>
      <c r="D17" s="48" t="s">
        <v>4377</v>
      </c>
      <c r="E17" s="48" t="s">
        <v>4377</v>
      </c>
      <c r="F17" s="48" t="s">
        <v>4377</v>
      </c>
      <c r="G17" s="48" t="s">
        <v>4377</v>
      </c>
      <c r="H17" s="48" t="s">
        <v>4379</v>
      </c>
    </row>
    <row r="18" ht="24" customHeight="1" spans="1:8">
      <c r="A18" s="48" t="s">
        <v>60</v>
      </c>
      <c r="B18" s="48">
        <v>8</v>
      </c>
      <c r="C18" s="48" t="s">
        <v>4377</v>
      </c>
      <c r="D18" s="48" t="s">
        <v>4377</v>
      </c>
      <c r="E18" s="48" t="s">
        <v>4377</v>
      </c>
      <c r="F18" s="48" t="s">
        <v>4377</v>
      </c>
      <c r="G18" s="48" t="s">
        <v>4377</v>
      </c>
      <c r="H18" s="48" t="s">
        <v>4378</v>
      </c>
    </row>
    <row r="19" ht="24" customHeight="1" spans="1:8">
      <c r="A19" s="48" t="s">
        <v>62</v>
      </c>
      <c r="B19" s="48">
        <v>5</v>
      </c>
      <c r="C19" s="48" t="s">
        <v>4377</v>
      </c>
      <c r="D19" s="48" t="s">
        <v>4377</v>
      </c>
      <c r="E19" s="48" t="s">
        <v>4377</v>
      </c>
      <c r="F19" s="48" t="s">
        <v>4377</v>
      </c>
      <c r="G19" s="48" t="s">
        <v>4377</v>
      </c>
      <c r="H19" s="48" t="s">
        <v>4378</v>
      </c>
    </row>
    <row r="20" ht="24" customHeight="1" spans="1:8">
      <c r="A20" s="48" t="s">
        <v>64</v>
      </c>
      <c r="B20" s="48">
        <v>12</v>
      </c>
      <c r="C20" s="48" t="s">
        <v>4377</v>
      </c>
      <c r="D20" s="48" t="s">
        <v>4377</v>
      </c>
      <c r="E20" s="48" t="s">
        <v>4377</v>
      </c>
      <c r="F20" s="48" t="s">
        <v>4377</v>
      </c>
      <c r="G20" s="48" t="s">
        <v>4377</v>
      </c>
      <c r="H20" s="48" t="s">
        <v>4379</v>
      </c>
    </row>
    <row r="21" ht="24" customHeight="1" spans="1:8">
      <c r="A21" s="48" t="s">
        <v>67</v>
      </c>
      <c r="B21" s="48">
        <v>10</v>
      </c>
      <c r="C21" s="48" t="s">
        <v>4377</v>
      </c>
      <c r="D21" s="48" t="s">
        <v>4377</v>
      </c>
      <c r="E21" s="48" t="s">
        <v>4377</v>
      </c>
      <c r="F21" s="48" t="s">
        <v>4377</v>
      </c>
      <c r="G21" s="48" t="s">
        <v>4377</v>
      </c>
      <c r="H21" s="48" t="s">
        <v>4379</v>
      </c>
    </row>
    <row r="22" ht="24" customHeight="1" spans="1:8">
      <c r="A22" s="48" t="s">
        <v>69</v>
      </c>
      <c r="B22" s="48">
        <v>10</v>
      </c>
      <c r="C22" s="48" t="s">
        <v>4377</v>
      </c>
      <c r="D22" s="48" t="s">
        <v>4377</v>
      </c>
      <c r="E22" s="48" t="s">
        <v>4377</v>
      </c>
      <c r="F22" s="48" t="s">
        <v>4377</v>
      </c>
      <c r="G22" s="48" t="s">
        <v>4377</v>
      </c>
      <c r="H22" s="48" t="s">
        <v>4379</v>
      </c>
    </row>
    <row r="23" ht="24" customHeight="1" spans="1:8">
      <c r="A23" s="48" t="s">
        <v>71</v>
      </c>
      <c r="B23" s="48">
        <v>10</v>
      </c>
      <c r="C23" s="48" t="s">
        <v>4377</v>
      </c>
      <c r="D23" s="48" t="s">
        <v>4377</v>
      </c>
      <c r="E23" s="48" t="s">
        <v>4377</v>
      </c>
      <c r="F23" s="48" t="s">
        <v>4377</v>
      </c>
      <c r="G23" s="48" t="s">
        <v>4377</v>
      </c>
      <c r="H23" s="48" t="s">
        <v>4379</v>
      </c>
    </row>
    <row r="24" ht="24" customHeight="1" spans="1:8">
      <c r="A24" s="48" t="s">
        <v>73</v>
      </c>
      <c r="B24" s="48">
        <v>10</v>
      </c>
      <c r="C24" s="48" t="s">
        <v>4377</v>
      </c>
      <c r="D24" s="48" t="s">
        <v>4377</v>
      </c>
      <c r="E24" s="48" t="s">
        <v>4377</v>
      </c>
      <c r="F24" s="48" t="s">
        <v>4377</v>
      </c>
      <c r="G24" s="48" t="s">
        <v>4377</v>
      </c>
      <c r="H24" s="48" t="s">
        <v>4379</v>
      </c>
    </row>
    <row r="25" ht="24" customHeight="1" spans="1:8">
      <c r="A25" s="48" t="s">
        <v>75</v>
      </c>
      <c r="B25" s="48">
        <v>12</v>
      </c>
      <c r="C25" s="48" t="s">
        <v>4377</v>
      </c>
      <c r="D25" s="48" t="s">
        <v>4377</v>
      </c>
      <c r="E25" s="48" t="s">
        <v>4377</v>
      </c>
      <c r="F25" s="48" t="s">
        <v>4377</v>
      </c>
      <c r="G25" s="48" t="s">
        <v>4377</v>
      </c>
      <c r="H25" s="48" t="s">
        <v>4379</v>
      </c>
    </row>
    <row r="26" ht="24" customHeight="1" spans="1:8">
      <c r="A26" s="48" t="s">
        <v>77</v>
      </c>
      <c r="B26" s="48">
        <v>5</v>
      </c>
      <c r="C26" s="48" t="s">
        <v>4377</v>
      </c>
      <c r="D26" s="48" t="s">
        <v>4377</v>
      </c>
      <c r="E26" s="48" t="s">
        <v>4377</v>
      </c>
      <c r="F26" s="48" t="s">
        <v>4377</v>
      </c>
      <c r="G26" s="48" t="s">
        <v>4377</v>
      </c>
      <c r="H26" s="48" t="s">
        <v>4378</v>
      </c>
    </row>
    <row r="27" ht="24" customHeight="1" spans="1:8">
      <c r="A27" s="48" t="s">
        <v>79</v>
      </c>
      <c r="B27" s="48">
        <v>8</v>
      </c>
      <c r="C27" s="48" t="s">
        <v>4377</v>
      </c>
      <c r="D27" s="48" t="s">
        <v>4377</v>
      </c>
      <c r="E27" s="48" t="s">
        <v>4377</v>
      </c>
      <c r="F27" s="48" t="s">
        <v>4377</v>
      </c>
      <c r="G27" s="48" t="s">
        <v>4377</v>
      </c>
      <c r="H27" s="48" t="s">
        <v>4378</v>
      </c>
    </row>
    <row r="28" ht="24" customHeight="1" spans="1:8">
      <c r="A28" s="48" t="s">
        <v>81</v>
      </c>
      <c r="B28" s="48">
        <v>5</v>
      </c>
      <c r="C28" s="48" t="s">
        <v>4377</v>
      </c>
      <c r="D28" s="48" t="s">
        <v>4377</v>
      </c>
      <c r="E28" s="48" t="s">
        <v>4377</v>
      </c>
      <c r="F28" s="48" t="s">
        <v>4377</v>
      </c>
      <c r="G28" s="48" t="s">
        <v>4377</v>
      </c>
      <c r="H28" s="48" t="s">
        <v>4378</v>
      </c>
    </row>
    <row r="29" ht="24" customHeight="1" spans="1:8">
      <c r="A29" s="48" t="s">
        <v>83</v>
      </c>
      <c r="B29" s="48">
        <v>10</v>
      </c>
      <c r="C29" s="48" t="s">
        <v>4377</v>
      </c>
      <c r="D29" s="48" t="s">
        <v>4377</v>
      </c>
      <c r="E29" s="48" t="s">
        <v>4377</v>
      </c>
      <c r="F29" s="48" t="s">
        <v>4377</v>
      </c>
      <c r="G29" s="48" t="s">
        <v>4377</v>
      </c>
      <c r="H29" s="48" t="s">
        <v>4379</v>
      </c>
    </row>
    <row r="30" ht="24" customHeight="1" spans="1:8">
      <c r="A30" s="48" t="s">
        <v>85</v>
      </c>
      <c r="B30" s="48">
        <v>10</v>
      </c>
      <c r="C30" s="48" t="s">
        <v>4377</v>
      </c>
      <c r="D30" s="48" t="s">
        <v>4377</v>
      </c>
      <c r="E30" s="48" t="s">
        <v>4377</v>
      </c>
      <c r="F30" s="48" t="s">
        <v>4377</v>
      </c>
      <c r="G30" s="48" t="s">
        <v>4377</v>
      </c>
      <c r="H30" s="48" t="s">
        <v>4379</v>
      </c>
    </row>
    <row r="31" ht="24" customHeight="1" spans="1:8">
      <c r="A31" s="48" t="s">
        <v>87</v>
      </c>
      <c r="B31" s="48">
        <v>8</v>
      </c>
      <c r="C31" s="48" t="s">
        <v>4377</v>
      </c>
      <c r="D31" s="48" t="s">
        <v>4377</v>
      </c>
      <c r="E31" s="48" t="s">
        <v>4377</v>
      </c>
      <c r="F31" s="48" t="s">
        <v>4377</v>
      </c>
      <c r="G31" s="48" t="s">
        <v>4377</v>
      </c>
      <c r="H31" s="48" t="s">
        <v>4378</v>
      </c>
    </row>
    <row r="32" ht="24" customHeight="1" spans="1:8">
      <c r="A32" s="48" t="s">
        <v>89</v>
      </c>
      <c r="B32" s="48">
        <v>8</v>
      </c>
      <c r="C32" s="48" t="s">
        <v>4377</v>
      </c>
      <c r="D32" s="48" t="s">
        <v>4377</v>
      </c>
      <c r="E32" s="48" t="s">
        <v>4377</v>
      </c>
      <c r="F32" s="48" t="s">
        <v>4377</v>
      </c>
      <c r="G32" s="48" t="s">
        <v>4377</v>
      </c>
      <c r="H32" s="48" t="s">
        <v>4378</v>
      </c>
    </row>
    <row r="33" ht="24" customHeight="1" spans="1:8">
      <c r="A33" s="48" t="s">
        <v>91</v>
      </c>
      <c r="B33" s="48">
        <v>3</v>
      </c>
      <c r="C33" s="48" t="s">
        <v>4377</v>
      </c>
      <c r="D33" s="48" t="s">
        <v>4377</v>
      </c>
      <c r="E33" s="48" t="s">
        <v>4377</v>
      </c>
      <c r="F33" s="48" t="s">
        <v>4377</v>
      </c>
      <c r="G33" s="48" t="s">
        <v>4377</v>
      </c>
      <c r="H33" s="48" t="s">
        <v>4378</v>
      </c>
    </row>
    <row r="34" ht="24" customHeight="1" spans="1:8">
      <c r="A34" s="48" t="s">
        <v>93</v>
      </c>
      <c r="B34" s="48">
        <v>4</v>
      </c>
      <c r="C34" s="48" t="s">
        <v>4377</v>
      </c>
      <c r="D34" s="48" t="s">
        <v>4377</v>
      </c>
      <c r="E34" s="48" t="s">
        <v>4377</v>
      </c>
      <c r="F34" s="48" t="s">
        <v>4377</v>
      </c>
      <c r="G34" s="48" t="s">
        <v>4377</v>
      </c>
      <c r="H34" s="48" t="s">
        <v>4378</v>
      </c>
    </row>
    <row r="35" ht="24" customHeight="1" spans="1:8">
      <c r="A35" s="48" t="s">
        <v>95</v>
      </c>
      <c r="B35" s="48">
        <v>4</v>
      </c>
      <c r="C35" s="48" t="s">
        <v>4377</v>
      </c>
      <c r="D35" s="48" t="s">
        <v>4377</v>
      </c>
      <c r="E35" s="48" t="s">
        <v>4377</v>
      </c>
      <c r="F35" s="48" t="s">
        <v>4377</v>
      </c>
      <c r="G35" s="48" t="s">
        <v>4377</v>
      </c>
      <c r="H35" s="48" t="s">
        <v>4378</v>
      </c>
    </row>
    <row r="36" ht="24" customHeight="1" spans="1:8">
      <c r="A36" s="48" t="s">
        <v>97</v>
      </c>
      <c r="B36" s="48">
        <v>8</v>
      </c>
      <c r="C36" s="48" t="s">
        <v>4377</v>
      </c>
      <c r="D36" s="48" t="s">
        <v>4377</v>
      </c>
      <c r="E36" s="48" t="s">
        <v>4377</v>
      </c>
      <c r="F36" s="48" t="s">
        <v>4377</v>
      </c>
      <c r="G36" s="48" t="s">
        <v>4377</v>
      </c>
      <c r="H36" s="48" t="s">
        <v>4378</v>
      </c>
    </row>
    <row r="37" ht="24" customHeight="1" spans="1:8">
      <c r="A37" s="48" t="s">
        <v>99</v>
      </c>
      <c r="B37" s="48">
        <v>8</v>
      </c>
      <c r="C37" s="48" t="s">
        <v>4377</v>
      </c>
      <c r="D37" s="48" t="s">
        <v>4377</v>
      </c>
      <c r="E37" s="48" t="s">
        <v>4377</v>
      </c>
      <c r="F37" s="48" t="s">
        <v>4377</v>
      </c>
      <c r="G37" s="48" t="s">
        <v>4377</v>
      </c>
      <c r="H37" s="48" t="s">
        <v>4378</v>
      </c>
    </row>
    <row r="38" ht="24" customHeight="1" spans="1:8">
      <c r="A38" s="48" t="s">
        <v>101</v>
      </c>
      <c r="B38" s="48">
        <v>6</v>
      </c>
      <c r="C38" s="48" t="s">
        <v>4377</v>
      </c>
      <c r="D38" s="48" t="s">
        <v>4377</v>
      </c>
      <c r="E38" s="48" t="s">
        <v>4377</v>
      </c>
      <c r="F38" s="48" t="s">
        <v>4377</v>
      </c>
      <c r="G38" s="48" t="s">
        <v>4377</v>
      </c>
      <c r="H38" s="48" t="s">
        <v>4378</v>
      </c>
    </row>
    <row r="39" ht="24" customHeight="1" spans="1:8">
      <c r="A39" s="48" t="s">
        <v>103</v>
      </c>
      <c r="B39" s="48">
        <v>12</v>
      </c>
      <c r="C39" s="48" t="s">
        <v>4377</v>
      </c>
      <c r="D39" s="48" t="s">
        <v>4377</v>
      </c>
      <c r="E39" s="48" t="s">
        <v>4377</v>
      </c>
      <c r="F39" s="48" t="s">
        <v>4377</v>
      </c>
      <c r="G39" s="48" t="s">
        <v>4377</v>
      </c>
      <c r="H39" s="48" t="s">
        <v>4379</v>
      </c>
    </row>
    <row r="40" ht="24" customHeight="1" spans="1:8">
      <c r="A40" s="48" t="s">
        <v>105</v>
      </c>
      <c r="B40" s="48">
        <v>8</v>
      </c>
      <c r="C40" s="48" t="s">
        <v>4377</v>
      </c>
      <c r="D40" s="48" t="s">
        <v>4377</v>
      </c>
      <c r="E40" s="48" t="s">
        <v>4377</v>
      </c>
      <c r="F40" s="48" t="s">
        <v>4377</v>
      </c>
      <c r="G40" s="48" t="s">
        <v>4377</v>
      </c>
      <c r="H40" s="48" t="s">
        <v>4378</v>
      </c>
    </row>
    <row r="41" ht="24" customHeight="1" spans="1:8">
      <c r="A41" s="48" t="s">
        <v>107</v>
      </c>
      <c r="B41" s="48">
        <v>6</v>
      </c>
      <c r="C41" s="48" t="s">
        <v>4377</v>
      </c>
      <c r="D41" s="48" t="s">
        <v>4377</v>
      </c>
      <c r="E41" s="48" t="s">
        <v>4377</v>
      </c>
      <c r="F41" s="48" t="s">
        <v>4377</v>
      </c>
      <c r="G41" s="48" t="s">
        <v>4377</v>
      </c>
      <c r="H41" s="48" t="s">
        <v>4378</v>
      </c>
    </row>
    <row r="42" ht="24" customHeight="1" spans="1:8">
      <c r="A42" s="48" t="s">
        <v>109</v>
      </c>
      <c r="B42" s="48">
        <v>8</v>
      </c>
      <c r="C42" s="48" t="s">
        <v>4377</v>
      </c>
      <c r="D42" s="48" t="s">
        <v>4377</v>
      </c>
      <c r="E42" s="48" t="s">
        <v>4377</v>
      </c>
      <c r="F42" s="48" t="s">
        <v>4377</v>
      </c>
      <c r="G42" s="48" t="s">
        <v>4377</v>
      </c>
      <c r="H42" s="48" t="s">
        <v>4378</v>
      </c>
    </row>
    <row r="43" ht="24" customHeight="1" spans="1:8">
      <c r="A43" s="48" t="s">
        <v>111</v>
      </c>
      <c r="B43" s="48">
        <v>12</v>
      </c>
      <c r="C43" s="48" t="s">
        <v>4377</v>
      </c>
      <c r="D43" s="48" t="s">
        <v>4377</v>
      </c>
      <c r="E43" s="48" t="s">
        <v>4377</v>
      </c>
      <c r="F43" s="48" t="s">
        <v>4377</v>
      </c>
      <c r="G43" s="48" t="s">
        <v>4377</v>
      </c>
      <c r="H43" s="48" t="s">
        <v>4379</v>
      </c>
    </row>
    <row r="44" ht="24" customHeight="1" spans="1:8">
      <c r="A44" s="48" t="s">
        <v>113</v>
      </c>
      <c r="B44" s="48">
        <v>8</v>
      </c>
      <c r="C44" s="48" t="s">
        <v>4377</v>
      </c>
      <c r="D44" s="48" t="s">
        <v>4377</v>
      </c>
      <c r="E44" s="48" t="s">
        <v>4377</v>
      </c>
      <c r="F44" s="48" t="s">
        <v>4377</v>
      </c>
      <c r="G44" s="48" t="s">
        <v>4377</v>
      </c>
      <c r="H44" s="48" t="s">
        <v>4378</v>
      </c>
    </row>
    <row r="45" ht="24" customHeight="1" spans="1:8">
      <c r="A45" s="48" t="s">
        <v>115</v>
      </c>
      <c r="B45" s="48">
        <v>10</v>
      </c>
      <c r="C45" s="48" t="s">
        <v>4377</v>
      </c>
      <c r="D45" s="48" t="s">
        <v>4377</v>
      </c>
      <c r="E45" s="48" t="s">
        <v>4377</v>
      </c>
      <c r="F45" s="48" t="s">
        <v>4377</v>
      </c>
      <c r="G45" s="48" t="s">
        <v>4377</v>
      </c>
      <c r="H45" s="48" t="s">
        <v>4379</v>
      </c>
    </row>
    <row r="46" ht="24" customHeight="1" spans="1:8">
      <c r="A46" s="48" t="s">
        <v>117</v>
      </c>
      <c r="B46" s="48">
        <v>10</v>
      </c>
      <c r="C46" s="48" t="s">
        <v>4377</v>
      </c>
      <c r="D46" s="48" t="s">
        <v>4377</v>
      </c>
      <c r="E46" s="48" t="s">
        <v>4377</v>
      </c>
      <c r="F46" s="48" t="s">
        <v>4377</v>
      </c>
      <c r="G46" s="48" t="s">
        <v>4377</v>
      </c>
      <c r="H46" s="48" t="s">
        <v>4379</v>
      </c>
    </row>
    <row r="47" ht="24" customHeight="1" spans="1:8">
      <c r="A47" s="48" t="s">
        <v>119</v>
      </c>
      <c r="B47" s="48">
        <v>10</v>
      </c>
      <c r="C47" s="48" t="s">
        <v>4377</v>
      </c>
      <c r="D47" s="48" t="s">
        <v>4377</v>
      </c>
      <c r="E47" s="48" t="s">
        <v>4377</v>
      </c>
      <c r="F47" s="48" t="s">
        <v>4377</v>
      </c>
      <c r="G47" s="48" t="s">
        <v>4377</v>
      </c>
      <c r="H47" s="48" t="s">
        <v>4379</v>
      </c>
    </row>
    <row r="48" ht="24" customHeight="1" spans="1:8">
      <c r="A48" s="48" t="s">
        <v>121</v>
      </c>
      <c r="B48" s="48">
        <v>10</v>
      </c>
      <c r="C48" s="48" t="s">
        <v>4377</v>
      </c>
      <c r="D48" s="48" t="s">
        <v>4377</v>
      </c>
      <c r="E48" s="48" t="s">
        <v>4377</v>
      </c>
      <c r="F48" s="48" t="s">
        <v>4377</v>
      </c>
      <c r="G48" s="48" t="s">
        <v>4377</v>
      </c>
      <c r="H48" s="48" t="s">
        <v>4379</v>
      </c>
    </row>
    <row r="49" ht="24" customHeight="1" spans="1:8">
      <c r="A49" s="48" t="s">
        <v>123</v>
      </c>
      <c r="B49" s="48">
        <v>7</v>
      </c>
      <c r="C49" s="48" t="s">
        <v>4377</v>
      </c>
      <c r="D49" s="48" t="s">
        <v>4377</v>
      </c>
      <c r="E49" s="48" t="s">
        <v>4377</v>
      </c>
      <c r="F49" s="48" t="s">
        <v>4377</v>
      </c>
      <c r="G49" s="48" t="s">
        <v>4377</v>
      </c>
      <c r="H49" s="48" t="s">
        <v>4378</v>
      </c>
    </row>
    <row r="50" ht="24" customHeight="1" spans="1:8">
      <c r="A50" s="48" t="s">
        <v>125</v>
      </c>
      <c r="B50" s="48">
        <v>12</v>
      </c>
      <c r="C50" s="48" t="s">
        <v>4377</v>
      </c>
      <c r="D50" s="48" t="s">
        <v>4377</v>
      </c>
      <c r="E50" s="48" t="s">
        <v>4377</v>
      </c>
      <c r="F50" s="48" t="s">
        <v>4377</v>
      </c>
      <c r="G50" s="48" t="s">
        <v>4377</v>
      </c>
      <c r="H50" s="48" t="s">
        <v>4379</v>
      </c>
    </row>
    <row r="51" ht="24" customHeight="1" spans="1:8">
      <c r="A51" s="48" t="s">
        <v>127</v>
      </c>
      <c r="B51" s="48">
        <v>12</v>
      </c>
      <c r="C51" s="48" t="s">
        <v>4377</v>
      </c>
      <c r="D51" s="48" t="s">
        <v>4377</v>
      </c>
      <c r="E51" s="48" t="s">
        <v>4377</v>
      </c>
      <c r="F51" s="48" t="s">
        <v>4377</v>
      </c>
      <c r="G51" s="48" t="s">
        <v>4377</v>
      </c>
      <c r="H51" s="48" t="s">
        <v>4379</v>
      </c>
    </row>
    <row r="52" ht="24" customHeight="1" spans="1:8">
      <c r="A52" s="48" t="s">
        <v>129</v>
      </c>
      <c r="B52" s="48">
        <v>2</v>
      </c>
      <c r="C52" s="48" t="s">
        <v>4377</v>
      </c>
      <c r="D52" s="48" t="s">
        <v>4377</v>
      </c>
      <c r="E52" s="48" t="s">
        <v>4377</v>
      </c>
      <c r="F52" s="48" t="s">
        <v>4377</v>
      </c>
      <c r="G52" s="48" t="s">
        <v>4377</v>
      </c>
      <c r="H52" s="48" t="s">
        <v>4378</v>
      </c>
    </row>
    <row r="53" ht="24" customHeight="1" spans="1:8">
      <c r="A53" s="48" t="s">
        <v>131</v>
      </c>
      <c r="B53" s="48">
        <v>10</v>
      </c>
      <c r="C53" s="48" t="s">
        <v>4377</v>
      </c>
      <c r="D53" s="48" t="s">
        <v>4377</v>
      </c>
      <c r="E53" s="48" t="s">
        <v>4377</v>
      </c>
      <c r="F53" s="48" t="s">
        <v>4377</v>
      </c>
      <c r="G53" s="48" t="s">
        <v>4377</v>
      </c>
      <c r="H53" s="48" t="s">
        <v>4379</v>
      </c>
    </row>
    <row r="54" ht="24" customHeight="1" spans="1:8">
      <c r="A54" s="48" t="s">
        <v>133</v>
      </c>
      <c r="B54" s="48">
        <v>2</v>
      </c>
      <c r="C54" s="48" t="s">
        <v>4377</v>
      </c>
      <c r="D54" s="48" t="s">
        <v>4377</v>
      </c>
      <c r="E54" s="48" t="s">
        <v>4377</v>
      </c>
      <c r="F54" s="48" t="s">
        <v>4377</v>
      </c>
      <c r="G54" s="48" t="s">
        <v>4377</v>
      </c>
      <c r="H54" s="48" t="s">
        <v>4378</v>
      </c>
    </row>
    <row r="55" ht="24" customHeight="1" spans="1:8">
      <c r="A55" s="48" t="s">
        <v>135</v>
      </c>
      <c r="B55" s="48">
        <v>2</v>
      </c>
      <c r="C55" s="48" t="s">
        <v>4377</v>
      </c>
      <c r="D55" s="48" t="s">
        <v>4377</v>
      </c>
      <c r="E55" s="48" t="s">
        <v>4377</v>
      </c>
      <c r="F55" s="48" t="s">
        <v>4377</v>
      </c>
      <c r="G55" s="48" t="s">
        <v>4377</v>
      </c>
      <c r="H55" s="48" t="s">
        <v>4378</v>
      </c>
    </row>
    <row r="56" ht="24" customHeight="1" spans="1:8">
      <c r="A56" s="48" t="s">
        <v>137</v>
      </c>
      <c r="B56" s="48">
        <v>10</v>
      </c>
      <c r="C56" s="48" t="s">
        <v>4377</v>
      </c>
      <c r="D56" s="48" t="s">
        <v>4377</v>
      </c>
      <c r="E56" s="48" t="s">
        <v>4377</v>
      </c>
      <c r="F56" s="48" t="s">
        <v>4377</v>
      </c>
      <c r="G56" s="48" t="s">
        <v>4377</v>
      </c>
      <c r="H56" s="48" t="s">
        <v>4379</v>
      </c>
    </row>
    <row r="57" ht="24" customHeight="1" spans="1:8">
      <c r="A57" s="48" t="s">
        <v>139</v>
      </c>
      <c r="B57" s="48">
        <v>4</v>
      </c>
      <c r="C57" s="48" t="s">
        <v>4377</v>
      </c>
      <c r="D57" s="48" t="s">
        <v>4377</v>
      </c>
      <c r="E57" s="48" t="s">
        <v>4377</v>
      </c>
      <c r="F57" s="48" t="s">
        <v>4377</v>
      </c>
      <c r="G57" s="48" t="s">
        <v>4377</v>
      </c>
      <c r="H57" s="48" t="s">
        <v>4378</v>
      </c>
    </row>
    <row r="58" ht="24" customHeight="1" spans="1:8">
      <c r="A58" s="48" t="s">
        <v>141</v>
      </c>
      <c r="B58" s="48">
        <v>2</v>
      </c>
      <c r="C58" s="48" t="s">
        <v>4377</v>
      </c>
      <c r="D58" s="48" t="s">
        <v>4377</v>
      </c>
      <c r="E58" s="48" t="s">
        <v>4377</v>
      </c>
      <c r="F58" s="48" t="s">
        <v>4377</v>
      </c>
      <c r="G58" s="48" t="s">
        <v>4377</v>
      </c>
      <c r="H58" s="48" t="s">
        <v>4378</v>
      </c>
    </row>
    <row r="59" ht="24" customHeight="1" spans="1:8">
      <c r="A59" s="48" t="s">
        <v>143</v>
      </c>
      <c r="B59" s="48">
        <v>5</v>
      </c>
      <c r="C59" s="48" t="s">
        <v>4377</v>
      </c>
      <c r="D59" s="48" t="s">
        <v>4377</v>
      </c>
      <c r="E59" s="48" t="s">
        <v>4377</v>
      </c>
      <c r="F59" s="48" t="s">
        <v>4377</v>
      </c>
      <c r="G59" s="48" t="s">
        <v>4377</v>
      </c>
      <c r="H59" s="48" t="s">
        <v>4378</v>
      </c>
    </row>
    <row r="60" ht="24" customHeight="1" spans="1:8">
      <c r="A60" s="48" t="s">
        <v>145</v>
      </c>
      <c r="B60" s="48">
        <v>4</v>
      </c>
      <c r="C60" s="48" t="s">
        <v>4377</v>
      </c>
      <c r="D60" s="48" t="s">
        <v>4377</v>
      </c>
      <c r="E60" s="48" t="s">
        <v>4377</v>
      </c>
      <c r="F60" s="48" t="s">
        <v>4377</v>
      </c>
      <c r="G60" s="48" t="s">
        <v>4377</v>
      </c>
      <c r="H60" s="48" t="s">
        <v>4378</v>
      </c>
    </row>
    <row r="61" ht="24" customHeight="1" spans="1:8">
      <c r="A61" s="48" t="s">
        <v>147</v>
      </c>
      <c r="B61" s="48">
        <v>4</v>
      </c>
      <c r="C61" s="48" t="s">
        <v>4377</v>
      </c>
      <c r="D61" s="48" t="s">
        <v>4377</v>
      </c>
      <c r="E61" s="48" t="s">
        <v>4377</v>
      </c>
      <c r="F61" s="48" t="s">
        <v>4377</v>
      </c>
      <c r="G61" s="48" t="s">
        <v>4377</v>
      </c>
      <c r="H61" s="48" t="s">
        <v>4378</v>
      </c>
    </row>
    <row r="62" ht="24" customHeight="1" spans="1:8">
      <c r="A62" s="48" t="s">
        <v>149</v>
      </c>
      <c r="B62" s="48">
        <v>8</v>
      </c>
      <c r="C62" s="48" t="s">
        <v>4377</v>
      </c>
      <c r="D62" s="48" t="s">
        <v>4377</v>
      </c>
      <c r="E62" s="48" t="s">
        <v>4377</v>
      </c>
      <c r="F62" s="48" t="s">
        <v>4377</v>
      </c>
      <c r="G62" s="48" t="s">
        <v>4377</v>
      </c>
      <c r="H62" s="48" t="s">
        <v>4378</v>
      </c>
    </row>
    <row r="63" ht="24" customHeight="1" spans="1:8">
      <c r="A63" s="48" t="s">
        <v>151</v>
      </c>
      <c r="B63" s="48">
        <v>10</v>
      </c>
      <c r="C63" s="48" t="s">
        <v>4377</v>
      </c>
      <c r="D63" s="48" t="s">
        <v>4377</v>
      </c>
      <c r="E63" s="48" t="s">
        <v>4377</v>
      </c>
      <c r="F63" s="48" t="s">
        <v>4377</v>
      </c>
      <c r="G63" s="48" t="s">
        <v>4377</v>
      </c>
      <c r="H63" s="48" t="s">
        <v>4379</v>
      </c>
    </row>
    <row r="64" ht="24" customHeight="1" spans="1:8">
      <c r="A64" s="48" t="s">
        <v>153</v>
      </c>
      <c r="B64" s="48">
        <v>12</v>
      </c>
      <c r="C64" s="48" t="s">
        <v>4377</v>
      </c>
      <c r="D64" s="48" t="s">
        <v>4377</v>
      </c>
      <c r="E64" s="48" t="s">
        <v>4377</v>
      </c>
      <c r="F64" s="48" t="s">
        <v>4377</v>
      </c>
      <c r="G64" s="48" t="s">
        <v>4377</v>
      </c>
      <c r="H64" s="48" t="s">
        <v>4379</v>
      </c>
    </row>
    <row r="65" ht="24" customHeight="1" spans="1:8">
      <c r="A65" s="48" t="s">
        <v>155</v>
      </c>
      <c r="B65" s="48">
        <v>4</v>
      </c>
      <c r="C65" s="48" t="s">
        <v>4377</v>
      </c>
      <c r="D65" s="48" t="s">
        <v>4377</v>
      </c>
      <c r="E65" s="48" t="s">
        <v>4377</v>
      </c>
      <c r="F65" s="48" t="s">
        <v>4377</v>
      </c>
      <c r="G65" s="48" t="s">
        <v>4377</v>
      </c>
      <c r="H65" s="48" t="s">
        <v>4378</v>
      </c>
    </row>
    <row r="66" ht="24" customHeight="1" spans="1:8">
      <c r="A66" s="48" t="s">
        <v>157</v>
      </c>
      <c r="B66" s="48">
        <v>8</v>
      </c>
      <c r="C66" s="48" t="s">
        <v>4377</v>
      </c>
      <c r="D66" s="48" t="s">
        <v>4377</v>
      </c>
      <c r="E66" s="48" t="s">
        <v>4377</v>
      </c>
      <c r="F66" s="48" t="s">
        <v>4377</v>
      </c>
      <c r="G66" s="48" t="s">
        <v>4377</v>
      </c>
      <c r="H66" s="48" t="s">
        <v>4378</v>
      </c>
    </row>
    <row r="67" ht="24" customHeight="1" spans="1:8">
      <c r="A67" s="48" t="s">
        <v>159</v>
      </c>
      <c r="B67" s="48">
        <v>7</v>
      </c>
      <c r="C67" s="48" t="s">
        <v>4377</v>
      </c>
      <c r="D67" s="48" t="s">
        <v>4377</v>
      </c>
      <c r="E67" s="48" t="s">
        <v>4377</v>
      </c>
      <c r="F67" s="48" t="s">
        <v>4377</v>
      </c>
      <c r="G67" s="48" t="s">
        <v>4377</v>
      </c>
      <c r="H67" s="48" t="s">
        <v>4378</v>
      </c>
    </row>
    <row r="68" ht="24" customHeight="1" spans="1:8">
      <c r="A68" s="48" t="s">
        <v>161</v>
      </c>
      <c r="B68" s="48">
        <v>8</v>
      </c>
      <c r="C68" s="48" t="s">
        <v>4377</v>
      </c>
      <c r="D68" s="48" t="s">
        <v>4377</v>
      </c>
      <c r="E68" s="48" t="s">
        <v>4377</v>
      </c>
      <c r="F68" s="48" t="s">
        <v>4377</v>
      </c>
      <c r="G68" s="48" t="s">
        <v>4377</v>
      </c>
      <c r="H68" s="48" t="s">
        <v>4378</v>
      </c>
    </row>
    <row r="69" ht="24" customHeight="1" spans="1:8">
      <c r="A69" s="48" t="s">
        <v>163</v>
      </c>
      <c r="B69" s="48">
        <v>8</v>
      </c>
      <c r="C69" s="48" t="s">
        <v>4377</v>
      </c>
      <c r="D69" s="48" t="s">
        <v>4377</v>
      </c>
      <c r="E69" s="48" t="s">
        <v>4377</v>
      </c>
      <c r="F69" s="48" t="s">
        <v>4377</v>
      </c>
      <c r="G69" s="48" t="s">
        <v>4377</v>
      </c>
      <c r="H69" s="48" t="s">
        <v>4378</v>
      </c>
    </row>
    <row r="70" ht="24" customHeight="1" spans="1:8">
      <c r="A70" s="48" t="s">
        <v>165</v>
      </c>
      <c r="B70" s="48">
        <v>12</v>
      </c>
      <c r="C70" s="48" t="s">
        <v>4377</v>
      </c>
      <c r="D70" s="48" t="s">
        <v>4377</v>
      </c>
      <c r="E70" s="48" t="s">
        <v>4377</v>
      </c>
      <c r="F70" s="48" t="s">
        <v>4377</v>
      </c>
      <c r="G70" s="48" t="s">
        <v>4377</v>
      </c>
      <c r="H70" s="48" t="s">
        <v>4379</v>
      </c>
    </row>
    <row r="71" ht="24" customHeight="1" spans="1:8">
      <c r="A71" s="48" t="s">
        <v>167</v>
      </c>
      <c r="B71" s="48">
        <v>12</v>
      </c>
      <c r="C71" s="48" t="s">
        <v>4377</v>
      </c>
      <c r="D71" s="48" t="s">
        <v>4377</v>
      </c>
      <c r="E71" s="48" t="s">
        <v>4377</v>
      </c>
      <c r="F71" s="48" t="s">
        <v>4377</v>
      </c>
      <c r="G71" s="48" t="s">
        <v>4377</v>
      </c>
      <c r="H71" s="48" t="s">
        <v>4379</v>
      </c>
    </row>
    <row r="72" ht="24" customHeight="1" spans="1:8">
      <c r="A72" s="48" t="s">
        <v>169</v>
      </c>
      <c r="B72" s="48">
        <v>2</v>
      </c>
      <c r="C72" s="48" t="s">
        <v>4377</v>
      </c>
      <c r="D72" s="48" t="s">
        <v>4377</v>
      </c>
      <c r="E72" s="48" t="s">
        <v>4377</v>
      </c>
      <c r="F72" s="48" t="s">
        <v>4377</v>
      </c>
      <c r="G72" s="48" t="s">
        <v>4377</v>
      </c>
      <c r="H72" s="48" t="s">
        <v>4378</v>
      </c>
    </row>
    <row r="73" ht="24" customHeight="1" spans="1:8">
      <c r="A73" s="48" t="s">
        <v>171</v>
      </c>
      <c r="B73" s="48">
        <v>8</v>
      </c>
      <c r="C73" s="48" t="s">
        <v>4377</v>
      </c>
      <c r="D73" s="48" t="s">
        <v>4377</v>
      </c>
      <c r="E73" s="48" t="s">
        <v>4377</v>
      </c>
      <c r="F73" s="48" t="s">
        <v>4377</v>
      </c>
      <c r="G73" s="48" t="s">
        <v>4377</v>
      </c>
      <c r="H73" s="48" t="s">
        <v>4378</v>
      </c>
    </row>
    <row r="74" ht="24" customHeight="1" spans="1:8">
      <c r="A74" s="48" t="s">
        <v>173</v>
      </c>
      <c r="B74" s="48">
        <v>2</v>
      </c>
      <c r="C74" s="48" t="s">
        <v>4377</v>
      </c>
      <c r="D74" s="48" t="s">
        <v>4377</v>
      </c>
      <c r="E74" s="48" t="s">
        <v>4377</v>
      </c>
      <c r="F74" s="48" t="s">
        <v>4377</v>
      </c>
      <c r="G74" s="48" t="s">
        <v>4377</v>
      </c>
      <c r="H74" s="48" t="s">
        <v>4378</v>
      </c>
    </row>
    <row r="75" ht="24" customHeight="1" spans="1:8">
      <c r="A75" s="48" t="s">
        <v>175</v>
      </c>
      <c r="B75" s="48">
        <v>2</v>
      </c>
      <c r="C75" s="48" t="s">
        <v>4377</v>
      </c>
      <c r="D75" s="48" t="s">
        <v>4377</v>
      </c>
      <c r="E75" s="48" t="s">
        <v>4377</v>
      </c>
      <c r="F75" s="48" t="s">
        <v>4377</v>
      </c>
      <c r="G75" s="48" t="s">
        <v>4377</v>
      </c>
      <c r="H75" s="48" t="s">
        <v>4378</v>
      </c>
    </row>
    <row r="76" ht="24" customHeight="1" spans="1:8">
      <c r="A76" s="48" t="s">
        <v>177</v>
      </c>
      <c r="B76" s="48">
        <v>9</v>
      </c>
      <c r="C76" s="48" t="s">
        <v>4377</v>
      </c>
      <c r="D76" s="48" t="s">
        <v>4377</v>
      </c>
      <c r="E76" s="48" t="s">
        <v>4377</v>
      </c>
      <c r="F76" s="48" t="s">
        <v>4377</v>
      </c>
      <c r="G76" s="48" t="s">
        <v>4377</v>
      </c>
      <c r="H76" s="48" t="s">
        <v>4378</v>
      </c>
    </row>
    <row r="77" ht="24" customHeight="1" spans="1:8">
      <c r="A77" s="48" t="s">
        <v>179</v>
      </c>
      <c r="B77" s="48">
        <v>8</v>
      </c>
      <c r="C77" s="48" t="s">
        <v>4377</v>
      </c>
      <c r="D77" s="48" t="s">
        <v>4377</v>
      </c>
      <c r="E77" s="48" t="s">
        <v>4377</v>
      </c>
      <c r="F77" s="48" t="s">
        <v>4377</v>
      </c>
      <c r="G77" s="48" t="s">
        <v>4377</v>
      </c>
      <c r="H77" s="48" t="s">
        <v>4378</v>
      </c>
    </row>
    <row r="78" ht="24" customHeight="1" spans="1:8">
      <c r="A78" s="48" t="s">
        <v>181</v>
      </c>
      <c r="B78" s="48">
        <v>4</v>
      </c>
      <c r="C78" s="48" t="s">
        <v>4377</v>
      </c>
      <c r="D78" s="48" t="s">
        <v>4377</v>
      </c>
      <c r="E78" s="48" t="s">
        <v>4377</v>
      </c>
      <c r="F78" s="48" t="s">
        <v>4377</v>
      </c>
      <c r="G78" s="48" t="s">
        <v>4377</v>
      </c>
      <c r="H78" s="48" t="s">
        <v>4378</v>
      </c>
    </row>
    <row r="79" ht="24" customHeight="1" spans="1:8">
      <c r="A79" s="48" t="s">
        <v>183</v>
      </c>
      <c r="B79" s="48">
        <v>5</v>
      </c>
      <c r="C79" s="48" t="s">
        <v>4377</v>
      </c>
      <c r="D79" s="48" t="s">
        <v>4377</v>
      </c>
      <c r="E79" s="48" t="s">
        <v>4377</v>
      </c>
      <c r="F79" s="48" t="s">
        <v>4377</v>
      </c>
      <c r="G79" s="48" t="s">
        <v>4377</v>
      </c>
      <c r="H79" s="48" t="s">
        <v>4378</v>
      </c>
    </row>
    <row r="80" ht="24" customHeight="1" spans="1:8">
      <c r="A80" s="48" t="s">
        <v>185</v>
      </c>
      <c r="B80" s="48">
        <v>8</v>
      </c>
      <c r="C80" s="48" t="s">
        <v>4377</v>
      </c>
      <c r="D80" s="48" t="s">
        <v>4377</v>
      </c>
      <c r="E80" s="48" t="s">
        <v>4377</v>
      </c>
      <c r="F80" s="48" t="s">
        <v>4377</v>
      </c>
      <c r="G80" s="48" t="s">
        <v>4377</v>
      </c>
      <c r="H80" s="48" t="s">
        <v>4378</v>
      </c>
    </row>
    <row r="81" ht="24" customHeight="1" spans="1:8">
      <c r="A81" s="48" t="s">
        <v>187</v>
      </c>
      <c r="B81" s="48">
        <v>4</v>
      </c>
      <c r="C81" s="48" t="s">
        <v>4377</v>
      </c>
      <c r="D81" s="48" t="s">
        <v>4377</v>
      </c>
      <c r="E81" s="48" t="s">
        <v>4377</v>
      </c>
      <c r="F81" s="48" t="s">
        <v>4377</v>
      </c>
      <c r="G81" s="48" t="s">
        <v>4377</v>
      </c>
      <c r="H81" s="48" t="s">
        <v>4378</v>
      </c>
    </row>
    <row r="82" ht="24" customHeight="1" spans="1:8">
      <c r="A82" s="48" t="s">
        <v>189</v>
      </c>
      <c r="B82" s="48">
        <v>6</v>
      </c>
      <c r="C82" s="48" t="s">
        <v>4377</v>
      </c>
      <c r="D82" s="48" t="s">
        <v>4377</v>
      </c>
      <c r="E82" s="48" t="s">
        <v>4377</v>
      </c>
      <c r="F82" s="48" t="s">
        <v>4377</v>
      </c>
      <c r="G82" s="48" t="s">
        <v>4377</v>
      </c>
      <c r="H82" s="48" t="s">
        <v>4378</v>
      </c>
    </row>
    <row r="83" ht="24" customHeight="1" spans="1:8">
      <c r="A83" s="48" t="s">
        <v>191</v>
      </c>
      <c r="B83" s="48">
        <v>2</v>
      </c>
      <c r="C83" s="48" t="s">
        <v>4377</v>
      </c>
      <c r="D83" s="48" t="s">
        <v>4377</v>
      </c>
      <c r="E83" s="48" t="s">
        <v>4377</v>
      </c>
      <c r="F83" s="48" t="s">
        <v>4377</v>
      </c>
      <c r="G83" s="48" t="s">
        <v>4377</v>
      </c>
      <c r="H83" s="48" t="s">
        <v>4378</v>
      </c>
    </row>
    <row r="84" ht="24" customHeight="1" spans="1:8">
      <c r="A84" s="48" t="s">
        <v>193</v>
      </c>
      <c r="B84" s="48">
        <v>9</v>
      </c>
      <c r="C84" s="48" t="s">
        <v>4377</v>
      </c>
      <c r="D84" s="48" t="s">
        <v>4377</v>
      </c>
      <c r="E84" s="48" t="s">
        <v>4377</v>
      </c>
      <c r="F84" s="48" t="s">
        <v>4377</v>
      </c>
      <c r="G84" s="48" t="s">
        <v>4377</v>
      </c>
      <c r="H84" s="48" t="s">
        <v>4378</v>
      </c>
    </row>
    <row r="85" ht="24" customHeight="1" spans="1:8">
      <c r="A85" s="48" t="s">
        <v>195</v>
      </c>
      <c r="B85" s="48">
        <v>10</v>
      </c>
      <c r="C85" s="48" t="s">
        <v>4377</v>
      </c>
      <c r="D85" s="48" t="s">
        <v>4377</v>
      </c>
      <c r="E85" s="48" t="s">
        <v>4377</v>
      </c>
      <c r="F85" s="48" t="s">
        <v>4377</v>
      </c>
      <c r="G85" s="48" t="s">
        <v>4377</v>
      </c>
      <c r="H85" s="48" t="s">
        <v>4379</v>
      </c>
    </row>
    <row r="86" ht="24" customHeight="1" spans="1:8">
      <c r="A86" s="48" t="s">
        <v>197</v>
      </c>
      <c r="B86" s="48">
        <v>8</v>
      </c>
      <c r="C86" s="48" t="s">
        <v>4377</v>
      </c>
      <c r="D86" s="48" t="s">
        <v>4377</v>
      </c>
      <c r="E86" s="48" t="s">
        <v>4377</v>
      </c>
      <c r="F86" s="48" t="s">
        <v>4377</v>
      </c>
      <c r="G86" s="48" t="s">
        <v>4377</v>
      </c>
      <c r="H86" s="48" t="s">
        <v>4378</v>
      </c>
    </row>
    <row r="87" ht="24" customHeight="1" spans="1:8">
      <c r="A87" s="48" t="s">
        <v>199</v>
      </c>
      <c r="B87" s="48">
        <v>12</v>
      </c>
      <c r="C87" s="48" t="s">
        <v>4377</v>
      </c>
      <c r="D87" s="48" t="s">
        <v>4377</v>
      </c>
      <c r="E87" s="48" t="s">
        <v>4377</v>
      </c>
      <c r="F87" s="48" t="s">
        <v>4377</v>
      </c>
      <c r="G87" s="48" t="s">
        <v>4377</v>
      </c>
      <c r="H87" s="48" t="s">
        <v>4379</v>
      </c>
    </row>
    <row r="88" ht="24" customHeight="1" spans="1:8">
      <c r="A88" s="48" t="s">
        <v>201</v>
      </c>
      <c r="B88" s="48">
        <v>2</v>
      </c>
      <c r="C88" s="48" t="s">
        <v>4377</v>
      </c>
      <c r="D88" s="48" t="s">
        <v>4377</v>
      </c>
      <c r="E88" s="48" t="s">
        <v>4377</v>
      </c>
      <c r="F88" s="48" t="s">
        <v>4377</v>
      </c>
      <c r="G88" s="48" t="s">
        <v>4377</v>
      </c>
      <c r="H88" s="48" t="s">
        <v>4378</v>
      </c>
    </row>
    <row r="89" ht="24" customHeight="1" spans="1:8">
      <c r="A89" s="48" t="s">
        <v>203</v>
      </c>
      <c r="B89" s="48">
        <v>8</v>
      </c>
      <c r="C89" s="48" t="s">
        <v>4377</v>
      </c>
      <c r="D89" s="48" t="s">
        <v>4377</v>
      </c>
      <c r="E89" s="48" t="s">
        <v>4377</v>
      </c>
      <c r="F89" s="48" t="s">
        <v>4377</v>
      </c>
      <c r="G89" s="48" t="s">
        <v>4377</v>
      </c>
      <c r="H89" s="48" t="s">
        <v>4378</v>
      </c>
    </row>
    <row r="90" ht="24" customHeight="1" spans="1:8">
      <c r="A90" s="48" t="s">
        <v>205</v>
      </c>
      <c r="B90" s="48">
        <v>6</v>
      </c>
      <c r="C90" s="48" t="s">
        <v>4377</v>
      </c>
      <c r="D90" s="48" t="s">
        <v>4377</v>
      </c>
      <c r="E90" s="48" t="s">
        <v>4377</v>
      </c>
      <c r="F90" s="48" t="s">
        <v>4377</v>
      </c>
      <c r="G90" s="48" t="s">
        <v>4377</v>
      </c>
      <c r="H90" s="48" t="s">
        <v>4378</v>
      </c>
    </row>
    <row r="91" ht="24" customHeight="1" spans="1:8">
      <c r="A91" s="48" t="s">
        <v>207</v>
      </c>
      <c r="B91" s="48">
        <v>8</v>
      </c>
      <c r="C91" s="48" t="s">
        <v>4377</v>
      </c>
      <c r="D91" s="48" t="s">
        <v>4377</v>
      </c>
      <c r="E91" s="48" t="s">
        <v>4377</v>
      </c>
      <c r="F91" s="48" t="s">
        <v>4377</v>
      </c>
      <c r="G91" s="48" t="s">
        <v>4377</v>
      </c>
      <c r="H91" s="48" t="s">
        <v>4378</v>
      </c>
    </row>
    <row r="92" ht="24" customHeight="1" spans="1:8">
      <c r="A92" s="48" t="s">
        <v>209</v>
      </c>
      <c r="B92" s="48">
        <v>10</v>
      </c>
      <c r="C92" s="48" t="s">
        <v>4377</v>
      </c>
      <c r="D92" s="48" t="s">
        <v>4377</v>
      </c>
      <c r="E92" s="48" t="s">
        <v>4377</v>
      </c>
      <c r="F92" s="48" t="s">
        <v>4377</v>
      </c>
      <c r="G92" s="48" t="s">
        <v>4377</v>
      </c>
      <c r="H92" s="48" t="s">
        <v>4379</v>
      </c>
    </row>
    <row r="93" ht="24" customHeight="1" spans="1:8">
      <c r="A93" s="48" t="s">
        <v>211</v>
      </c>
      <c r="B93" s="48">
        <v>10</v>
      </c>
      <c r="C93" s="48" t="s">
        <v>4377</v>
      </c>
      <c r="D93" s="48" t="s">
        <v>4377</v>
      </c>
      <c r="E93" s="48" t="s">
        <v>4377</v>
      </c>
      <c r="F93" s="48" t="s">
        <v>4377</v>
      </c>
      <c r="G93" s="48" t="s">
        <v>4377</v>
      </c>
      <c r="H93" s="48" t="s">
        <v>4379</v>
      </c>
    </row>
    <row r="94" ht="24" customHeight="1" spans="1:8">
      <c r="A94" s="48" t="s">
        <v>213</v>
      </c>
      <c r="B94" s="48">
        <v>7</v>
      </c>
      <c r="C94" s="48" t="s">
        <v>4377</v>
      </c>
      <c r="D94" s="48" t="s">
        <v>4377</v>
      </c>
      <c r="E94" s="48" t="s">
        <v>4377</v>
      </c>
      <c r="F94" s="48" t="s">
        <v>4377</v>
      </c>
      <c r="G94" s="48" t="s">
        <v>4377</v>
      </c>
      <c r="H94" s="48" t="s">
        <v>4378</v>
      </c>
    </row>
    <row r="95" ht="24" customHeight="1" spans="1:8">
      <c r="A95" s="48" t="s">
        <v>215</v>
      </c>
      <c r="B95" s="48">
        <v>12</v>
      </c>
      <c r="C95" s="48" t="s">
        <v>4377</v>
      </c>
      <c r="D95" s="48" t="s">
        <v>4377</v>
      </c>
      <c r="E95" s="48" t="s">
        <v>4377</v>
      </c>
      <c r="F95" s="48" t="s">
        <v>4377</v>
      </c>
      <c r="G95" s="48" t="s">
        <v>4377</v>
      </c>
      <c r="H95" s="48" t="s">
        <v>4379</v>
      </c>
    </row>
    <row r="96" ht="24" customHeight="1" spans="1:8">
      <c r="A96" s="48" t="s">
        <v>217</v>
      </c>
      <c r="B96" s="48">
        <v>8</v>
      </c>
      <c r="C96" s="48" t="s">
        <v>4377</v>
      </c>
      <c r="D96" s="48" t="s">
        <v>4377</v>
      </c>
      <c r="E96" s="48" t="s">
        <v>4377</v>
      </c>
      <c r="F96" s="48" t="s">
        <v>4377</v>
      </c>
      <c r="G96" s="48" t="s">
        <v>4377</v>
      </c>
      <c r="H96" s="48" t="s">
        <v>4378</v>
      </c>
    </row>
    <row r="97" ht="24" customHeight="1" spans="1:8">
      <c r="A97" s="48" t="s">
        <v>219</v>
      </c>
      <c r="B97" s="48">
        <v>7</v>
      </c>
      <c r="C97" s="48" t="s">
        <v>4377</v>
      </c>
      <c r="D97" s="48" t="s">
        <v>4377</v>
      </c>
      <c r="E97" s="48" t="s">
        <v>4377</v>
      </c>
      <c r="F97" s="48" t="s">
        <v>4377</v>
      </c>
      <c r="G97" s="48" t="s">
        <v>4377</v>
      </c>
      <c r="H97" s="48" t="s">
        <v>4378</v>
      </c>
    </row>
    <row r="98" ht="24" customHeight="1" spans="1:8">
      <c r="A98" s="48" t="s">
        <v>221</v>
      </c>
      <c r="B98" s="48">
        <v>5</v>
      </c>
      <c r="C98" s="48" t="s">
        <v>4377</v>
      </c>
      <c r="D98" s="48" t="s">
        <v>4377</v>
      </c>
      <c r="E98" s="48" t="s">
        <v>4377</v>
      </c>
      <c r="F98" s="48" t="s">
        <v>4377</v>
      </c>
      <c r="G98" s="48" t="s">
        <v>4377</v>
      </c>
      <c r="H98" s="48" t="s">
        <v>4378</v>
      </c>
    </row>
    <row r="99" ht="24" customHeight="1" spans="1:8">
      <c r="A99" s="48" t="s">
        <v>223</v>
      </c>
      <c r="B99" s="48">
        <v>10</v>
      </c>
      <c r="C99" s="48" t="s">
        <v>4377</v>
      </c>
      <c r="D99" s="48" t="s">
        <v>4377</v>
      </c>
      <c r="E99" s="48" t="s">
        <v>4377</v>
      </c>
      <c r="F99" s="48" t="s">
        <v>4377</v>
      </c>
      <c r="G99" s="48" t="s">
        <v>4377</v>
      </c>
      <c r="H99" s="48" t="s">
        <v>4379</v>
      </c>
    </row>
    <row r="100" ht="24" customHeight="1" spans="1:8">
      <c r="A100" s="48" t="s">
        <v>225</v>
      </c>
      <c r="B100" s="48">
        <v>10</v>
      </c>
      <c r="C100" s="48" t="s">
        <v>4377</v>
      </c>
      <c r="D100" s="48" t="s">
        <v>4377</v>
      </c>
      <c r="E100" s="48" t="s">
        <v>4377</v>
      </c>
      <c r="F100" s="48" t="s">
        <v>4377</v>
      </c>
      <c r="G100" s="48" t="s">
        <v>4377</v>
      </c>
      <c r="H100" s="48" t="s">
        <v>4379</v>
      </c>
    </row>
    <row r="101" ht="24" customHeight="1" spans="1:8">
      <c r="A101" s="48" t="s">
        <v>227</v>
      </c>
      <c r="B101" s="48">
        <v>5</v>
      </c>
      <c r="C101" s="48" t="s">
        <v>4377</v>
      </c>
      <c r="D101" s="48" t="s">
        <v>4377</v>
      </c>
      <c r="E101" s="48" t="s">
        <v>4377</v>
      </c>
      <c r="F101" s="48" t="s">
        <v>4377</v>
      </c>
      <c r="G101" s="48" t="s">
        <v>4377</v>
      </c>
      <c r="H101" s="48" t="s">
        <v>4378</v>
      </c>
    </row>
    <row r="102" ht="24" customHeight="1" spans="1:8">
      <c r="A102" s="48" t="s">
        <v>229</v>
      </c>
      <c r="B102" s="48">
        <v>12</v>
      </c>
      <c r="C102" s="48" t="s">
        <v>4377</v>
      </c>
      <c r="D102" s="48" t="s">
        <v>4377</v>
      </c>
      <c r="E102" s="48" t="s">
        <v>4377</v>
      </c>
      <c r="F102" s="48" t="s">
        <v>4377</v>
      </c>
      <c r="G102" s="48" t="s">
        <v>4377</v>
      </c>
      <c r="H102" s="48" t="s">
        <v>4379</v>
      </c>
    </row>
    <row r="103" ht="24" customHeight="1" spans="1:8">
      <c r="A103" s="48" t="s">
        <v>231</v>
      </c>
      <c r="B103" s="48">
        <v>6</v>
      </c>
      <c r="C103" s="48" t="s">
        <v>4377</v>
      </c>
      <c r="D103" s="48" t="s">
        <v>4377</v>
      </c>
      <c r="E103" s="48" t="s">
        <v>4377</v>
      </c>
      <c r="F103" s="48" t="s">
        <v>4377</v>
      </c>
      <c r="G103" s="48" t="s">
        <v>4377</v>
      </c>
      <c r="H103" s="48" t="s">
        <v>4378</v>
      </c>
    </row>
    <row r="104" ht="24" customHeight="1" spans="1:8">
      <c r="A104" s="48" t="s">
        <v>233</v>
      </c>
      <c r="B104" s="48">
        <v>8</v>
      </c>
      <c r="C104" s="48" t="s">
        <v>4377</v>
      </c>
      <c r="D104" s="48" t="s">
        <v>4377</v>
      </c>
      <c r="E104" s="48" t="s">
        <v>4377</v>
      </c>
      <c r="F104" s="48" t="s">
        <v>4377</v>
      </c>
      <c r="G104" s="48" t="s">
        <v>4377</v>
      </c>
      <c r="H104" s="48" t="s">
        <v>4378</v>
      </c>
    </row>
    <row r="105" ht="24" customHeight="1" spans="1:8">
      <c r="A105" s="48" t="s">
        <v>235</v>
      </c>
      <c r="B105" s="48">
        <v>8</v>
      </c>
      <c r="C105" s="48" t="s">
        <v>4377</v>
      </c>
      <c r="D105" s="48" t="s">
        <v>4377</v>
      </c>
      <c r="E105" s="48" t="s">
        <v>4377</v>
      </c>
      <c r="F105" s="48" t="s">
        <v>4377</v>
      </c>
      <c r="G105" s="48" t="s">
        <v>4377</v>
      </c>
      <c r="H105" s="48" t="s">
        <v>4378</v>
      </c>
    </row>
    <row r="106" ht="24" customHeight="1" spans="1:8">
      <c r="A106" s="48" t="s">
        <v>237</v>
      </c>
      <c r="B106" s="48">
        <v>6</v>
      </c>
      <c r="C106" s="48" t="s">
        <v>4377</v>
      </c>
      <c r="D106" s="48" t="s">
        <v>4377</v>
      </c>
      <c r="E106" s="48" t="s">
        <v>4377</v>
      </c>
      <c r="F106" s="48" t="s">
        <v>4377</v>
      </c>
      <c r="G106" s="48" t="s">
        <v>4377</v>
      </c>
      <c r="H106" s="48" t="s">
        <v>4378</v>
      </c>
    </row>
    <row r="107" ht="24" customHeight="1" spans="1:8">
      <c r="A107" s="48" t="s">
        <v>239</v>
      </c>
      <c r="B107" s="48">
        <v>8</v>
      </c>
      <c r="C107" s="48" t="s">
        <v>4377</v>
      </c>
      <c r="D107" s="48" t="s">
        <v>4377</v>
      </c>
      <c r="E107" s="48" t="s">
        <v>4377</v>
      </c>
      <c r="F107" s="48" t="s">
        <v>4377</v>
      </c>
      <c r="G107" s="48" t="s">
        <v>4377</v>
      </c>
      <c r="H107" s="48" t="s">
        <v>4378</v>
      </c>
    </row>
    <row r="108" ht="24" customHeight="1" spans="1:8">
      <c r="A108" s="48" t="s">
        <v>241</v>
      </c>
      <c r="B108" s="48">
        <v>12</v>
      </c>
      <c r="C108" s="48" t="s">
        <v>4377</v>
      </c>
      <c r="D108" s="48" t="s">
        <v>4377</v>
      </c>
      <c r="E108" s="48" t="s">
        <v>4377</v>
      </c>
      <c r="F108" s="48" t="s">
        <v>4377</v>
      </c>
      <c r="G108" s="48" t="s">
        <v>4377</v>
      </c>
      <c r="H108" s="48" t="s">
        <v>4379</v>
      </c>
    </row>
    <row r="109" ht="24" customHeight="1" spans="1:8">
      <c r="A109" s="48" t="s">
        <v>243</v>
      </c>
      <c r="B109" s="48">
        <v>12</v>
      </c>
      <c r="C109" s="48" t="s">
        <v>4377</v>
      </c>
      <c r="D109" s="48" t="s">
        <v>4377</v>
      </c>
      <c r="E109" s="48" t="s">
        <v>4377</v>
      </c>
      <c r="F109" s="48" t="s">
        <v>4377</v>
      </c>
      <c r="G109" s="48" t="s">
        <v>4377</v>
      </c>
      <c r="H109" s="48" t="s">
        <v>4379</v>
      </c>
    </row>
    <row r="110" ht="24" customHeight="1" spans="1:8">
      <c r="A110" s="48" t="s">
        <v>245</v>
      </c>
      <c r="B110" s="48">
        <v>8</v>
      </c>
      <c r="C110" s="48" t="s">
        <v>4377</v>
      </c>
      <c r="D110" s="48" t="s">
        <v>4377</v>
      </c>
      <c r="E110" s="48" t="s">
        <v>4377</v>
      </c>
      <c r="F110" s="48" t="s">
        <v>4377</v>
      </c>
      <c r="G110" s="48" t="s">
        <v>4377</v>
      </c>
      <c r="H110" s="48" t="s">
        <v>4378</v>
      </c>
    </row>
    <row r="111" ht="24" customHeight="1" spans="1:8">
      <c r="A111" s="48" t="s">
        <v>247</v>
      </c>
      <c r="B111" s="48">
        <v>8</v>
      </c>
      <c r="C111" s="48" t="s">
        <v>4377</v>
      </c>
      <c r="D111" s="48" t="s">
        <v>4377</v>
      </c>
      <c r="E111" s="48" t="s">
        <v>4377</v>
      </c>
      <c r="F111" s="48" t="s">
        <v>4377</v>
      </c>
      <c r="G111" s="48" t="s">
        <v>4377</v>
      </c>
      <c r="H111" s="48" t="s">
        <v>4378</v>
      </c>
    </row>
    <row r="112" ht="24" customHeight="1" spans="1:8">
      <c r="A112" s="48" t="s">
        <v>249</v>
      </c>
      <c r="B112" s="48">
        <v>6</v>
      </c>
      <c r="C112" s="48" t="s">
        <v>4377</v>
      </c>
      <c r="D112" s="48" t="s">
        <v>4377</v>
      </c>
      <c r="E112" s="48" t="s">
        <v>4377</v>
      </c>
      <c r="F112" s="48" t="s">
        <v>4377</v>
      </c>
      <c r="G112" s="48" t="s">
        <v>4377</v>
      </c>
      <c r="H112" s="48" t="s">
        <v>4378</v>
      </c>
    </row>
    <row r="113" ht="24" customHeight="1" spans="1:8">
      <c r="A113" s="48" t="s">
        <v>251</v>
      </c>
      <c r="B113" s="48">
        <v>6</v>
      </c>
      <c r="C113" s="48" t="s">
        <v>4377</v>
      </c>
      <c r="D113" s="48" t="s">
        <v>4377</v>
      </c>
      <c r="E113" s="48" t="s">
        <v>4377</v>
      </c>
      <c r="F113" s="48" t="s">
        <v>4377</v>
      </c>
      <c r="G113" s="48" t="s">
        <v>4377</v>
      </c>
      <c r="H113" s="48" t="s">
        <v>4378</v>
      </c>
    </row>
    <row r="114" ht="24" customHeight="1" spans="1:8">
      <c r="A114" s="48" t="s">
        <v>253</v>
      </c>
      <c r="B114" s="48">
        <v>6</v>
      </c>
      <c r="C114" s="48" t="s">
        <v>4377</v>
      </c>
      <c r="D114" s="48" t="s">
        <v>4377</v>
      </c>
      <c r="E114" s="48" t="s">
        <v>4377</v>
      </c>
      <c r="F114" s="48" t="s">
        <v>4377</v>
      </c>
      <c r="G114" s="48" t="s">
        <v>4377</v>
      </c>
      <c r="H114" s="48" t="s">
        <v>4378</v>
      </c>
    </row>
    <row r="115" ht="24" customHeight="1" spans="1:8">
      <c r="A115" s="48" t="s">
        <v>255</v>
      </c>
      <c r="B115" s="48">
        <v>9</v>
      </c>
      <c r="C115" s="48" t="s">
        <v>4377</v>
      </c>
      <c r="D115" s="48" t="s">
        <v>4377</v>
      </c>
      <c r="E115" s="48" t="s">
        <v>4377</v>
      </c>
      <c r="F115" s="48" t="s">
        <v>4377</v>
      </c>
      <c r="G115" s="48" t="s">
        <v>4377</v>
      </c>
      <c r="H115" s="48" t="s">
        <v>4378</v>
      </c>
    </row>
    <row r="116" ht="24" customHeight="1" spans="1:8">
      <c r="A116" s="48" t="s">
        <v>257</v>
      </c>
      <c r="B116" s="48">
        <v>6</v>
      </c>
      <c r="C116" s="48" t="s">
        <v>4377</v>
      </c>
      <c r="D116" s="48" t="s">
        <v>4377</v>
      </c>
      <c r="E116" s="48" t="s">
        <v>4377</v>
      </c>
      <c r="F116" s="48" t="s">
        <v>4377</v>
      </c>
      <c r="G116" s="48" t="s">
        <v>4377</v>
      </c>
      <c r="H116" s="48" t="s">
        <v>4378</v>
      </c>
    </row>
    <row r="117" ht="24" customHeight="1" spans="1:8">
      <c r="A117" s="48" t="s">
        <v>259</v>
      </c>
      <c r="B117" s="48">
        <v>8</v>
      </c>
      <c r="C117" s="48" t="s">
        <v>4377</v>
      </c>
      <c r="D117" s="48" t="s">
        <v>4377</v>
      </c>
      <c r="E117" s="48" t="s">
        <v>4377</v>
      </c>
      <c r="F117" s="48" t="s">
        <v>4377</v>
      </c>
      <c r="G117" s="48" t="s">
        <v>4377</v>
      </c>
      <c r="H117" s="48" t="s">
        <v>4378</v>
      </c>
    </row>
    <row r="118" ht="24" customHeight="1" spans="1:8">
      <c r="A118" s="48" t="s">
        <v>261</v>
      </c>
      <c r="B118" s="48">
        <v>6</v>
      </c>
      <c r="C118" s="48" t="s">
        <v>4377</v>
      </c>
      <c r="D118" s="48" t="s">
        <v>4377</v>
      </c>
      <c r="E118" s="48" t="s">
        <v>4377</v>
      </c>
      <c r="F118" s="48" t="s">
        <v>4377</v>
      </c>
      <c r="G118" s="48" t="s">
        <v>4377</v>
      </c>
      <c r="H118" s="48" t="s">
        <v>4378</v>
      </c>
    </row>
    <row r="119" ht="24" customHeight="1" spans="1:8">
      <c r="A119" s="48" t="s">
        <v>263</v>
      </c>
      <c r="B119" s="48">
        <v>12</v>
      </c>
      <c r="C119" s="48" t="s">
        <v>4377</v>
      </c>
      <c r="D119" s="48" t="s">
        <v>4377</v>
      </c>
      <c r="E119" s="48" t="s">
        <v>4377</v>
      </c>
      <c r="F119" s="48" t="s">
        <v>4377</v>
      </c>
      <c r="G119" s="48" t="s">
        <v>4377</v>
      </c>
      <c r="H119" s="48" t="s">
        <v>4379</v>
      </c>
    </row>
    <row r="120" ht="24" customHeight="1" spans="1:8">
      <c r="A120" s="48" t="s">
        <v>265</v>
      </c>
      <c r="B120" s="48">
        <v>8</v>
      </c>
      <c r="C120" s="48" t="s">
        <v>4377</v>
      </c>
      <c r="D120" s="48" t="s">
        <v>4377</v>
      </c>
      <c r="E120" s="48" t="s">
        <v>4377</v>
      </c>
      <c r="F120" s="48" t="s">
        <v>4377</v>
      </c>
      <c r="G120" s="48" t="s">
        <v>4377</v>
      </c>
      <c r="H120" s="48" t="s">
        <v>4378</v>
      </c>
    </row>
    <row r="121" ht="24" customHeight="1" spans="1:8">
      <c r="A121" s="48" t="s">
        <v>267</v>
      </c>
      <c r="B121" s="48">
        <v>10</v>
      </c>
      <c r="C121" s="48" t="s">
        <v>4377</v>
      </c>
      <c r="D121" s="48" t="s">
        <v>4377</v>
      </c>
      <c r="E121" s="48" t="s">
        <v>4377</v>
      </c>
      <c r="F121" s="48" t="s">
        <v>4377</v>
      </c>
      <c r="G121" s="48" t="s">
        <v>4377</v>
      </c>
      <c r="H121" s="48" t="s">
        <v>4379</v>
      </c>
    </row>
    <row r="122" ht="24" customHeight="1" spans="1:8">
      <c r="A122" s="48" t="s">
        <v>269</v>
      </c>
      <c r="B122" s="48">
        <v>10</v>
      </c>
      <c r="C122" s="48" t="s">
        <v>4377</v>
      </c>
      <c r="D122" s="48" t="s">
        <v>4377</v>
      </c>
      <c r="E122" s="48" t="s">
        <v>4377</v>
      </c>
      <c r="F122" s="48" t="s">
        <v>4377</v>
      </c>
      <c r="G122" s="48" t="s">
        <v>4377</v>
      </c>
      <c r="H122" s="48" t="s">
        <v>4379</v>
      </c>
    </row>
    <row r="123" ht="24" customHeight="1" spans="1:8">
      <c r="A123" s="48" t="s">
        <v>271</v>
      </c>
      <c r="B123" s="48">
        <v>10</v>
      </c>
      <c r="C123" s="48" t="s">
        <v>4377</v>
      </c>
      <c r="D123" s="48" t="s">
        <v>4377</v>
      </c>
      <c r="E123" s="48" t="s">
        <v>4377</v>
      </c>
      <c r="F123" s="48" t="s">
        <v>4377</v>
      </c>
      <c r="G123" s="48" t="s">
        <v>4377</v>
      </c>
      <c r="H123" s="48" t="s">
        <v>4379</v>
      </c>
    </row>
    <row r="124" ht="24" customHeight="1" spans="1:8">
      <c r="A124" s="48" t="s">
        <v>273</v>
      </c>
      <c r="B124" s="48">
        <v>3</v>
      </c>
      <c r="C124" s="48" t="s">
        <v>4377</v>
      </c>
      <c r="D124" s="48" t="s">
        <v>4377</v>
      </c>
      <c r="E124" s="48" t="s">
        <v>4377</v>
      </c>
      <c r="F124" s="48" t="s">
        <v>4377</v>
      </c>
      <c r="G124" s="48" t="s">
        <v>4377</v>
      </c>
      <c r="H124" s="48" t="s">
        <v>4378</v>
      </c>
    </row>
    <row r="125" ht="24" customHeight="1" spans="1:8">
      <c r="A125" s="48" t="s">
        <v>275</v>
      </c>
      <c r="B125" s="48">
        <v>10</v>
      </c>
      <c r="C125" s="48" t="s">
        <v>4377</v>
      </c>
      <c r="D125" s="48" t="s">
        <v>4377</v>
      </c>
      <c r="E125" s="48" t="s">
        <v>4377</v>
      </c>
      <c r="F125" s="48" t="s">
        <v>4377</v>
      </c>
      <c r="G125" s="48" t="s">
        <v>4377</v>
      </c>
      <c r="H125" s="48" t="s">
        <v>4379</v>
      </c>
    </row>
    <row r="126" ht="24" customHeight="1" spans="1:8">
      <c r="A126" s="48" t="s">
        <v>277</v>
      </c>
      <c r="B126" s="48">
        <v>3</v>
      </c>
      <c r="C126" s="48" t="s">
        <v>4377</v>
      </c>
      <c r="D126" s="48" t="s">
        <v>4377</v>
      </c>
      <c r="E126" s="48" t="s">
        <v>4377</v>
      </c>
      <c r="F126" s="48" t="s">
        <v>4377</v>
      </c>
      <c r="G126" s="48" t="s">
        <v>4377</v>
      </c>
      <c r="H126" s="48" t="s">
        <v>4378</v>
      </c>
    </row>
    <row r="127" ht="24" customHeight="1" spans="1:8">
      <c r="A127" s="48" t="s">
        <v>279</v>
      </c>
      <c r="B127" s="48">
        <v>10</v>
      </c>
      <c r="C127" s="48" t="s">
        <v>4377</v>
      </c>
      <c r="D127" s="48" t="s">
        <v>4377</v>
      </c>
      <c r="E127" s="48" t="s">
        <v>4377</v>
      </c>
      <c r="F127" s="48" t="s">
        <v>4377</v>
      </c>
      <c r="G127" s="48" t="s">
        <v>4377</v>
      </c>
      <c r="H127" s="48" t="s">
        <v>4379</v>
      </c>
    </row>
    <row r="128" ht="24" customHeight="1" spans="1:8">
      <c r="A128" s="48" t="s">
        <v>281</v>
      </c>
      <c r="B128" s="48">
        <v>10</v>
      </c>
      <c r="C128" s="48" t="s">
        <v>4377</v>
      </c>
      <c r="D128" s="48" t="s">
        <v>4377</v>
      </c>
      <c r="E128" s="48" t="s">
        <v>4377</v>
      </c>
      <c r="F128" s="48" t="s">
        <v>4377</v>
      </c>
      <c r="G128" s="48" t="s">
        <v>4377</v>
      </c>
      <c r="H128" s="48" t="s">
        <v>4379</v>
      </c>
    </row>
    <row r="129" ht="24" customHeight="1" spans="1:8">
      <c r="A129" s="48" t="s">
        <v>283</v>
      </c>
      <c r="B129" s="48">
        <v>10</v>
      </c>
      <c r="C129" s="48" t="s">
        <v>4377</v>
      </c>
      <c r="D129" s="48" t="s">
        <v>4377</v>
      </c>
      <c r="E129" s="48" t="s">
        <v>4377</v>
      </c>
      <c r="F129" s="48" t="s">
        <v>4377</v>
      </c>
      <c r="G129" s="48" t="s">
        <v>4377</v>
      </c>
      <c r="H129" s="48" t="s">
        <v>4379</v>
      </c>
    </row>
    <row r="130" ht="24" customHeight="1" spans="1:8">
      <c r="A130" s="48" t="s">
        <v>285</v>
      </c>
      <c r="B130" s="48">
        <v>7</v>
      </c>
      <c r="C130" s="48" t="s">
        <v>4377</v>
      </c>
      <c r="D130" s="48" t="s">
        <v>4377</v>
      </c>
      <c r="E130" s="48" t="s">
        <v>4377</v>
      </c>
      <c r="F130" s="48" t="s">
        <v>4377</v>
      </c>
      <c r="G130" s="48" t="s">
        <v>4377</v>
      </c>
      <c r="H130" s="48" t="s">
        <v>4378</v>
      </c>
    </row>
    <row r="131" ht="24" customHeight="1" spans="1:8">
      <c r="A131" s="48" t="s">
        <v>287</v>
      </c>
      <c r="B131" s="48">
        <v>10</v>
      </c>
      <c r="C131" s="48" t="s">
        <v>4377</v>
      </c>
      <c r="D131" s="48" t="s">
        <v>4377</v>
      </c>
      <c r="E131" s="48" t="s">
        <v>4377</v>
      </c>
      <c r="F131" s="48" t="s">
        <v>4377</v>
      </c>
      <c r="G131" s="48" t="s">
        <v>4377</v>
      </c>
      <c r="H131" s="48" t="s">
        <v>4379</v>
      </c>
    </row>
    <row r="132" ht="24" customHeight="1" spans="1:8">
      <c r="A132" s="48" t="s">
        <v>289</v>
      </c>
      <c r="B132" s="48">
        <v>6</v>
      </c>
      <c r="C132" s="48" t="s">
        <v>4377</v>
      </c>
      <c r="D132" s="48" t="s">
        <v>4377</v>
      </c>
      <c r="E132" s="48" t="s">
        <v>4377</v>
      </c>
      <c r="F132" s="48" t="s">
        <v>4377</v>
      </c>
      <c r="G132" s="48" t="s">
        <v>4377</v>
      </c>
      <c r="H132" s="48" t="s">
        <v>4378</v>
      </c>
    </row>
    <row r="133" ht="24" customHeight="1" spans="1:8">
      <c r="A133" s="48" t="s">
        <v>291</v>
      </c>
      <c r="B133" s="48">
        <v>10</v>
      </c>
      <c r="C133" s="48" t="s">
        <v>4377</v>
      </c>
      <c r="D133" s="48" t="s">
        <v>4377</v>
      </c>
      <c r="E133" s="48" t="s">
        <v>4377</v>
      </c>
      <c r="F133" s="48" t="s">
        <v>4377</v>
      </c>
      <c r="G133" s="48" t="s">
        <v>4377</v>
      </c>
      <c r="H133" s="48" t="s">
        <v>4379</v>
      </c>
    </row>
    <row r="134" ht="24" customHeight="1" spans="1:8">
      <c r="A134" s="48" t="s">
        <v>293</v>
      </c>
      <c r="B134" s="48">
        <v>10</v>
      </c>
      <c r="C134" s="48" t="s">
        <v>4377</v>
      </c>
      <c r="D134" s="48" t="s">
        <v>4377</v>
      </c>
      <c r="E134" s="48" t="s">
        <v>4377</v>
      </c>
      <c r="F134" s="48" t="s">
        <v>4377</v>
      </c>
      <c r="G134" s="48" t="s">
        <v>4377</v>
      </c>
      <c r="H134" s="48" t="s">
        <v>4379</v>
      </c>
    </row>
    <row r="135" ht="24" customHeight="1" spans="1:8">
      <c r="A135" s="48" t="s">
        <v>295</v>
      </c>
      <c r="B135" s="48">
        <v>10</v>
      </c>
      <c r="C135" s="48" t="s">
        <v>4377</v>
      </c>
      <c r="D135" s="48" t="s">
        <v>4377</v>
      </c>
      <c r="E135" s="48" t="s">
        <v>4377</v>
      </c>
      <c r="F135" s="48" t="s">
        <v>4377</v>
      </c>
      <c r="G135" s="48" t="s">
        <v>4377</v>
      </c>
      <c r="H135" s="48" t="s">
        <v>4379</v>
      </c>
    </row>
    <row r="136" ht="24" customHeight="1" spans="1:8">
      <c r="A136" s="48" t="s">
        <v>297</v>
      </c>
      <c r="B136" s="48">
        <v>6</v>
      </c>
      <c r="C136" s="48" t="s">
        <v>4377</v>
      </c>
      <c r="D136" s="48" t="s">
        <v>4377</v>
      </c>
      <c r="E136" s="48" t="s">
        <v>4377</v>
      </c>
      <c r="F136" s="48" t="s">
        <v>4377</v>
      </c>
      <c r="G136" s="48" t="s">
        <v>4377</v>
      </c>
      <c r="H136" s="48" t="s">
        <v>4378</v>
      </c>
    </row>
    <row r="137" ht="24" customHeight="1" spans="1:8">
      <c r="A137" s="48" t="s">
        <v>299</v>
      </c>
      <c r="B137" s="48">
        <v>8</v>
      </c>
      <c r="C137" s="48" t="s">
        <v>4377</v>
      </c>
      <c r="D137" s="48" t="s">
        <v>4377</v>
      </c>
      <c r="E137" s="48" t="s">
        <v>4377</v>
      </c>
      <c r="F137" s="48" t="s">
        <v>4377</v>
      </c>
      <c r="G137" s="48" t="s">
        <v>4377</v>
      </c>
      <c r="H137" s="48" t="s">
        <v>4378</v>
      </c>
    </row>
    <row r="138" ht="24" customHeight="1" spans="1:8">
      <c r="A138" s="48" t="s">
        <v>301</v>
      </c>
      <c r="B138" s="48">
        <v>9</v>
      </c>
      <c r="C138" s="48" t="s">
        <v>4377</v>
      </c>
      <c r="D138" s="48" t="s">
        <v>4377</v>
      </c>
      <c r="E138" s="48" t="s">
        <v>4377</v>
      </c>
      <c r="F138" s="48" t="s">
        <v>4377</v>
      </c>
      <c r="G138" s="48" t="s">
        <v>4377</v>
      </c>
      <c r="H138" s="48" t="s">
        <v>4378</v>
      </c>
    </row>
    <row r="139" ht="24" customHeight="1" spans="1:8">
      <c r="A139" s="48" t="s">
        <v>303</v>
      </c>
      <c r="B139" s="48">
        <v>8</v>
      </c>
      <c r="C139" s="48" t="s">
        <v>4377</v>
      </c>
      <c r="D139" s="48" t="s">
        <v>4377</v>
      </c>
      <c r="E139" s="48" t="s">
        <v>4377</v>
      </c>
      <c r="F139" s="48" t="s">
        <v>4377</v>
      </c>
      <c r="G139" s="48" t="s">
        <v>4377</v>
      </c>
      <c r="H139" s="48" t="s">
        <v>4378</v>
      </c>
    </row>
    <row r="140" ht="24" customHeight="1" spans="1:8">
      <c r="A140" s="48" t="s">
        <v>305</v>
      </c>
      <c r="B140" s="48">
        <v>4</v>
      </c>
      <c r="C140" s="48" t="s">
        <v>4377</v>
      </c>
      <c r="D140" s="48" t="s">
        <v>4377</v>
      </c>
      <c r="E140" s="48" t="s">
        <v>4377</v>
      </c>
      <c r="F140" s="48" t="s">
        <v>4377</v>
      </c>
      <c r="G140" s="48" t="s">
        <v>4377</v>
      </c>
      <c r="H140" s="48" t="s">
        <v>4378</v>
      </c>
    </row>
    <row r="141" ht="24" customHeight="1" spans="1:8">
      <c r="A141" s="48" t="s">
        <v>307</v>
      </c>
      <c r="B141" s="48">
        <v>8</v>
      </c>
      <c r="C141" s="48" t="s">
        <v>4377</v>
      </c>
      <c r="D141" s="48" t="s">
        <v>4377</v>
      </c>
      <c r="E141" s="48" t="s">
        <v>4377</v>
      </c>
      <c r="F141" s="48" t="s">
        <v>4377</v>
      </c>
      <c r="G141" s="48" t="s">
        <v>4377</v>
      </c>
      <c r="H141" s="48" t="s">
        <v>4378</v>
      </c>
    </row>
    <row r="142" ht="24" customHeight="1" spans="1:8">
      <c r="A142" s="48" t="s">
        <v>309</v>
      </c>
      <c r="B142" s="48">
        <v>8</v>
      </c>
      <c r="C142" s="48" t="s">
        <v>4377</v>
      </c>
      <c r="D142" s="48" t="s">
        <v>4377</v>
      </c>
      <c r="E142" s="48" t="s">
        <v>4377</v>
      </c>
      <c r="F142" s="48" t="s">
        <v>4377</v>
      </c>
      <c r="G142" s="48" t="s">
        <v>4377</v>
      </c>
      <c r="H142" s="48" t="s">
        <v>4378</v>
      </c>
    </row>
    <row r="143" ht="24" customHeight="1" spans="1:8">
      <c r="A143" s="48" t="s">
        <v>311</v>
      </c>
      <c r="B143" s="48">
        <v>8</v>
      </c>
      <c r="C143" s="48" t="s">
        <v>4377</v>
      </c>
      <c r="D143" s="48" t="s">
        <v>4377</v>
      </c>
      <c r="E143" s="48" t="s">
        <v>4377</v>
      </c>
      <c r="F143" s="48" t="s">
        <v>4377</v>
      </c>
      <c r="G143" s="48" t="s">
        <v>4377</v>
      </c>
      <c r="H143" s="48" t="s">
        <v>4378</v>
      </c>
    </row>
    <row r="144" ht="24" customHeight="1" spans="1:8">
      <c r="A144" s="48" t="s">
        <v>313</v>
      </c>
      <c r="B144" s="48">
        <v>8</v>
      </c>
      <c r="C144" s="48" t="s">
        <v>4377</v>
      </c>
      <c r="D144" s="48" t="s">
        <v>4377</v>
      </c>
      <c r="E144" s="48" t="s">
        <v>4377</v>
      </c>
      <c r="F144" s="48" t="s">
        <v>4377</v>
      </c>
      <c r="G144" s="48" t="s">
        <v>4377</v>
      </c>
      <c r="H144" s="48" t="s">
        <v>4378</v>
      </c>
    </row>
    <row r="145" ht="24" customHeight="1" spans="1:8">
      <c r="A145" s="48" t="s">
        <v>315</v>
      </c>
      <c r="B145" s="48">
        <v>4</v>
      </c>
      <c r="C145" s="48" t="s">
        <v>4377</v>
      </c>
      <c r="D145" s="48" t="s">
        <v>4377</v>
      </c>
      <c r="E145" s="48" t="s">
        <v>4377</v>
      </c>
      <c r="F145" s="48" t="s">
        <v>4377</v>
      </c>
      <c r="G145" s="48" t="s">
        <v>4377</v>
      </c>
      <c r="H145" s="48" t="s">
        <v>4378</v>
      </c>
    </row>
    <row r="146" ht="24" customHeight="1" spans="1:8">
      <c r="A146" s="48" t="s">
        <v>317</v>
      </c>
      <c r="B146" s="48">
        <v>12</v>
      </c>
      <c r="C146" s="48" t="s">
        <v>4377</v>
      </c>
      <c r="D146" s="48" t="s">
        <v>4377</v>
      </c>
      <c r="E146" s="48" t="s">
        <v>4377</v>
      </c>
      <c r="F146" s="48" t="s">
        <v>4377</v>
      </c>
      <c r="G146" s="48" t="s">
        <v>4377</v>
      </c>
      <c r="H146" s="48" t="s">
        <v>4379</v>
      </c>
    </row>
    <row r="147" ht="24" customHeight="1" spans="1:8">
      <c r="A147" s="48" t="s">
        <v>319</v>
      </c>
      <c r="B147" s="48">
        <v>8</v>
      </c>
      <c r="C147" s="48" t="s">
        <v>4377</v>
      </c>
      <c r="D147" s="48" t="s">
        <v>4377</v>
      </c>
      <c r="E147" s="48" t="s">
        <v>4377</v>
      </c>
      <c r="F147" s="48" t="s">
        <v>4377</v>
      </c>
      <c r="G147" s="48" t="s">
        <v>4377</v>
      </c>
      <c r="H147" s="48" t="s">
        <v>4378</v>
      </c>
    </row>
    <row r="148" ht="24" customHeight="1" spans="1:8">
      <c r="A148" s="48" t="s">
        <v>321</v>
      </c>
      <c r="B148" s="48">
        <v>8</v>
      </c>
      <c r="C148" s="48" t="s">
        <v>4377</v>
      </c>
      <c r="D148" s="48" t="s">
        <v>4377</v>
      </c>
      <c r="E148" s="48" t="s">
        <v>4377</v>
      </c>
      <c r="F148" s="48" t="s">
        <v>4377</v>
      </c>
      <c r="G148" s="48" t="s">
        <v>4377</v>
      </c>
      <c r="H148" s="48" t="s">
        <v>4378</v>
      </c>
    </row>
    <row r="149" ht="24" customHeight="1" spans="1:8">
      <c r="A149" s="48" t="s">
        <v>323</v>
      </c>
      <c r="B149" s="48">
        <v>8</v>
      </c>
      <c r="C149" s="48" t="s">
        <v>4377</v>
      </c>
      <c r="D149" s="48" t="s">
        <v>4377</v>
      </c>
      <c r="E149" s="48" t="s">
        <v>4377</v>
      </c>
      <c r="F149" s="48" t="s">
        <v>4377</v>
      </c>
      <c r="G149" s="48" t="s">
        <v>4377</v>
      </c>
      <c r="H149" s="48" t="s">
        <v>4378</v>
      </c>
    </row>
    <row r="150" ht="24" customHeight="1" spans="1:8">
      <c r="A150" s="48" t="s">
        <v>325</v>
      </c>
      <c r="B150" s="48">
        <v>4</v>
      </c>
      <c r="C150" s="48" t="s">
        <v>4377</v>
      </c>
      <c r="D150" s="48" t="s">
        <v>4377</v>
      </c>
      <c r="E150" s="48" t="s">
        <v>4377</v>
      </c>
      <c r="F150" s="48" t="s">
        <v>4377</v>
      </c>
      <c r="G150" s="48" t="s">
        <v>4377</v>
      </c>
      <c r="H150" s="48" t="s">
        <v>4378</v>
      </c>
    </row>
    <row r="151" ht="24" customHeight="1" spans="1:8">
      <c r="A151" s="48" t="s">
        <v>327</v>
      </c>
      <c r="B151" s="48">
        <v>6</v>
      </c>
      <c r="C151" s="48" t="s">
        <v>4377</v>
      </c>
      <c r="D151" s="48" t="s">
        <v>4377</v>
      </c>
      <c r="E151" s="48" t="s">
        <v>4377</v>
      </c>
      <c r="F151" s="48" t="s">
        <v>4377</v>
      </c>
      <c r="G151" s="48" t="s">
        <v>4377</v>
      </c>
      <c r="H151" s="48" t="s">
        <v>4378</v>
      </c>
    </row>
    <row r="152" ht="24" customHeight="1" spans="1:8">
      <c r="A152" s="48" t="s">
        <v>329</v>
      </c>
      <c r="B152" s="48">
        <v>3</v>
      </c>
      <c r="C152" s="48" t="s">
        <v>4377</v>
      </c>
      <c r="D152" s="48" t="s">
        <v>4377</v>
      </c>
      <c r="E152" s="48" t="s">
        <v>4377</v>
      </c>
      <c r="F152" s="48" t="s">
        <v>4377</v>
      </c>
      <c r="G152" s="48" t="s">
        <v>4377</v>
      </c>
      <c r="H152" s="48" t="s">
        <v>4378</v>
      </c>
    </row>
    <row r="153" ht="24" customHeight="1" spans="1:8">
      <c r="A153" s="48" t="s">
        <v>331</v>
      </c>
      <c r="B153" s="48">
        <v>10</v>
      </c>
      <c r="C153" s="48" t="s">
        <v>4377</v>
      </c>
      <c r="D153" s="48" t="s">
        <v>4377</v>
      </c>
      <c r="E153" s="48" t="s">
        <v>4377</v>
      </c>
      <c r="F153" s="48" t="s">
        <v>4377</v>
      </c>
      <c r="G153" s="48" t="s">
        <v>4377</v>
      </c>
      <c r="H153" s="48" t="s">
        <v>4379</v>
      </c>
    </row>
    <row r="154" ht="24" customHeight="1" spans="1:8">
      <c r="A154" s="48" t="s">
        <v>333</v>
      </c>
      <c r="B154" s="48">
        <v>2</v>
      </c>
      <c r="C154" s="48" t="s">
        <v>4377</v>
      </c>
      <c r="D154" s="48" t="s">
        <v>4377</v>
      </c>
      <c r="E154" s="48" t="s">
        <v>4377</v>
      </c>
      <c r="F154" s="48" t="s">
        <v>4377</v>
      </c>
      <c r="G154" s="48" t="s">
        <v>4377</v>
      </c>
      <c r="H154" s="48" t="s">
        <v>4378</v>
      </c>
    </row>
    <row r="155" ht="24" customHeight="1" spans="1:8">
      <c r="A155" s="48" t="s">
        <v>335</v>
      </c>
      <c r="B155" s="48">
        <v>8</v>
      </c>
      <c r="C155" s="48" t="s">
        <v>4377</v>
      </c>
      <c r="D155" s="48" t="s">
        <v>4377</v>
      </c>
      <c r="E155" s="48" t="s">
        <v>4377</v>
      </c>
      <c r="F155" s="48" t="s">
        <v>4377</v>
      </c>
      <c r="G155" s="48" t="s">
        <v>4377</v>
      </c>
      <c r="H155" s="48" t="s">
        <v>4378</v>
      </c>
    </row>
    <row r="156" ht="24" customHeight="1" spans="1:8">
      <c r="A156" s="48" t="s">
        <v>337</v>
      </c>
      <c r="B156" s="48">
        <v>2</v>
      </c>
      <c r="C156" s="48" t="s">
        <v>4377</v>
      </c>
      <c r="D156" s="48" t="s">
        <v>4377</v>
      </c>
      <c r="E156" s="48" t="s">
        <v>4377</v>
      </c>
      <c r="F156" s="48" t="s">
        <v>4377</v>
      </c>
      <c r="G156" s="48" t="s">
        <v>4377</v>
      </c>
      <c r="H156" s="48" t="s">
        <v>4378</v>
      </c>
    </row>
    <row r="157" ht="24" customHeight="1" spans="1:8">
      <c r="A157" s="48" t="s">
        <v>339</v>
      </c>
      <c r="B157" s="48">
        <v>8</v>
      </c>
      <c r="C157" s="48" t="s">
        <v>4377</v>
      </c>
      <c r="D157" s="48" t="s">
        <v>4377</v>
      </c>
      <c r="E157" s="48" t="s">
        <v>4377</v>
      </c>
      <c r="F157" s="48" t="s">
        <v>4377</v>
      </c>
      <c r="G157" s="48" t="s">
        <v>4377</v>
      </c>
      <c r="H157" s="48" t="s">
        <v>4378</v>
      </c>
    </row>
    <row r="158" ht="24" customHeight="1" spans="1:8">
      <c r="A158" s="48" t="s">
        <v>341</v>
      </c>
      <c r="B158" s="48">
        <v>2</v>
      </c>
      <c r="C158" s="48" t="s">
        <v>4377</v>
      </c>
      <c r="D158" s="48" t="s">
        <v>4377</v>
      </c>
      <c r="E158" s="48" t="s">
        <v>4377</v>
      </c>
      <c r="F158" s="48" t="s">
        <v>4377</v>
      </c>
      <c r="G158" s="48" t="s">
        <v>4377</v>
      </c>
      <c r="H158" s="48" t="s">
        <v>4378</v>
      </c>
    </row>
    <row r="159" ht="24" customHeight="1" spans="1:8">
      <c r="A159" s="48" t="s">
        <v>343</v>
      </c>
      <c r="B159" s="48">
        <v>8</v>
      </c>
      <c r="C159" s="48" t="s">
        <v>4377</v>
      </c>
      <c r="D159" s="48" t="s">
        <v>4377</v>
      </c>
      <c r="E159" s="48" t="s">
        <v>4377</v>
      </c>
      <c r="F159" s="48" t="s">
        <v>4377</v>
      </c>
      <c r="G159" s="48" t="s">
        <v>4377</v>
      </c>
      <c r="H159" s="48" t="s">
        <v>4378</v>
      </c>
    </row>
    <row r="160" ht="24" customHeight="1" spans="1:8">
      <c r="A160" s="48" t="s">
        <v>345</v>
      </c>
      <c r="B160" s="48">
        <v>4</v>
      </c>
      <c r="C160" s="48" t="s">
        <v>4377</v>
      </c>
      <c r="D160" s="48" t="s">
        <v>4377</v>
      </c>
      <c r="E160" s="48" t="s">
        <v>4377</v>
      </c>
      <c r="F160" s="48" t="s">
        <v>4377</v>
      </c>
      <c r="G160" s="48" t="s">
        <v>4377</v>
      </c>
      <c r="H160" s="48" t="s">
        <v>4378</v>
      </c>
    </row>
    <row r="161" ht="24" customHeight="1" spans="1:8">
      <c r="A161" s="48" t="s">
        <v>347</v>
      </c>
      <c r="B161" s="48">
        <v>8</v>
      </c>
      <c r="C161" s="48" t="s">
        <v>4377</v>
      </c>
      <c r="D161" s="48" t="s">
        <v>4377</v>
      </c>
      <c r="E161" s="48" t="s">
        <v>4377</v>
      </c>
      <c r="F161" s="48" t="s">
        <v>4377</v>
      </c>
      <c r="G161" s="48" t="s">
        <v>4377</v>
      </c>
      <c r="H161" s="48" t="s">
        <v>4378</v>
      </c>
    </row>
    <row r="162" ht="24" customHeight="1" spans="1:8">
      <c r="A162" s="48" t="s">
        <v>349</v>
      </c>
      <c r="B162" s="48">
        <v>3</v>
      </c>
      <c r="C162" s="48" t="s">
        <v>4377</v>
      </c>
      <c r="D162" s="48" t="s">
        <v>4377</v>
      </c>
      <c r="E162" s="48" t="s">
        <v>4377</v>
      </c>
      <c r="F162" s="48" t="s">
        <v>4377</v>
      </c>
      <c r="G162" s="48" t="s">
        <v>4377</v>
      </c>
      <c r="H162" s="48" t="s">
        <v>4378</v>
      </c>
    </row>
    <row r="163" ht="24" customHeight="1" spans="1:8">
      <c r="A163" s="48" t="s">
        <v>351</v>
      </c>
      <c r="B163" s="48">
        <v>8</v>
      </c>
      <c r="C163" s="48" t="s">
        <v>4377</v>
      </c>
      <c r="D163" s="48" t="s">
        <v>4377</v>
      </c>
      <c r="E163" s="48" t="s">
        <v>4377</v>
      </c>
      <c r="F163" s="48" t="s">
        <v>4377</v>
      </c>
      <c r="G163" s="48" t="s">
        <v>4377</v>
      </c>
      <c r="H163" s="48" t="s">
        <v>4378</v>
      </c>
    </row>
    <row r="164" ht="24" customHeight="1" spans="1:8">
      <c r="A164" s="48" t="s">
        <v>353</v>
      </c>
      <c r="B164" s="48">
        <v>3</v>
      </c>
      <c r="C164" s="48" t="s">
        <v>4377</v>
      </c>
      <c r="D164" s="48" t="s">
        <v>4377</v>
      </c>
      <c r="E164" s="48" t="s">
        <v>4377</v>
      </c>
      <c r="F164" s="48" t="s">
        <v>4377</v>
      </c>
      <c r="G164" s="48" t="s">
        <v>4377</v>
      </c>
      <c r="H164" s="48" t="s">
        <v>4378</v>
      </c>
    </row>
    <row r="165" ht="24" customHeight="1" spans="1:8">
      <c r="A165" s="48" t="s">
        <v>355</v>
      </c>
      <c r="B165" s="48">
        <v>4</v>
      </c>
      <c r="C165" s="48" t="s">
        <v>4377</v>
      </c>
      <c r="D165" s="48" t="s">
        <v>4377</v>
      </c>
      <c r="E165" s="48" t="s">
        <v>4377</v>
      </c>
      <c r="F165" s="48" t="s">
        <v>4377</v>
      </c>
      <c r="G165" s="48" t="s">
        <v>4377</v>
      </c>
      <c r="H165" s="48" t="s">
        <v>4378</v>
      </c>
    </row>
    <row r="166" ht="24" customHeight="1" spans="1:8">
      <c r="A166" s="48" t="s">
        <v>357</v>
      </c>
      <c r="B166" s="48">
        <v>8</v>
      </c>
      <c r="C166" s="48" t="s">
        <v>4377</v>
      </c>
      <c r="D166" s="48" t="s">
        <v>4377</v>
      </c>
      <c r="E166" s="48" t="s">
        <v>4377</v>
      </c>
      <c r="F166" s="48" t="s">
        <v>4377</v>
      </c>
      <c r="G166" s="48" t="s">
        <v>4377</v>
      </c>
      <c r="H166" s="48" t="s">
        <v>4378</v>
      </c>
    </row>
    <row r="167" ht="24" customHeight="1" spans="1:8">
      <c r="A167" s="48" t="s">
        <v>359</v>
      </c>
      <c r="B167" s="48">
        <v>6</v>
      </c>
      <c r="C167" s="48" t="s">
        <v>4377</v>
      </c>
      <c r="D167" s="48" t="s">
        <v>4377</v>
      </c>
      <c r="E167" s="48" t="s">
        <v>4377</v>
      </c>
      <c r="F167" s="48" t="s">
        <v>4377</v>
      </c>
      <c r="G167" s="48" t="s">
        <v>4377</v>
      </c>
      <c r="H167" s="48" t="s">
        <v>4378</v>
      </c>
    </row>
    <row r="168" ht="24" customHeight="1" spans="1:8">
      <c r="A168" s="48" t="s">
        <v>361</v>
      </c>
      <c r="B168" s="48">
        <v>6</v>
      </c>
      <c r="C168" s="48" t="s">
        <v>4377</v>
      </c>
      <c r="D168" s="48" t="s">
        <v>4377</v>
      </c>
      <c r="E168" s="48" t="s">
        <v>4377</v>
      </c>
      <c r="F168" s="48" t="s">
        <v>4377</v>
      </c>
      <c r="G168" s="48" t="s">
        <v>4377</v>
      </c>
      <c r="H168" s="48" t="s">
        <v>4378</v>
      </c>
    </row>
    <row r="169" ht="24" customHeight="1" spans="1:8">
      <c r="A169" s="48" t="s">
        <v>363</v>
      </c>
      <c r="B169" s="48">
        <v>6</v>
      </c>
      <c r="C169" s="48" t="s">
        <v>4377</v>
      </c>
      <c r="D169" s="48" t="s">
        <v>4377</v>
      </c>
      <c r="E169" s="48" t="s">
        <v>4377</v>
      </c>
      <c r="F169" s="48" t="s">
        <v>4377</v>
      </c>
      <c r="G169" s="48" t="s">
        <v>4377</v>
      </c>
      <c r="H169" s="48" t="s">
        <v>4378</v>
      </c>
    </row>
    <row r="170" ht="24" customHeight="1" spans="1:8">
      <c r="A170" s="48" t="s">
        <v>365</v>
      </c>
      <c r="B170" s="48">
        <v>3</v>
      </c>
      <c r="C170" s="48" t="s">
        <v>4377</v>
      </c>
      <c r="D170" s="48" t="s">
        <v>4377</v>
      </c>
      <c r="E170" s="48" t="s">
        <v>4377</v>
      </c>
      <c r="F170" s="48" t="s">
        <v>4377</v>
      </c>
      <c r="G170" s="48" t="s">
        <v>4377</v>
      </c>
      <c r="H170" s="48" t="s">
        <v>4378</v>
      </c>
    </row>
    <row r="171" ht="24" customHeight="1" spans="1:8">
      <c r="A171" s="48" t="s">
        <v>367</v>
      </c>
      <c r="B171" s="48">
        <v>4</v>
      </c>
      <c r="C171" s="48" t="s">
        <v>4377</v>
      </c>
      <c r="D171" s="48" t="s">
        <v>4377</v>
      </c>
      <c r="E171" s="48" t="s">
        <v>4377</v>
      </c>
      <c r="F171" s="48" t="s">
        <v>4377</v>
      </c>
      <c r="G171" s="48" t="s">
        <v>4377</v>
      </c>
      <c r="H171" s="48" t="s">
        <v>4378</v>
      </c>
    </row>
    <row r="172" ht="24" customHeight="1" spans="1:8">
      <c r="A172" s="48" t="s">
        <v>369</v>
      </c>
      <c r="B172" s="48">
        <v>3</v>
      </c>
      <c r="C172" s="48" t="s">
        <v>4377</v>
      </c>
      <c r="D172" s="48" t="s">
        <v>4377</v>
      </c>
      <c r="E172" s="48" t="s">
        <v>4377</v>
      </c>
      <c r="F172" s="48" t="s">
        <v>4377</v>
      </c>
      <c r="G172" s="48" t="s">
        <v>4377</v>
      </c>
      <c r="H172" s="48" t="s">
        <v>4378</v>
      </c>
    </row>
    <row r="173" ht="24" customHeight="1" spans="1:8">
      <c r="A173" s="48" t="s">
        <v>371</v>
      </c>
      <c r="B173" s="48">
        <v>6</v>
      </c>
      <c r="C173" s="48" t="s">
        <v>4377</v>
      </c>
      <c r="D173" s="48" t="s">
        <v>4377</v>
      </c>
      <c r="E173" s="48" t="s">
        <v>4377</v>
      </c>
      <c r="F173" s="48" t="s">
        <v>4377</v>
      </c>
      <c r="G173" s="48" t="s">
        <v>4377</v>
      </c>
      <c r="H173" s="48" t="s">
        <v>4378</v>
      </c>
    </row>
    <row r="174" ht="24" customHeight="1" spans="1:8">
      <c r="A174" s="48" t="s">
        <v>373</v>
      </c>
      <c r="B174" s="48">
        <v>2</v>
      </c>
      <c r="C174" s="48" t="s">
        <v>4377</v>
      </c>
      <c r="D174" s="48" t="s">
        <v>4377</v>
      </c>
      <c r="E174" s="48" t="s">
        <v>4377</v>
      </c>
      <c r="F174" s="48" t="s">
        <v>4377</v>
      </c>
      <c r="G174" s="48" t="s">
        <v>4377</v>
      </c>
      <c r="H174" s="48" t="s">
        <v>4378</v>
      </c>
    </row>
    <row r="175" ht="24" customHeight="1" spans="1:8">
      <c r="A175" s="48" t="s">
        <v>375</v>
      </c>
      <c r="B175" s="48">
        <v>6</v>
      </c>
      <c r="C175" s="48" t="s">
        <v>4377</v>
      </c>
      <c r="D175" s="48" t="s">
        <v>4377</v>
      </c>
      <c r="E175" s="48" t="s">
        <v>4377</v>
      </c>
      <c r="F175" s="48" t="s">
        <v>4377</v>
      </c>
      <c r="G175" s="48" t="s">
        <v>4377</v>
      </c>
      <c r="H175" s="48" t="s">
        <v>4378</v>
      </c>
    </row>
    <row r="176" ht="24" customHeight="1" spans="1:8">
      <c r="A176" s="48" t="s">
        <v>377</v>
      </c>
      <c r="B176" s="48">
        <v>2</v>
      </c>
      <c r="C176" s="48" t="s">
        <v>4377</v>
      </c>
      <c r="D176" s="48" t="s">
        <v>4377</v>
      </c>
      <c r="E176" s="48" t="s">
        <v>4377</v>
      </c>
      <c r="F176" s="48" t="s">
        <v>4377</v>
      </c>
      <c r="G176" s="48" t="s">
        <v>4377</v>
      </c>
      <c r="H176" s="48" t="s">
        <v>4378</v>
      </c>
    </row>
    <row r="177" ht="24" customHeight="1" spans="1:8">
      <c r="A177" s="48" t="s">
        <v>379</v>
      </c>
      <c r="B177" s="48">
        <v>8</v>
      </c>
      <c r="C177" s="48" t="s">
        <v>4377</v>
      </c>
      <c r="D177" s="48" t="s">
        <v>4377</v>
      </c>
      <c r="E177" s="48" t="s">
        <v>4377</v>
      </c>
      <c r="F177" s="48" t="s">
        <v>4377</v>
      </c>
      <c r="G177" s="48" t="s">
        <v>4377</v>
      </c>
      <c r="H177" s="48" t="s">
        <v>4378</v>
      </c>
    </row>
    <row r="178" ht="24" customHeight="1" spans="1:8">
      <c r="A178" s="48" t="s">
        <v>381</v>
      </c>
      <c r="B178" s="48">
        <v>2</v>
      </c>
      <c r="C178" s="48" t="s">
        <v>4377</v>
      </c>
      <c r="D178" s="48" t="s">
        <v>4377</v>
      </c>
      <c r="E178" s="48" t="s">
        <v>4377</v>
      </c>
      <c r="F178" s="48" t="s">
        <v>4377</v>
      </c>
      <c r="G178" s="48" t="s">
        <v>4377</v>
      </c>
      <c r="H178" s="48" t="s">
        <v>4378</v>
      </c>
    </row>
    <row r="179" ht="24" customHeight="1" spans="1:8">
      <c r="A179" s="48" t="s">
        <v>383</v>
      </c>
      <c r="B179" s="48">
        <v>8</v>
      </c>
      <c r="C179" s="48" t="s">
        <v>4377</v>
      </c>
      <c r="D179" s="48" t="s">
        <v>4377</v>
      </c>
      <c r="E179" s="48" t="s">
        <v>4377</v>
      </c>
      <c r="F179" s="48" t="s">
        <v>4377</v>
      </c>
      <c r="G179" s="48" t="s">
        <v>4377</v>
      </c>
      <c r="H179" s="48" t="s">
        <v>4378</v>
      </c>
    </row>
    <row r="180" ht="24" customHeight="1" spans="1:8">
      <c r="A180" s="48" t="s">
        <v>385</v>
      </c>
      <c r="B180" s="48">
        <v>4</v>
      </c>
      <c r="C180" s="48" t="s">
        <v>4377</v>
      </c>
      <c r="D180" s="48" t="s">
        <v>4377</v>
      </c>
      <c r="E180" s="48" t="s">
        <v>4377</v>
      </c>
      <c r="F180" s="48" t="s">
        <v>4377</v>
      </c>
      <c r="G180" s="48" t="s">
        <v>4377</v>
      </c>
      <c r="H180" s="48" t="s">
        <v>4378</v>
      </c>
    </row>
    <row r="181" ht="24" customHeight="1" spans="1:8">
      <c r="A181" s="48" t="s">
        <v>387</v>
      </c>
      <c r="B181" s="48">
        <v>10</v>
      </c>
      <c r="C181" s="48" t="s">
        <v>4377</v>
      </c>
      <c r="D181" s="48" t="s">
        <v>4377</v>
      </c>
      <c r="E181" s="48" t="s">
        <v>4377</v>
      </c>
      <c r="F181" s="48" t="s">
        <v>4377</v>
      </c>
      <c r="G181" s="48" t="s">
        <v>4377</v>
      </c>
      <c r="H181" s="48" t="s">
        <v>4379</v>
      </c>
    </row>
    <row r="182" ht="24" customHeight="1" spans="1:8">
      <c r="A182" s="48" t="s">
        <v>389</v>
      </c>
      <c r="B182" s="48">
        <v>3</v>
      </c>
      <c r="C182" s="48" t="s">
        <v>4377</v>
      </c>
      <c r="D182" s="48" t="s">
        <v>4377</v>
      </c>
      <c r="E182" s="48" t="s">
        <v>4377</v>
      </c>
      <c r="F182" s="48" t="s">
        <v>4377</v>
      </c>
      <c r="G182" s="48" t="s">
        <v>4377</v>
      </c>
      <c r="H182" s="48" t="s">
        <v>4378</v>
      </c>
    </row>
    <row r="183" ht="24" customHeight="1" spans="1:8">
      <c r="A183" s="48" t="s">
        <v>391</v>
      </c>
      <c r="B183" s="48">
        <v>5</v>
      </c>
      <c r="C183" s="48" t="s">
        <v>4377</v>
      </c>
      <c r="D183" s="48" t="s">
        <v>4377</v>
      </c>
      <c r="E183" s="48" t="s">
        <v>4377</v>
      </c>
      <c r="F183" s="48" t="s">
        <v>4377</v>
      </c>
      <c r="G183" s="48" t="s">
        <v>4377</v>
      </c>
      <c r="H183" s="48" t="s">
        <v>4378</v>
      </c>
    </row>
    <row r="184" ht="24" customHeight="1" spans="1:8">
      <c r="A184" s="48" t="s">
        <v>393</v>
      </c>
      <c r="B184" s="48">
        <v>3</v>
      </c>
      <c r="C184" s="48" t="s">
        <v>4377</v>
      </c>
      <c r="D184" s="48" t="s">
        <v>4377</v>
      </c>
      <c r="E184" s="48" t="s">
        <v>4377</v>
      </c>
      <c r="F184" s="48" t="s">
        <v>4377</v>
      </c>
      <c r="G184" s="48" t="s">
        <v>4377</v>
      </c>
      <c r="H184" s="48" t="s">
        <v>4378</v>
      </c>
    </row>
    <row r="185" ht="24" customHeight="1" spans="1:8">
      <c r="A185" s="48" t="s">
        <v>395</v>
      </c>
      <c r="B185" s="48">
        <v>4</v>
      </c>
      <c r="C185" s="48" t="s">
        <v>4377</v>
      </c>
      <c r="D185" s="48" t="s">
        <v>4377</v>
      </c>
      <c r="E185" s="48" t="s">
        <v>4377</v>
      </c>
      <c r="F185" s="48" t="s">
        <v>4377</v>
      </c>
      <c r="G185" s="48" t="s">
        <v>4377</v>
      </c>
      <c r="H185" s="48" t="s">
        <v>4378</v>
      </c>
    </row>
    <row r="186" ht="24" customHeight="1" spans="1:8">
      <c r="A186" s="48" t="s">
        <v>397</v>
      </c>
      <c r="B186" s="48">
        <v>4</v>
      </c>
      <c r="C186" s="48" t="s">
        <v>4377</v>
      </c>
      <c r="D186" s="48" t="s">
        <v>4377</v>
      </c>
      <c r="E186" s="48" t="s">
        <v>4377</v>
      </c>
      <c r="F186" s="48" t="s">
        <v>4377</v>
      </c>
      <c r="G186" s="48" t="s">
        <v>4377</v>
      </c>
      <c r="H186" s="48" t="s">
        <v>4378</v>
      </c>
    </row>
    <row r="187" ht="24" customHeight="1" spans="1:8">
      <c r="A187" s="48" t="s">
        <v>399</v>
      </c>
      <c r="B187" s="48">
        <v>6</v>
      </c>
      <c r="C187" s="48" t="s">
        <v>4377</v>
      </c>
      <c r="D187" s="48" t="s">
        <v>4377</v>
      </c>
      <c r="E187" s="48" t="s">
        <v>4377</v>
      </c>
      <c r="F187" s="48" t="s">
        <v>4377</v>
      </c>
      <c r="G187" s="48" t="s">
        <v>4377</v>
      </c>
      <c r="H187" s="48" t="s">
        <v>4378</v>
      </c>
    </row>
    <row r="188" ht="24" customHeight="1" spans="1:8">
      <c r="A188" s="48" t="s">
        <v>401</v>
      </c>
      <c r="B188" s="48">
        <v>3</v>
      </c>
      <c r="C188" s="48" t="s">
        <v>4377</v>
      </c>
      <c r="D188" s="48" t="s">
        <v>4377</v>
      </c>
      <c r="E188" s="48" t="s">
        <v>4377</v>
      </c>
      <c r="F188" s="48" t="s">
        <v>4377</v>
      </c>
      <c r="G188" s="48" t="s">
        <v>4377</v>
      </c>
      <c r="H188" s="48" t="s">
        <v>4378</v>
      </c>
    </row>
    <row r="189" ht="24" customHeight="1" spans="1:8">
      <c r="A189" s="48" t="s">
        <v>403</v>
      </c>
      <c r="B189" s="48">
        <v>6</v>
      </c>
      <c r="C189" s="48" t="s">
        <v>4377</v>
      </c>
      <c r="D189" s="48" t="s">
        <v>4377</v>
      </c>
      <c r="E189" s="48" t="s">
        <v>4377</v>
      </c>
      <c r="F189" s="48" t="s">
        <v>4377</v>
      </c>
      <c r="G189" s="48" t="s">
        <v>4377</v>
      </c>
      <c r="H189" s="48" t="s">
        <v>4378</v>
      </c>
    </row>
    <row r="190" ht="24" customHeight="1" spans="1:8">
      <c r="A190" s="48" t="s">
        <v>405</v>
      </c>
      <c r="B190" s="48">
        <v>4</v>
      </c>
      <c r="C190" s="48" t="s">
        <v>4377</v>
      </c>
      <c r="D190" s="48" t="s">
        <v>4377</v>
      </c>
      <c r="E190" s="48" t="s">
        <v>4377</v>
      </c>
      <c r="F190" s="48" t="s">
        <v>4377</v>
      </c>
      <c r="G190" s="48" t="s">
        <v>4377</v>
      </c>
      <c r="H190" s="48" t="s">
        <v>4378</v>
      </c>
    </row>
    <row r="191" ht="24" customHeight="1" spans="1:8">
      <c r="A191" s="48" t="s">
        <v>407</v>
      </c>
      <c r="B191" s="48">
        <v>2</v>
      </c>
      <c r="C191" s="48" t="s">
        <v>4377</v>
      </c>
      <c r="D191" s="48" t="s">
        <v>4377</v>
      </c>
      <c r="E191" s="48" t="s">
        <v>4377</v>
      </c>
      <c r="F191" s="48" t="s">
        <v>4377</v>
      </c>
      <c r="G191" s="48" t="s">
        <v>4377</v>
      </c>
      <c r="H191" s="48" t="s">
        <v>4378</v>
      </c>
    </row>
    <row r="192" ht="24" customHeight="1" spans="1:8">
      <c r="A192" s="48" t="s">
        <v>409</v>
      </c>
      <c r="B192" s="48">
        <v>12</v>
      </c>
      <c r="C192" s="48" t="s">
        <v>4377</v>
      </c>
      <c r="D192" s="48" t="s">
        <v>4377</v>
      </c>
      <c r="E192" s="48" t="s">
        <v>4377</v>
      </c>
      <c r="F192" s="48" t="s">
        <v>4377</v>
      </c>
      <c r="G192" s="48" t="s">
        <v>4377</v>
      </c>
      <c r="H192" s="48" t="s">
        <v>4379</v>
      </c>
    </row>
    <row r="193" ht="24" customHeight="1" spans="1:8">
      <c r="A193" s="48" t="s">
        <v>411</v>
      </c>
      <c r="B193" s="48">
        <v>12</v>
      </c>
      <c r="C193" s="48" t="s">
        <v>4377</v>
      </c>
      <c r="D193" s="48" t="s">
        <v>4377</v>
      </c>
      <c r="E193" s="48" t="s">
        <v>4377</v>
      </c>
      <c r="F193" s="48" t="s">
        <v>4377</v>
      </c>
      <c r="G193" s="48" t="s">
        <v>4377</v>
      </c>
      <c r="H193" s="48" t="s">
        <v>4379</v>
      </c>
    </row>
    <row r="194" ht="24" customHeight="1" spans="1:8">
      <c r="A194" s="48" t="s">
        <v>413</v>
      </c>
      <c r="B194" s="48">
        <v>12</v>
      </c>
      <c r="C194" s="48" t="s">
        <v>4377</v>
      </c>
      <c r="D194" s="48" t="s">
        <v>4377</v>
      </c>
      <c r="E194" s="48" t="s">
        <v>4377</v>
      </c>
      <c r="F194" s="48" t="s">
        <v>4377</v>
      </c>
      <c r="G194" s="48" t="s">
        <v>4377</v>
      </c>
      <c r="H194" s="48" t="s">
        <v>4379</v>
      </c>
    </row>
    <row r="195" ht="24" customHeight="1" spans="1:8">
      <c r="A195" s="48" t="s">
        <v>415</v>
      </c>
      <c r="B195" s="48">
        <v>2</v>
      </c>
      <c r="C195" s="48" t="s">
        <v>4377</v>
      </c>
      <c r="D195" s="48" t="s">
        <v>4377</v>
      </c>
      <c r="E195" s="48" t="s">
        <v>4377</v>
      </c>
      <c r="F195" s="48" t="s">
        <v>4377</v>
      </c>
      <c r="G195" s="48" t="s">
        <v>4377</v>
      </c>
      <c r="H195" s="48" t="s">
        <v>4378</v>
      </c>
    </row>
    <row r="196" ht="24" customHeight="1" spans="1:8">
      <c r="A196" s="48" t="s">
        <v>417</v>
      </c>
      <c r="B196" s="48">
        <v>4</v>
      </c>
      <c r="C196" s="48" t="s">
        <v>4377</v>
      </c>
      <c r="D196" s="48" t="s">
        <v>4377</v>
      </c>
      <c r="E196" s="48" t="s">
        <v>4377</v>
      </c>
      <c r="F196" s="48" t="s">
        <v>4377</v>
      </c>
      <c r="G196" s="48" t="s">
        <v>4377</v>
      </c>
      <c r="H196" s="48" t="s">
        <v>4378</v>
      </c>
    </row>
    <row r="197" ht="24" customHeight="1" spans="1:8">
      <c r="A197" s="48" t="s">
        <v>419</v>
      </c>
      <c r="B197" s="48">
        <v>12</v>
      </c>
      <c r="C197" s="48" t="s">
        <v>4377</v>
      </c>
      <c r="D197" s="48" t="s">
        <v>4377</v>
      </c>
      <c r="E197" s="48" t="s">
        <v>4377</v>
      </c>
      <c r="F197" s="48" t="s">
        <v>4377</v>
      </c>
      <c r="G197" s="48" t="s">
        <v>4377</v>
      </c>
      <c r="H197" s="48" t="s">
        <v>4379</v>
      </c>
    </row>
    <row r="198" ht="24" customHeight="1" spans="1:8">
      <c r="A198" s="48" t="s">
        <v>421</v>
      </c>
      <c r="B198" s="48">
        <v>8</v>
      </c>
      <c r="C198" s="48" t="s">
        <v>4377</v>
      </c>
      <c r="D198" s="48" t="s">
        <v>4377</v>
      </c>
      <c r="E198" s="48" t="s">
        <v>4377</v>
      </c>
      <c r="F198" s="48" t="s">
        <v>4377</v>
      </c>
      <c r="G198" s="48" t="s">
        <v>4377</v>
      </c>
      <c r="H198" s="48" t="s">
        <v>4378</v>
      </c>
    </row>
    <row r="199" ht="24" customHeight="1" spans="1:8">
      <c r="A199" s="48" t="s">
        <v>423</v>
      </c>
      <c r="B199" s="48">
        <v>9</v>
      </c>
      <c r="C199" s="48" t="s">
        <v>4377</v>
      </c>
      <c r="D199" s="48" t="s">
        <v>4377</v>
      </c>
      <c r="E199" s="48" t="s">
        <v>4377</v>
      </c>
      <c r="F199" s="48" t="s">
        <v>4377</v>
      </c>
      <c r="G199" s="48" t="s">
        <v>4377</v>
      </c>
      <c r="H199" s="48" t="s">
        <v>4378</v>
      </c>
    </row>
    <row r="200" ht="24" customHeight="1" spans="1:8">
      <c r="A200" s="48" t="s">
        <v>425</v>
      </c>
      <c r="B200" s="48">
        <v>12</v>
      </c>
      <c r="C200" s="48" t="s">
        <v>4377</v>
      </c>
      <c r="D200" s="48" t="s">
        <v>4377</v>
      </c>
      <c r="E200" s="48" t="s">
        <v>4377</v>
      </c>
      <c r="F200" s="48" t="s">
        <v>4377</v>
      </c>
      <c r="G200" s="48" t="s">
        <v>4377</v>
      </c>
      <c r="H200" s="48" t="s">
        <v>4379</v>
      </c>
    </row>
    <row r="201" ht="24" customHeight="1" spans="1:8">
      <c r="A201" s="48" t="s">
        <v>427</v>
      </c>
      <c r="B201" s="48">
        <v>8</v>
      </c>
      <c r="C201" s="48" t="s">
        <v>4377</v>
      </c>
      <c r="D201" s="48" t="s">
        <v>4377</v>
      </c>
      <c r="E201" s="48" t="s">
        <v>4377</v>
      </c>
      <c r="F201" s="48" t="s">
        <v>4377</v>
      </c>
      <c r="G201" s="48" t="s">
        <v>4377</v>
      </c>
      <c r="H201" s="48" t="s">
        <v>4378</v>
      </c>
    </row>
    <row r="202" ht="24" customHeight="1" spans="1:8">
      <c r="A202" s="48" t="s">
        <v>429</v>
      </c>
      <c r="B202" s="48">
        <v>5</v>
      </c>
      <c r="C202" s="48" t="s">
        <v>4377</v>
      </c>
      <c r="D202" s="48" t="s">
        <v>4377</v>
      </c>
      <c r="E202" s="48" t="s">
        <v>4377</v>
      </c>
      <c r="F202" s="48" t="s">
        <v>4377</v>
      </c>
      <c r="G202" s="48" t="s">
        <v>4377</v>
      </c>
      <c r="H202" s="48" t="s">
        <v>4378</v>
      </c>
    </row>
    <row r="203" ht="24" customHeight="1" spans="1:8">
      <c r="A203" s="48" t="s">
        <v>431</v>
      </c>
      <c r="B203" s="48">
        <v>8</v>
      </c>
      <c r="C203" s="48" t="s">
        <v>4377</v>
      </c>
      <c r="D203" s="48" t="s">
        <v>4377</v>
      </c>
      <c r="E203" s="48" t="s">
        <v>4377</v>
      </c>
      <c r="F203" s="48" t="s">
        <v>4377</v>
      </c>
      <c r="G203" s="48" t="s">
        <v>4377</v>
      </c>
      <c r="H203" s="48" t="s">
        <v>4378</v>
      </c>
    </row>
    <row r="204" ht="24" customHeight="1" spans="1:8">
      <c r="A204" s="48" t="s">
        <v>433</v>
      </c>
      <c r="B204" s="48">
        <v>10</v>
      </c>
      <c r="C204" s="48" t="s">
        <v>4377</v>
      </c>
      <c r="D204" s="48" t="s">
        <v>4377</v>
      </c>
      <c r="E204" s="48" t="s">
        <v>4377</v>
      </c>
      <c r="F204" s="48" t="s">
        <v>4377</v>
      </c>
      <c r="G204" s="48" t="s">
        <v>4377</v>
      </c>
      <c r="H204" s="48" t="s">
        <v>4379</v>
      </c>
    </row>
    <row r="205" ht="24" customHeight="1" spans="1:8">
      <c r="A205" s="48" t="s">
        <v>435</v>
      </c>
      <c r="B205" s="48">
        <v>8</v>
      </c>
      <c r="C205" s="48" t="s">
        <v>4377</v>
      </c>
      <c r="D205" s="48" t="s">
        <v>4377</v>
      </c>
      <c r="E205" s="48" t="s">
        <v>4377</v>
      </c>
      <c r="F205" s="48" t="s">
        <v>4377</v>
      </c>
      <c r="G205" s="48" t="s">
        <v>4377</v>
      </c>
      <c r="H205" s="48" t="s">
        <v>4378</v>
      </c>
    </row>
    <row r="206" ht="24" customHeight="1" spans="1:8">
      <c r="A206" s="48" t="s">
        <v>437</v>
      </c>
      <c r="B206" s="48">
        <v>4</v>
      </c>
      <c r="C206" s="48" t="s">
        <v>4377</v>
      </c>
      <c r="D206" s="48" t="s">
        <v>4377</v>
      </c>
      <c r="E206" s="48" t="s">
        <v>4377</v>
      </c>
      <c r="F206" s="48" t="s">
        <v>4377</v>
      </c>
      <c r="G206" s="48" t="s">
        <v>4377</v>
      </c>
      <c r="H206" s="48" t="s">
        <v>4378</v>
      </c>
    </row>
    <row r="207" ht="24" customHeight="1" spans="1:8">
      <c r="A207" s="48" t="s">
        <v>439</v>
      </c>
      <c r="B207" s="48">
        <v>8</v>
      </c>
      <c r="C207" s="48" t="s">
        <v>4377</v>
      </c>
      <c r="D207" s="48" t="s">
        <v>4377</v>
      </c>
      <c r="E207" s="48" t="s">
        <v>4377</v>
      </c>
      <c r="F207" s="48" t="s">
        <v>4377</v>
      </c>
      <c r="G207" s="48" t="s">
        <v>4377</v>
      </c>
      <c r="H207" s="48" t="s">
        <v>4378</v>
      </c>
    </row>
    <row r="208" ht="24" customHeight="1" spans="1:8">
      <c r="A208" s="48" t="s">
        <v>441</v>
      </c>
      <c r="B208" s="48">
        <v>2</v>
      </c>
      <c r="C208" s="48" t="s">
        <v>4377</v>
      </c>
      <c r="D208" s="48" t="s">
        <v>4377</v>
      </c>
      <c r="E208" s="48" t="s">
        <v>4377</v>
      </c>
      <c r="F208" s="48" t="s">
        <v>4377</v>
      </c>
      <c r="G208" s="48" t="s">
        <v>4377</v>
      </c>
      <c r="H208" s="48" t="s">
        <v>4378</v>
      </c>
    </row>
    <row r="209" ht="24" customHeight="1" spans="1:8">
      <c r="A209" s="48" t="s">
        <v>443</v>
      </c>
      <c r="B209" s="48">
        <v>10</v>
      </c>
      <c r="C209" s="48" t="s">
        <v>4377</v>
      </c>
      <c r="D209" s="48" t="s">
        <v>4377</v>
      </c>
      <c r="E209" s="48" t="s">
        <v>4377</v>
      </c>
      <c r="F209" s="48" t="s">
        <v>4377</v>
      </c>
      <c r="G209" s="48" t="s">
        <v>4377</v>
      </c>
      <c r="H209" s="48" t="s">
        <v>4379</v>
      </c>
    </row>
    <row r="210" ht="24" customHeight="1" spans="1:8">
      <c r="A210" s="48" t="s">
        <v>445</v>
      </c>
      <c r="B210" s="48">
        <v>12</v>
      </c>
      <c r="C210" s="48" t="s">
        <v>4377</v>
      </c>
      <c r="D210" s="48" t="s">
        <v>4377</v>
      </c>
      <c r="E210" s="48" t="s">
        <v>4377</v>
      </c>
      <c r="F210" s="48" t="s">
        <v>4377</v>
      </c>
      <c r="G210" s="48" t="s">
        <v>4377</v>
      </c>
      <c r="H210" s="48" t="s">
        <v>4379</v>
      </c>
    </row>
    <row r="211" ht="24" customHeight="1" spans="1:8">
      <c r="A211" s="48" t="s">
        <v>447</v>
      </c>
      <c r="B211" s="48">
        <v>10</v>
      </c>
      <c r="C211" s="48" t="s">
        <v>4377</v>
      </c>
      <c r="D211" s="48" t="s">
        <v>4377</v>
      </c>
      <c r="E211" s="48" t="s">
        <v>4377</v>
      </c>
      <c r="F211" s="48" t="s">
        <v>4377</v>
      </c>
      <c r="G211" s="48" t="s">
        <v>4377</v>
      </c>
      <c r="H211" s="48" t="s">
        <v>4379</v>
      </c>
    </row>
    <row r="212" ht="24" customHeight="1" spans="1:8">
      <c r="A212" s="48" t="s">
        <v>449</v>
      </c>
      <c r="B212" s="48">
        <v>12</v>
      </c>
      <c r="C212" s="48" t="s">
        <v>4377</v>
      </c>
      <c r="D212" s="48" t="s">
        <v>4377</v>
      </c>
      <c r="E212" s="48" t="s">
        <v>4377</v>
      </c>
      <c r="F212" s="48" t="s">
        <v>4377</v>
      </c>
      <c r="G212" s="48" t="s">
        <v>4377</v>
      </c>
      <c r="H212" s="48" t="s">
        <v>4379</v>
      </c>
    </row>
    <row r="213" ht="24" customHeight="1" spans="1:8">
      <c r="A213" s="48" t="s">
        <v>451</v>
      </c>
      <c r="B213" s="48">
        <v>10</v>
      </c>
      <c r="C213" s="48" t="s">
        <v>4377</v>
      </c>
      <c r="D213" s="48" t="s">
        <v>4377</v>
      </c>
      <c r="E213" s="48" t="s">
        <v>4377</v>
      </c>
      <c r="F213" s="48" t="s">
        <v>4377</v>
      </c>
      <c r="G213" s="48" t="s">
        <v>4377</v>
      </c>
      <c r="H213" s="48" t="s">
        <v>4379</v>
      </c>
    </row>
    <row r="214" ht="24" customHeight="1" spans="1:8">
      <c r="A214" s="48" t="s">
        <v>453</v>
      </c>
      <c r="B214" s="48">
        <v>8</v>
      </c>
      <c r="C214" s="48" t="s">
        <v>4377</v>
      </c>
      <c r="D214" s="48" t="s">
        <v>4377</v>
      </c>
      <c r="E214" s="48" t="s">
        <v>4377</v>
      </c>
      <c r="F214" s="48" t="s">
        <v>4377</v>
      </c>
      <c r="G214" s="48" t="s">
        <v>4377</v>
      </c>
      <c r="H214" s="48" t="s">
        <v>4378</v>
      </c>
    </row>
    <row r="215" ht="24" customHeight="1" spans="1:8">
      <c r="A215" s="48" t="s">
        <v>455</v>
      </c>
      <c r="B215" s="48">
        <v>8</v>
      </c>
      <c r="C215" s="48" t="s">
        <v>4377</v>
      </c>
      <c r="D215" s="48" t="s">
        <v>4377</v>
      </c>
      <c r="E215" s="48" t="s">
        <v>4377</v>
      </c>
      <c r="F215" s="48" t="s">
        <v>4377</v>
      </c>
      <c r="G215" s="48" t="s">
        <v>4377</v>
      </c>
      <c r="H215" s="48" t="s">
        <v>4378</v>
      </c>
    </row>
    <row r="216" ht="24" customHeight="1" spans="1:8">
      <c r="A216" s="48" t="s">
        <v>457</v>
      </c>
      <c r="B216" s="48">
        <v>4</v>
      </c>
      <c r="C216" s="48" t="s">
        <v>4377</v>
      </c>
      <c r="D216" s="48" t="s">
        <v>4377</v>
      </c>
      <c r="E216" s="48" t="s">
        <v>4377</v>
      </c>
      <c r="F216" s="48" t="s">
        <v>4377</v>
      </c>
      <c r="G216" s="48" t="s">
        <v>4377</v>
      </c>
      <c r="H216" s="48" t="s">
        <v>4378</v>
      </c>
    </row>
    <row r="217" ht="24" customHeight="1" spans="1:8">
      <c r="A217" s="48" t="s">
        <v>459</v>
      </c>
      <c r="B217" s="48">
        <v>4</v>
      </c>
      <c r="C217" s="48" t="s">
        <v>4377</v>
      </c>
      <c r="D217" s="48" t="s">
        <v>4377</v>
      </c>
      <c r="E217" s="48" t="s">
        <v>4377</v>
      </c>
      <c r="F217" s="48" t="s">
        <v>4377</v>
      </c>
      <c r="G217" s="48" t="s">
        <v>4377</v>
      </c>
      <c r="H217" s="48" t="s">
        <v>4378</v>
      </c>
    </row>
    <row r="218" ht="24" customHeight="1" spans="1:8">
      <c r="A218" s="48" t="s">
        <v>461</v>
      </c>
      <c r="B218" s="48">
        <v>10</v>
      </c>
      <c r="C218" s="48" t="s">
        <v>4377</v>
      </c>
      <c r="D218" s="48" t="s">
        <v>4377</v>
      </c>
      <c r="E218" s="48" t="s">
        <v>4377</v>
      </c>
      <c r="F218" s="48" t="s">
        <v>4377</v>
      </c>
      <c r="G218" s="48" t="s">
        <v>4377</v>
      </c>
      <c r="H218" s="48" t="s">
        <v>4379</v>
      </c>
    </row>
    <row r="219" ht="24" customHeight="1" spans="1:8">
      <c r="A219" s="48" t="s">
        <v>463</v>
      </c>
      <c r="B219" s="48">
        <v>12</v>
      </c>
      <c r="C219" s="48" t="s">
        <v>4377</v>
      </c>
      <c r="D219" s="48" t="s">
        <v>4377</v>
      </c>
      <c r="E219" s="48" t="s">
        <v>4377</v>
      </c>
      <c r="F219" s="48" t="s">
        <v>4377</v>
      </c>
      <c r="G219" s="48" t="s">
        <v>4377</v>
      </c>
      <c r="H219" s="48" t="s">
        <v>4379</v>
      </c>
    </row>
    <row r="220" ht="24" customHeight="1" spans="1:8">
      <c r="A220" s="48" t="s">
        <v>465</v>
      </c>
      <c r="B220" s="48">
        <v>10</v>
      </c>
      <c r="C220" s="48" t="s">
        <v>4377</v>
      </c>
      <c r="D220" s="48" t="s">
        <v>4377</v>
      </c>
      <c r="E220" s="48" t="s">
        <v>4377</v>
      </c>
      <c r="F220" s="48" t="s">
        <v>4377</v>
      </c>
      <c r="G220" s="48" t="s">
        <v>4377</v>
      </c>
      <c r="H220" s="48" t="s">
        <v>4379</v>
      </c>
    </row>
    <row r="221" ht="24" customHeight="1" spans="1:8">
      <c r="A221" s="48" t="s">
        <v>467</v>
      </c>
      <c r="B221" s="48">
        <v>10</v>
      </c>
      <c r="C221" s="48" t="s">
        <v>4377</v>
      </c>
      <c r="D221" s="48" t="s">
        <v>4377</v>
      </c>
      <c r="E221" s="48" t="s">
        <v>4377</v>
      </c>
      <c r="F221" s="48" t="s">
        <v>4377</v>
      </c>
      <c r="G221" s="48" t="s">
        <v>4377</v>
      </c>
      <c r="H221" s="48" t="s">
        <v>4379</v>
      </c>
    </row>
    <row r="222" ht="24" customHeight="1" spans="1:8">
      <c r="A222" s="48" t="s">
        <v>469</v>
      </c>
      <c r="B222" s="48">
        <v>2</v>
      </c>
      <c r="C222" s="48" t="s">
        <v>4377</v>
      </c>
      <c r="D222" s="48" t="s">
        <v>4377</v>
      </c>
      <c r="E222" s="48" t="s">
        <v>4377</v>
      </c>
      <c r="F222" s="48" t="s">
        <v>4377</v>
      </c>
      <c r="G222" s="48" t="s">
        <v>4377</v>
      </c>
      <c r="H222" s="48" t="s">
        <v>4378</v>
      </c>
    </row>
    <row r="223" ht="24" customHeight="1" spans="1:8">
      <c r="A223" s="48" t="s">
        <v>471</v>
      </c>
      <c r="B223" s="48">
        <v>9</v>
      </c>
      <c r="C223" s="48" t="s">
        <v>4377</v>
      </c>
      <c r="D223" s="48" t="s">
        <v>4377</v>
      </c>
      <c r="E223" s="48" t="s">
        <v>4377</v>
      </c>
      <c r="F223" s="48" t="s">
        <v>4377</v>
      </c>
      <c r="G223" s="48" t="s">
        <v>4377</v>
      </c>
      <c r="H223" s="48" t="s">
        <v>4378</v>
      </c>
    </row>
    <row r="224" ht="24" customHeight="1" spans="1:8">
      <c r="A224" s="48" t="s">
        <v>473</v>
      </c>
      <c r="B224" s="48">
        <v>4</v>
      </c>
      <c r="C224" s="48" t="s">
        <v>4377</v>
      </c>
      <c r="D224" s="48" t="s">
        <v>4377</v>
      </c>
      <c r="E224" s="48" t="s">
        <v>4377</v>
      </c>
      <c r="F224" s="48" t="s">
        <v>4377</v>
      </c>
      <c r="G224" s="48" t="s">
        <v>4377</v>
      </c>
      <c r="H224" s="48" t="s">
        <v>4378</v>
      </c>
    </row>
    <row r="225" ht="24" customHeight="1" spans="1:8">
      <c r="A225" s="48" t="s">
        <v>475</v>
      </c>
      <c r="B225" s="48">
        <v>4</v>
      </c>
      <c r="C225" s="48" t="s">
        <v>4377</v>
      </c>
      <c r="D225" s="48" t="s">
        <v>4377</v>
      </c>
      <c r="E225" s="48" t="s">
        <v>4377</v>
      </c>
      <c r="F225" s="48" t="s">
        <v>4377</v>
      </c>
      <c r="G225" s="48" t="s">
        <v>4377</v>
      </c>
      <c r="H225" s="48" t="s">
        <v>4378</v>
      </c>
    </row>
    <row r="226" ht="24" customHeight="1" spans="1:8">
      <c r="A226" s="48" t="s">
        <v>477</v>
      </c>
      <c r="B226" s="48">
        <v>2</v>
      </c>
      <c r="C226" s="48" t="s">
        <v>4377</v>
      </c>
      <c r="D226" s="48" t="s">
        <v>4377</v>
      </c>
      <c r="E226" s="48" t="s">
        <v>4377</v>
      </c>
      <c r="F226" s="48" t="s">
        <v>4377</v>
      </c>
      <c r="G226" s="48" t="s">
        <v>4377</v>
      </c>
      <c r="H226" s="48" t="s">
        <v>4378</v>
      </c>
    </row>
    <row r="227" ht="24" customHeight="1" spans="1:8">
      <c r="A227" s="48" t="s">
        <v>479</v>
      </c>
      <c r="B227" s="48">
        <v>8</v>
      </c>
      <c r="C227" s="48" t="s">
        <v>4377</v>
      </c>
      <c r="D227" s="48" t="s">
        <v>4377</v>
      </c>
      <c r="E227" s="48" t="s">
        <v>4377</v>
      </c>
      <c r="F227" s="48" t="s">
        <v>4377</v>
      </c>
      <c r="G227" s="48" t="s">
        <v>4377</v>
      </c>
      <c r="H227" s="48" t="s">
        <v>4378</v>
      </c>
    </row>
    <row r="228" ht="24" customHeight="1" spans="1:8">
      <c r="A228" s="48" t="s">
        <v>481</v>
      </c>
      <c r="B228" s="48">
        <v>8</v>
      </c>
      <c r="C228" s="48" t="s">
        <v>4377</v>
      </c>
      <c r="D228" s="48" t="s">
        <v>4377</v>
      </c>
      <c r="E228" s="48" t="s">
        <v>4377</v>
      </c>
      <c r="F228" s="48" t="s">
        <v>4377</v>
      </c>
      <c r="G228" s="48" t="s">
        <v>4377</v>
      </c>
      <c r="H228" s="48" t="s">
        <v>4378</v>
      </c>
    </row>
    <row r="229" ht="24" customHeight="1" spans="1:8">
      <c r="A229" s="48" t="s">
        <v>483</v>
      </c>
      <c r="B229" s="48">
        <v>10</v>
      </c>
      <c r="C229" s="48" t="s">
        <v>4377</v>
      </c>
      <c r="D229" s="48" t="s">
        <v>4377</v>
      </c>
      <c r="E229" s="48" t="s">
        <v>4377</v>
      </c>
      <c r="F229" s="48" t="s">
        <v>4377</v>
      </c>
      <c r="G229" s="48" t="s">
        <v>4377</v>
      </c>
      <c r="H229" s="48" t="s">
        <v>4379</v>
      </c>
    </row>
    <row r="230" ht="24" customHeight="1" spans="1:8">
      <c r="A230" s="48" t="s">
        <v>485</v>
      </c>
      <c r="B230" s="48">
        <v>8</v>
      </c>
      <c r="C230" s="48" t="s">
        <v>4377</v>
      </c>
      <c r="D230" s="48" t="s">
        <v>4377</v>
      </c>
      <c r="E230" s="48" t="s">
        <v>4377</v>
      </c>
      <c r="F230" s="48" t="s">
        <v>4377</v>
      </c>
      <c r="G230" s="48" t="s">
        <v>4377</v>
      </c>
      <c r="H230" s="48" t="s">
        <v>4378</v>
      </c>
    </row>
    <row r="231" ht="24" customHeight="1" spans="1:8">
      <c r="A231" s="48" t="s">
        <v>487</v>
      </c>
      <c r="B231" s="48">
        <v>10</v>
      </c>
      <c r="C231" s="48" t="s">
        <v>4377</v>
      </c>
      <c r="D231" s="48" t="s">
        <v>4377</v>
      </c>
      <c r="E231" s="48" t="s">
        <v>4377</v>
      </c>
      <c r="F231" s="48" t="s">
        <v>4377</v>
      </c>
      <c r="G231" s="48" t="s">
        <v>4377</v>
      </c>
      <c r="H231" s="48" t="s">
        <v>4379</v>
      </c>
    </row>
    <row r="232" ht="24" customHeight="1" spans="1:8">
      <c r="A232" s="48" t="s">
        <v>489</v>
      </c>
      <c r="B232" s="48">
        <v>10</v>
      </c>
      <c r="C232" s="48" t="s">
        <v>4377</v>
      </c>
      <c r="D232" s="48" t="s">
        <v>4377</v>
      </c>
      <c r="E232" s="48" t="s">
        <v>4377</v>
      </c>
      <c r="F232" s="48" t="s">
        <v>4377</v>
      </c>
      <c r="G232" s="48" t="s">
        <v>4377</v>
      </c>
      <c r="H232" s="48" t="s">
        <v>4379</v>
      </c>
    </row>
    <row r="233" ht="24" customHeight="1" spans="1:8">
      <c r="A233" s="48" t="s">
        <v>491</v>
      </c>
      <c r="B233" s="48">
        <v>8</v>
      </c>
      <c r="C233" s="48" t="s">
        <v>4377</v>
      </c>
      <c r="D233" s="48" t="s">
        <v>4377</v>
      </c>
      <c r="E233" s="48" t="s">
        <v>4377</v>
      </c>
      <c r="F233" s="48" t="s">
        <v>4377</v>
      </c>
      <c r="G233" s="48" t="s">
        <v>4377</v>
      </c>
      <c r="H233" s="48" t="s">
        <v>4378</v>
      </c>
    </row>
    <row r="234" ht="24" customHeight="1" spans="1:8">
      <c r="A234" s="48" t="s">
        <v>493</v>
      </c>
      <c r="B234" s="48">
        <v>4</v>
      </c>
      <c r="C234" s="48" t="s">
        <v>4377</v>
      </c>
      <c r="D234" s="48" t="s">
        <v>4377</v>
      </c>
      <c r="E234" s="48" t="s">
        <v>4377</v>
      </c>
      <c r="F234" s="48" t="s">
        <v>4377</v>
      </c>
      <c r="G234" s="48" t="s">
        <v>4377</v>
      </c>
      <c r="H234" s="48" t="s">
        <v>4378</v>
      </c>
    </row>
    <row r="235" ht="24" customHeight="1" spans="1:8">
      <c r="A235" s="48" t="s">
        <v>495</v>
      </c>
      <c r="B235" s="48">
        <v>7</v>
      </c>
      <c r="C235" s="48" t="s">
        <v>4377</v>
      </c>
      <c r="D235" s="48" t="s">
        <v>4377</v>
      </c>
      <c r="E235" s="48" t="s">
        <v>4377</v>
      </c>
      <c r="F235" s="48" t="s">
        <v>4377</v>
      </c>
      <c r="G235" s="48" t="s">
        <v>4377</v>
      </c>
      <c r="H235" s="48" t="s">
        <v>4378</v>
      </c>
    </row>
    <row r="236" ht="24" customHeight="1" spans="1:8">
      <c r="A236" s="48" t="s">
        <v>497</v>
      </c>
      <c r="B236" s="48">
        <v>6</v>
      </c>
      <c r="C236" s="48" t="s">
        <v>4377</v>
      </c>
      <c r="D236" s="48" t="s">
        <v>4377</v>
      </c>
      <c r="E236" s="48" t="s">
        <v>4377</v>
      </c>
      <c r="F236" s="48" t="s">
        <v>4377</v>
      </c>
      <c r="G236" s="48" t="s">
        <v>4377</v>
      </c>
      <c r="H236" s="48" t="s">
        <v>4378</v>
      </c>
    </row>
    <row r="237" ht="24" customHeight="1" spans="1:8">
      <c r="A237" s="48" t="s">
        <v>499</v>
      </c>
      <c r="B237" s="48">
        <v>6</v>
      </c>
      <c r="C237" s="48" t="s">
        <v>4377</v>
      </c>
      <c r="D237" s="48" t="s">
        <v>4377</v>
      </c>
      <c r="E237" s="48" t="s">
        <v>4377</v>
      </c>
      <c r="F237" s="48" t="s">
        <v>4377</v>
      </c>
      <c r="G237" s="48" t="s">
        <v>4377</v>
      </c>
      <c r="H237" s="48" t="s">
        <v>4378</v>
      </c>
    </row>
    <row r="238" ht="24" customHeight="1" spans="1:8">
      <c r="A238" s="48" t="s">
        <v>501</v>
      </c>
      <c r="B238" s="48">
        <v>2</v>
      </c>
      <c r="C238" s="48" t="s">
        <v>4377</v>
      </c>
      <c r="D238" s="48" t="s">
        <v>4377</v>
      </c>
      <c r="E238" s="48" t="s">
        <v>4377</v>
      </c>
      <c r="F238" s="48" t="s">
        <v>4377</v>
      </c>
      <c r="G238" s="48" t="s">
        <v>4377</v>
      </c>
      <c r="H238" s="48" t="s">
        <v>4378</v>
      </c>
    </row>
    <row r="239" ht="24" customHeight="1" spans="1:8">
      <c r="A239" s="48" t="s">
        <v>503</v>
      </c>
      <c r="B239" s="48">
        <v>7</v>
      </c>
      <c r="C239" s="48" t="s">
        <v>4377</v>
      </c>
      <c r="D239" s="48" t="s">
        <v>4377</v>
      </c>
      <c r="E239" s="48" t="s">
        <v>4377</v>
      </c>
      <c r="F239" s="48" t="s">
        <v>4377</v>
      </c>
      <c r="G239" s="48" t="s">
        <v>4377</v>
      </c>
      <c r="H239" s="48" t="s">
        <v>4378</v>
      </c>
    </row>
    <row r="240" ht="24" customHeight="1" spans="1:8">
      <c r="A240" s="48" t="s">
        <v>505</v>
      </c>
      <c r="B240" s="48">
        <v>3</v>
      </c>
      <c r="C240" s="48" t="s">
        <v>4377</v>
      </c>
      <c r="D240" s="48" t="s">
        <v>4377</v>
      </c>
      <c r="E240" s="48" t="s">
        <v>4377</v>
      </c>
      <c r="F240" s="48" t="s">
        <v>4377</v>
      </c>
      <c r="G240" s="48" t="s">
        <v>4377</v>
      </c>
      <c r="H240" s="48" t="s">
        <v>4378</v>
      </c>
    </row>
    <row r="241" ht="24" customHeight="1" spans="1:8">
      <c r="A241" s="48" t="s">
        <v>507</v>
      </c>
      <c r="B241" s="48">
        <v>3</v>
      </c>
      <c r="C241" s="48" t="s">
        <v>4377</v>
      </c>
      <c r="D241" s="48" t="s">
        <v>4377</v>
      </c>
      <c r="E241" s="48" t="s">
        <v>4377</v>
      </c>
      <c r="F241" s="48" t="s">
        <v>4377</v>
      </c>
      <c r="G241" s="48" t="s">
        <v>4377</v>
      </c>
      <c r="H241" s="48" t="s">
        <v>4378</v>
      </c>
    </row>
    <row r="242" ht="24" customHeight="1" spans="1:8">
      <c r="A242" s="48" t="s">
        <v>509</v>
      </c>
      <c r="B242" s="48">
        <v>4</v>
      </c>
      <c r="C242" s="48" t="s">
        <v>4377</v>
      </c>
      <c r="D242" s="48" t="s">
        <v>4377</v>
      </c>
      <c r="E242" s="48" t="s">
        <v>4377</v>
      </c>
      <c r="F242" s="48" t="s">
        <v>4377</v>
      </c>
      <c r="G242" s="48" t="s">
        <v>4377</v>
      </c>
      <c r="H242" s="48" t="s">
        <v>4378</v>
      </c>
    </row>
    <row r="243" ht="24" customHeight="1" spans="1:8">
      <c r="A243" s="48" t="s">
        <v>511</v>
      </c>
      <c r="B243" s="48">
        <v>6</v>
      </c>
      <c r="C243" s="48" t="s">
        <v>4377</v>
      </c>
      <c r="D243" s="48" t="s">
        <v>4377</v>
      </c>
      <c r="E243" s="48" t="s">
        <v>4377</v>
      </c>
      <c r="F243" s="48" t="s">
        <v>4377</v>
      </c>
      <c r="G243" s="48" t="s">
        <v>4377</v>
      </c>
      <c r="H243" s="48" t="s">
        <v>4378</v>
      </c>
    </row>
    <row r="244" ht="24" customHeight="1" spans="1:8">
      <c r="A244" s="48" t="s">
        <v>513</v>
      </c>
      <c r="B244" s="48">
        <v>6</v>
      </c>
      <c r="C244" s="48" t="s">
        <v>4377</v>
      </c>
      <c r="D244" s="48" t="s">
        <v>4377</v>
      </c>
      <c r="E244" s="48" t="s">
        <v>4377</v>
      </c>
      <c r="F244" s="48" t="s">
        <v>4377</v>
      </c>
      <c r="G244" s="48" t="s">
        <v>4377</v>
      </c>
      <c r="H244" s="48" t="s">
        <v>4378</v>
      </c>
    </row>
    <row r="245" ht="24" customHeight="1" spans="1:8">
      <c r="A245" s="48" t="s">
        <v>515</v>
      </c>
      <c r="B245" s="48">
        <v>6</v>
      </c>
      <c r="C245" s="48" t="s">
        <v>4377</v>
      </c>
      <c r="D245" s="48" t="s">
        <v>4377</v>
      </c>
      <c r="E245" s="48" t="s">
        <v>4377</v>
      </c>
      <c r="F245" s="48" t="s">
        <v>4377</v>
      </c>
      <c r="G245" s="48" t="s">
        <v>4377</v>
      </c>
      <c r="H245" s="48" t="s">
        <v>4378</v>
      </c>
    </row>
    <row r="246" ht="24" customHeight="1" spans="1:8">
      <c r="A246" s="48" t="s">
        <v>517</v>
      </c>
      <c r="B246" s="48">
        <v>6</v>
      </c>
      <c r="C246" s="48" t="s">
        <v>4377</v>
      </c>
      <c r="D246" s="48" t="s">
        <v>4377</v>
      </c>
      <c r="E246" s="48" t="s">
        <v>4377</v>
      </c>
      <c r="F246" s="48" t="s">
        <v>4377</v>
      </c>
      <c r="G246" s="48" t="s">
        <v>4377</v>
      </c>
      <c r="H246" s="48" t="s">
        <v>4378</v>
      </c>
    </row>
    <row r="247" ht="24" customHeight="1" spans="1:8">
      <c r="A247" s="48" t="s">
        <v>519</v>
      </c>
      <c r="B247" s="48">
        <v>6</v>
      </c>
      <c r="C247" s="48" t="s">
        <v>4377</v>
      </c>
      <c r="D247" s="48" t="s">
        <v>4377</v>
      </c>
      <c r="E247" s="48" t="s">
        <v>4377</v>
      </c>
      <c r="F247" s="48" t="s">
        <v>4377</v>
      </c>
      <c r="G247" s="48" t="s">
        <v>4377</v>
      </c>
      <c r="H247" s="48" t="s">
        <v>4378</v>
      </c>
    </row>
    <row r="248" ht="24" customHeight="1" spans="1:8">
      <c r="A248" s="48" t="s">
        <v>521</v>
      </c>
      <c r="B248" s="48">
        <v>2</v>
      </c>
      <c r="C248" s="48" t="s">
        <v>4377</v>
      </c>
      <c r="D248" s="48" t="s">
        <v>4377</v>
      </c>
      <c r="E248" s="48" t="s">
        <v>4377</v>
      </c>
      <c r="F248" s="48" t="s">
        <v>4377</v>
      </c>
      <c r="G248" s="48" t="s">
        <v>4377</v>
      </c>
      <c r="H248" s="48" t="s">
        <v>4378</v>
      </c>
    </row>
    <row r="249" ht="24" customHeight="1" spans="1:8">
      <c r="A249" s="48" t="s">
        <v>523</v>
      </c>
      <c r="B249" s="48">
        <v>6</v>
      </c>
      <c r="C249" s="48" t="s">
        <v>4377</v>
      </c>
      <c r="D249" s="48" t="s">
        <v>4377</v>
      </c>
      <c r="E249" s="48" t="s">
        <v>4377</v>
      </c>
      <c r="F249" s="48" t="s">
        <v>4377</v>
      </c>
      <c r="G249" s="48" t="s">
        <v>4377</v>
      </c>
      <c r="H249" s="48" t="s">
        <v>4378</v>
      </c>
    </row>
    <row r="250" ht="24" customHeight="1" spans="1:8">
      <c r="A250" s="48" t="s">
        <v>525</v>
      </c>
      <c r="B250" s="48">
        <v>3</v>
      </c>
      <c r="C250" s="48" t="s">
        <v>4377</v>
      </c>
      <c r="D250" s="48" t="s">
        <v>4377</v>
      </c>
      <c r="E250" s="48" t="s">
        <v>4377</v>
      </c>
      <c r="F250" s="48" t="s">
        <v>4377</v>
      </c>
      <c r="G250" s="48" t="s">
        <v>4377</v>
      </c>
      <c r="H250" s="48" t="s">
        <v>4378</v>
      </c>
    </row>
    <row r="251" ht="24" customHeight="1" spans="1:8">
      <c r="A251" s="48" t="s">
        <v>527</v>
      </c>
      <c r="B251" s="48">
        <v>6</v>
      </c>
      <c r="C251" s="48" t="s">
        <v>4377</v>
      </c>
      <c r="D251" s="48" t="s">
        <v>4377</v>
      </c>
      <c r="E251" s="48" t="s">
        <v>4377</v>
      </c>
      <c r="F251" s="48" t="s">
        <v>4377</v>
      </c>
      <c r="G251" s="48" t="s">
        <v>4377</v>
      </c>
      <c r="H251" s="48" t="s">
        <v>4378</v>
      </c>
    </row>
    <row r="252" ht="24" customHeight="1" spans="1:8">
      <c r="A252" s="48" t="s">
        <v>529</v>
      </c>
      <c r="B252" s="48">
        <v>2</v>
      </c>
      <c r="C252" s="48" t="s">
        <v>4377</v>
      </c>
      <c r="D252" s="48" t="s">
        <v>4377</v>
      </c>
      <c r="E252" s="48" t="s">
        <v>4377</v>
      </c>
      <c r="F252" s="48" t="s">
        <v>4377</v>
      </c>
      <c r="G252" s="48" t="s">
        <v>4377</v>
      </c>
      <c r="H252" s="48" t="s">
        <v>4378</v>
      </c>
    </row>
    <row r="253" ht="24" customHeight="1" spans="1:8">
      <c r="A253" s="48" t="s">
        <v>531</v>
      </c>
      <c r="B253" s="48">
        <v>7</v>
      </c>
      <c r="C253" s="48" t="s">
        <v>4377</v>
      </c>
      <c r="D253" s="48" t="s">
        <v>4377</v>
      </c>
      <c r="E253" s="48" t="s">
        <v>4377</v>
      </c>
      <c r="F253" s="48" t="s">
        <v>4377</v>
      </c>
      <c r="G253" s="48" t="s">
        <v>4377</v>
      </c>
      <c r="H253" s="48" t="s">
        <v>4378</v>
      </c>
    </row>
    <row r="254" ht="24" customHeight="1" spans="1:8">
      <c r="A254" s="48" t="s">
        <v>533</v>
      </c>
      <c r="B254" s="48">
        <v>4</v>
      </c>
      <c r="C254" s="48" t="s">
        <v>4377</v>
      </c>
      <c r="D254" s="48" t="s">
        <v>4377</v>
      </c>
      <c r="E254" s="48" t="s">
        <v>4377</v>
      </c>
      <c r="F254" s="48" t="s">
        <v>4377</v>
      </c>
      <c r="G254" s="48" t="s">
        <v>4377</v>
      </c>
      <c r="H254" s="48" t="s">
        <v>4378</v>
      </c>
    </row>
    <row r="255" ht="24" customHeight="1" spans="1:8">
      <c r="A255" s="48" t="s">
        <v>535</v>
      </c>
      <c r="B255" s="48">
        <v>6</v>
      </c>
      <c r="C255" s="48" t="s">
        <v>4377</v>
      </c>
      <c r="D255" s="48" t="s">
        <v>4377</v>
      </c>
      <c r="E255" s="48" t="s">
        <v>4377</v>
      </c>
      <c r="F255" s="48" t="s">
        <v>4377</v>
      </c>
      <c r="G255" s="48" t="s">
        <v>4377</v>
      </c>
      <c r="H255" s="48" t="s">
        <v>4378</v>
      </c>
    </row>
    <row r="256" ht="24" customHeight="1" spans="1:8">
      <c r="A256" s="48" t="s">
        <v>537</v>
      </c>
      <c r="B256" s="48">
        <v>4</v>
      </c>
      <c r="C256" s="48" t="s">
        <v>4377</v>
      </c>
      <c r="D256" s="48" t="s">
        <v>4377</v>
      </c>
      <c r="E256" s="48" t="s">
        <v>4377</v>
      </c>
      <c r="F256" s="48" t="s">
        <v>4377</v>
      </c>
      <c r="G256" s="48" t="s">
        <v>4377</v>
      </c>
      <c r="H256" s="48" t="s">
        <v>4378</v>
      </c>
    </row>
    <row r="257" ht="24" customHeight="1" spans="1:8">
      <c r="A257" s="48" t="s">
        <v>539</v>
      </c>
      <c r="B257" s="48">
        <v>7</v>
      </c>
      <c r="C257" s="48" t="s">
        <v>4377</v>
      </c>
      <c r="D257" s="48" t="s">
        <v>4377</v>
      </c>
      <c r="E257" s="48" t="s">
        <v>4377</v>
      </c>
      <c r="F257" s="48" t="s">
        <v>4377</v>
      </c>
      <c r="G257" s="48" t="s">
        <v>4377</v>
      </c>
      <c r="H257" s="48" t="s">
        <v>4378</v>
      </c>
    </row>
    <row r="258" ht="24" customHeight="1" spans="1:8">
      <c r="A258" s="48" t="s">
        <v>541</v>
      </c>
      <c r="B258" s="48">
        <v>8</v>
      </c>
      <c r="C258" s="48" t="s">
        <v>4377</v>
      </c>
      <c r="D258" s="48" t="s">
        <v>4377</v>
      </c>
      <c r="E258" s="48" t="s">
        <v>4377</v>
      </c>
      <c r="F258" s="48" t="s">
        <v>4377</v>
      </c>
      <c r="G258" s="48" t="s">
        <v>4377</v>
      </c>
      <c r="H258" s="48" t="s">
        <v>4378</v>
      </c>
    </row>
    <row r="259" ht="24" customHeight="1" spans="1:8">
      <c r="A259" s="48" t="s">
        <v>543</v>
      </c>
      <c r="B259" s="48">
        <v>9</v>
      </c>
      <c r="C259" s="48" t="s">
        <v>4377</v>
      </c>
      <c r="D259" s="48" t="s">
        <v>4377</v>
      </c>
      <c r="E259" s="48" t="s">
        <v>4377</v>
      </c>
      <c r="F259" s="48" t="s">
        <v>4377</v>
      </c>
      <c r="G259" s="48" t="s">
        <v>4377</v>
      </c>
      <c r="H259" s="48" t="s">
        <v>4378</v>
      </c>
    </row>
    <row r="260" ht="24" customHeight="1" spans="1:8">
      <c r="A260" s="48" t="s">
        <v>545</v>
      </c>
      <c r="B260" s="48">
        <v>2</v>
      </c>
      <c r="C260" s="48" t="s">
        <v>4377</v>
      </c>
      <c r="D260" s="48" t="s">
        <v>4377</v>
      </c>
      <c r="E260" s="48" t="s">
        <v>4377</v>
      </c>
      <c r="F260" s="48" t="s">
        <v>4377</v>
      </c>
      <c r="G260" s="48" t="s">
        <v>4377</v>
      </c>
      <c r="H260" s="48" t="s">
        <v>4378</v>
      </c>
    </row>
    <row r="261" ht="24" customHeight="1" spans="1:8">
      <c r="A261" s="48" t="s">
        <v>547</v>
      </c>
      <c r="B261" s="48">
        <v>4</v>
      </c>
      <c r="C261" s="48" t="s">
        <v>4377</v>
      </c>
      <c r="D261" s="48" t="s">
        <v>4377</v>
      </c>
      <c r="E261" s="48" t="s">
        <v>4377</v>
      </c>
      <c r="F261" s="48" t="s">
        <v>4377</v>
      </c>
      <c r="G261" s="48" t="s">
        <v>4377</v>
      </c>
      <c r="H261" s="48" t="s">
        <v>4378</v>
      </c>
    </row>
    <row r="262" ht="24" customHeight="1" spans="1:8">
      <c r="A262" s="48" t="s">
        <v>549</v>
      </c>
      <c r="B262" s="48">
        <v>7</v>
      </c>
      <c r="C262" s="48" t="s">
        <v>4377</v>
      </c>
      <c r="D262" s="48" t="s">
        <v>4377</v>
      </c>
      <c r="E262" s="48" t="s">
        <v>4377</v>
      </c>
      <c r="F262" s="48" t="s">
        <v>4377</v>
      </c>
      <c r="G262" s="48" t="s">
        <v>4377</v>
      </c>
      <c r="H262" s="48" t="s">
        <v>4378</v>
      </c>
    </row>
    <row r="263" ht="24" customHeight="1" spans="1:8">
      <c r="A263" s="48" t="s">
        <v>551</v>
      </c>
      <c r="B263" s="48">
        <v>2</v>
      </c>
      <c r="C263" s="48" t="s">
        <v>4377</v>
      </c>
      <c r="D263" s="48" t="s">
        <v>4377</v>
      </c>
      <c r="E263" s="48" t="s">
        <v>4377</v>
      </c>
      <c r="F263" s="48" t="s">
        <v>4377</v>
      </c>
      <c r="G263" s="48" t="s">
        <v>4377</v>
      </c>
      <c r="H263" s="48" t="s">
        <v>4378</v>
      </c>
    </row>
    <row r="264" ht="24" customHeight="1" spans="1:8">
      <c r="A264" s="48" t="s">
        <v>553</v>
      </c>
      <c r="B264" s="48">
        <v>7</v>
      </c>
      <c r="C264" s="48" t="s">
        <v>4377</v>
      </c>
      <c r="D264" s="48" t="s">
        <v>4377</v>
      </c>
      <c r="E264" s="48" t="s">
        <v>4377</v>
      </c>
      <c r="F264" s="48" t="s">
        <v>4377</v>
      </c>
      <c r="G264" s="48" t="s">
        <v>4377</v>
      </c>
      <c r="H264" s="48" t="s">
        <v>4378</v>
      </c>
    </row>
    <row r="265" ht="24" customHeight="1" spans="1:8">
      <c r="A265" s="48" t="s">
        <v>555</v>
      </c>
      <c r="B265" s="48">
        <v>9</v>
      </c>
      <c r="C265" s="48" t="s">
        <v>4377</v>
      </c>
      <c r="D265" s="48" t="s">
        <v>4377</v>
      </c>
      <c r="E265" s="48" t="s">
        <v>4377</v>
      </c>
      <c r="F265" s="48" t="s">
        <v>4377</v>
      </c>
      <c r="G265" s="48" t="s">
        <v>4377</v>
      </c>
      <c r="H265" s="48" t="s">
        <v>4378</v>
      </c>
    </row>
    <row r="266" ht="24" customHeight="1" spans="1:8">
      <c r="A266" s="48" t="s">
        <v>557</v>
      </c>
      <c r="B266" s="48">
        <v>10</v>
      </c>
      <c r="C266" s="48" t="s">
        <v>4377</v>
      </c>
      <c r="D266" s="48" t="s">
        <v>4377</v>
      </c>
      <c r="E266" s="48" t="s">
        <v>4377</v>
      </c>
      <c r="F266" s="48" t="s">
        <v>4377</v>
      </c>
      <c r="G266" s="48" t="s">
        <v>4377</v>
      </c>
      <c r="H266" s="48" t="s">
        <v>4379</v>
      </c>
    </row>
    <row r="267" ht="24" customHeight="1" spans="1:8">
      <c r="A267" s="48" t="s">
        <v>559</v>
      </c>
      <c r="B267" s="48">
        <v>8</v>
      </c>
      <c r="C267" s="48" t="s">
        <v>4377</v>
      </c>
      <c r="D267" s="48" t="s">
        <v>4377</v>
      </c>
      <c r="E267" s="48" t="s">
        <v>4377</v>
      </c>
      <c r="F267" s="48" t="s">
        <v>4377</v>
      </c>
      <c r="G267" s="48" t="s">
        <v>4377</v>
      </c>
      <c r="H267" s="48" t="s">
        <v>4378</v>
      </c>
    </row>
    <row r="268" ht="24" customHeight="1" spans="1:8">
      <c r="A268" s="48" t="s">
        <v>561</v>
      </c>
      <c r="B268" s="48">
        <v>3</v>
      </c>
      <c r="C268" s="48" t="s">
        <v>4377</v>
      </c>
      <c r="D268" s="48" t="s">
        <v>4377</v>
      </c>
      <c r="E268" s="48" t="s">
        <v>4377</v>
      </c>
      <c r="F268" s="48" t="s">
        <v>4377</v>
      </c>
      <c r="G268" s="48" t="s">
        <v>4377</v>
      </c>
      <c r="H268" s="48" t="s">
        <v>4378</v>
      </c>
    </row>
    <row r="269" ht="24" customHeight="1" spans="1:8">
      <c r="A269" s="48" t="s">
        <v>563</v>
      </c>
      <c r="B269" s="48">
        <v>6</v>
      </c>
      <c r="C269" s="48" t="s">
        <v>4377</v>
      </c>
      <c r="D269" s="48" t="s">
        <v>4377</v>
      </c>
      <c r="E269" s="48" t="s">
        <v>4377</v>
      </c>
      <c r="F269" s="48" t="s">
        <v>4377</v>
      </c>
      <c r="G269" s="48" t="s">
        <v>4377</v>
      </c>
      <c r="H269" s="48" t="s">
        <v>4378</v>
      </c>
    </row>
    <row r="270" ht="24" customHeight="1" spans="1:8">
      <c r="A270" s="48" t="s">
        <v>565</v>
      </c>
      <c r="B270" s="48">
        <v>2</v>
      </c>
      <c r="C270" s="48" t="s">
        <v>4377</v>
      </c>
      <c r="D270" s="48" t="s">
        <v>4377</v>
      </c>
      <c r="E270" s="48" t="s">
        <v>4377</v>
      </c>
      <c r="F270" s="48" t="s">
        <v>4377</v>
      </c>
      <c r="G270" s="48" t="s">
        <v>4377</v>
      </c>
      <c r="H270" s="48" t="s">
        <v>4378</v>
      </c>
    </row>
    <row r="271" ht="24" customHeight="1" spans="1:8">
      <c r="A271" s="48" t="s">
        <v>567</v>
      </c>
      <c r="B271" s="48">
        <v>2</v>
      </c>
      <c r="C271" s="48" t="s">
        <v>4377</v>
      </c>
      <c r="D271" s="48" t="s">
        <v>4377</v>
      </c>
      <c r="E271" s="48" t="s">
        <v>4377</v>
      </c>
      <c r="F271" s="48" t="s">
        <v>4377</v>
      </c>
      <c r="G271" s="48" t="s">
        <v>4377</v>
      </c>
      <c r="H271" s="48" t="s">
        <v>4378</v>
      </c>
    </row>
    <row r="272" ht="24" customHeight="1" spans="1:8">
      <c r="A272" s="48" t="s">
        <v>569</v>
      </c>
      <c r="B272" s="48">
        <v>6</v>
      </c>
      <c r="C272" s="48" t="s">
        <v>4377</v>
      </c>
      <c r="D272" s="48" t="s">
        <v>4377</v>
      </c>
      <c r="E272" s="48" t="s">
        <v>4377</v>
      </c>
      <c r="F272" s="48" t="s">
        <v>4377</v>
      </c>
      <c r="G272" s="48" t="s">
        <v>4377</v>
      </c>
      <c r="H272" s="48" t="s">
        <v>4378</v>
      </c>
    </row>
    <row r="273" ht="24" customHeight="1" spans="1:8">
      <c r="A273" s="48" t="s">
        <v>571</v>
      </c>
      <c r="B273" s="48">
        <v>2</v>
      </c>
      <c r="C273" s="48" t="s">
        <v>4377</v>
      </c>
      <c r="D273" s="48" t="s">
        <v>4377</v>
      </c>
      <c r="E273" s="48" t="s">
        <v>4377</v>
      </c>
      <c r="F273" s="48" t="s">
        <v>4377</v>
      </c>
      <c r="G273" s="48" t="s">
        <v>4377</v>
      </c>
      <c r="H273" s="48" t="s">
        <v>4378</v>
      </c>
    </row>
    <row r="274" ht="24" customHeight="1" spans="1:8">
      <c r="A274" s="48" t="s">
        <v>573</v>
      </c>
      <c r="B274" s="48">
        <v>8</v>
      </c>
      <c r="C274" s="48" t="s">
        <v>4377</v>
      </c>
      <c r="D274" s="48" t="s">
        <v>4377</v>
      </c>
      <c r="E274" s="48" t="s">
        <v>4377</v>
      </c>
      <c r="F274" s="48" t="s">
        <v>4377</v>
      </c>
      <c r="G274" s="48" t="s">
        <v>4377</v>
      </c>
      <c r="H274" s="48" t="s">
        <v>4378</v>
      </c>
    </row>
    <row r="275" ht="24" customHeight="1" spans="1:8">
      <c r="A275" s="48" t="s">
        <v>575</v>
      </c>
      <c r="B275" s="48">
        <v>10</v>
      </c>
      <c r="C275" s="48" t="s">
        <v>4377</v>
      </c>
      <c r="D275" s="48" t="s">
        <v>4377</v>
      </c>
      <c r="E275" s="48" t="s">
        <v>4377</v>
      </c>
      <c r="F275" s="48" t="s">
        <v>4377</v>
      </c>
      <c r="G275" s="48" t="s">
        <v>4377</v>
      </c>
      <c r="H275" s="48" t="s">
        <v>4379</v>
      </c>
    </row>
    <row r="276" ht="24" customHeight="1" spans="1:8">
      <c r="A276" s="48" t="s">
        <v>577</v>
      </c>
      <c r="B276" s="48">
        <v>4</v>
      </c>
      <c r="C276" s="48" t="s">
        <v>4377</v>
      </c>
      <c r="D276" s="48" t="s">
        <v>4377</v>
      </c>
      <c r="E276" s="48" t="s">
        <v>4377</v>
      </c>
      <c r="F276" s="48" t="s">
        <v>4377</v>
      </c>
      <c r="G276" s="48" t="s">
        <v>4377</v>
      </c>
      <c r="H276" s="48" t="s">
        <v>4378</v>
      </c>
    </row>
    <row r="277" ht="24" customHeight="1" spans="1:8">
      <c r="A277" s="48" t="s">
        <v>579</v>
      </c>
      <c r="B277" s="48">
        <v>6</v>
      </c>
      <c r="C277" s="48" t="s">
        <v>4377</v>
      </c>
      <c r="D277" s="48" t="s">
        <v>4377</v>
      </c>
      <c r="E277" s="48" t="s">
        <v>4377</v>
      </c>
      <c r="F277" s="48" t="s">
        <v>4377</v>
      </c>
      <c r="G277" s="48" t="s">
        <v>4377</v>
      </c>
      <c r="H277" s="48" t="s">
        <v>4378</v>
      </c>
    </row>
    <row r="278" ht="24" customHeight="1" spans="1:8">
      <c r="A278" s="48" t="s">
        <v>581</v>
      </c>
      <c r="B278" s="48">
        <v>3</v>
      </c>
      <c r="C278" s="48" t="s">
        <v>4377</v>
      </c>
      <c r="D278" s="48" t="s">
        <v>4377</v>
      </c>
      <c r="E278" s="48" t="s">
        <v>4377</v>
      </c>
      <c r="F278" s="48" t="s">
        <v>4377</v>
      </c>
      <c r="G278" s="48" t="s">
        <v>4377</v>
      </c>
      <c r="H278" s="48" t="s">
        <v>4378</v>
      </c>
    </row>
    <row r="279" ht="24" customHeight="1" spans="1:8">
      <c r="A279" s="48" t="s">
        <v>583</v>
      </c>
      <c r="B279" s="48">
        <v>6</v>
      </c>
      <c r="C279" s="48" t="s">
        <v>4377</v>
      </c>
      <c r="D279" s="48" t="s">
        <v>4377</v>
      </c>
      <c r="E279" s="48" t="s">
        <v>4377</v>
      </c>
      <c r="F279" s="48" t="s">
        <v>4377</v>
      </c>
      <c r="G279" s="48" t="s">
        <v>4377</v>
      </c>
      <c r="H279" s="48" t="s">
        <v>4378</v>
      </c>
    </row>
    <row r="280" ht="24" customHeight="1" spans="1:8">
      <c r="A280" s="48" t="s">
        <v>585</v>
      </c>
      <c r="B280" s="48">
        <v>6</v>
      </c>
      <c r="C280" s="48" t="s">
        <v>4377</v>
      </c>
      <c r="D280" s="48" t="s">
        <v>4377</v>
      </c>
      <c r="E280" s="48" t="s">
        <v>4377</v>
      </c>
      <c r="F280" s="48" t="s">
        <v>4377</v>
      </c>
      <c r="G280" s="48" t="s">
        <v>4377</v>
      </c>
      <c r="H280" s="48" t="s">
        <v>4378</v>
      </c>
    </row>
    <row r="281" ht="24" customHeight="1" spans="1:8">
      <c r="A281" s="48" t="s">
        <v>587</v>
      </c>
      <c r="B281" s="48">
        <v>6</v>
      </c>
      <c r="C281" s="48" t="s">
        <v>4377</v>
      </c>
      <c r="D281" s="48" t="s">
        <v>4377</v>
      </c>
      <c r="E281" s="48" t="s">
        <v>4377</v>
      </c>
      <c r="F281" s="48" t="s">
        <v>4377</v>
      </c>
      <c r="G281" s="48" t="s">
        <v>4377</v>
      </c>
      <c r="H281" s="48" t="s">
        <v>4378</v>
      </c>
    </row>
    <row r="282" ht="24" customHeight="1" spans="1:8">
      <c r="A282" s="48" t="s">
        <v>589</v>
      </c>
      <c r="B282" s="48">
        <v>4</v>
      </c>
      <c r="C282" s="48" t="s">
        <v>4377</v>
      </c>
      <c r="D282" s="48" t="s">
        <v>4377</v>
      </c>
      <c r="E282" s="48" t="s">
        <v>4377</v>
      </c>
      <c r="F282" s="48" t="s">
        <v>4377</v>
      </c>
      <c r="G282" s="48" t="s">
        <v>4377</v>
      </c>
      <c r="H282" s="48" t="s">
        <v>4378</v>
      </c>
    </row>
    <row r="283" ht="24" customHeight="1" spans="1:8">
      <c r="A283" s="48" t="s">
        <v>591</v>
      </c>
      <c r="B283" s="48">
        <v>4</v>
      </c>
      <c r="C283" s="48" t="s">
        <v>4377</v>
      </c>
      <c r="D283" s="48" t="s">
        <v>4377</v>
      </c>
      <c r="E283" s="48" t="s">
        <v>4377</v>
      </c>
      <c r="F283" s="48" t="s">
        <v>4377</v>
      </c>
      <c r="G283" s="48" t="s">
        <v>4377</v>
      </c>
      <c r="H283" s="48" t="s">
        <v>4378</v>
      </c>
    </row>
    <row r="284" ht="24" customHeight="1" spans="1:8">
      <c r="A284" s="48" t="s">
        <v>593</v>
      </c>
      <c r="B284" s="48">
        <v>6</v>
      </c>
      <c r="C284" s="48" t="s">
        <v>4377</v>
      </c>
      <c r="D284" s="48" t="s">
        <v>4377</v>
      </c>
      <c r="E284" s="48" t="s">
        <v>4377</v>
      </c>
      <c r="F284" s="48" t="s">
        <v>4377</v>
      </c>
      <c r="G284" s="48" t="s">
        <v>4377</v>
      </c>
      <c r="H284" s="48" t="s">
        <v>4378</v>
      </c>
    </row>
    <row r="285" ht="24" customHeight="1" spans="1:8">
      <c r="A285" s="48" t="s">
        <v>595</v>
      </c>
      <c r="B285" s="48">
        <v>5</v>
      </c>
      <c r="C285" s="48" t="s">
        <v>4377</v>
      </c>
      <c r="D285" s="48" t="s">
        <v>4377</v>
      </c>
      <c r="E285" s="48" t="s">
        <v>4377</v>
      </c>
      <c r="F285" s="48" t="s">
        <v>4377</v>
      </c>
      <c r="G285" s="48" t="s">
        <v>4377</v>
      </c>
      <c r="H285" s="48" t="s">
        <v>4378</v>
      </c>
    </row>
    <row r="286" ht="24" customHeight="1" spans="1:8">
      <c r="A286" s="48" t="s">
        <v>597</v>
      </c>
      <c r="B286" s="48">
        <v>5</v>
      </c>
      <c r="C286" s="48" t="s">
        <v>4377</v>
      </c>
      <c r="D286" s="48" t="s">
        <v>4377</v>
      </c>
      <c r="E286" s="48" t="s">
        <v>4377</v>
      </c>
      <c r="F286" s="48" t="s">
        <v>4377</v>
      </c>
      <c r="G286" s="48" t="s">
        <v>4377</v>
      </c>
      <c r="H286" s="48" t="s">
        <v>4378</v>
      </c>
    </row>
    <row r="287" ht="24" customHeight="1" spans="1:8">
      <c r="A287" s="48" t="s">
        <v>599</v>
      </c>
      <c r="B287" s="48">
        <v>6</v>
      </c>
      <c r="C287" s="48" t="s">
        <v>4377</v>
      </c>
      <c r="D287" s="48" t="s">
        <v>4377</v>
      </c>
      <c r="E287" s="48" t="s">
        <v>4377</v>
      </c>
      <c r="F287" s="48" t="s">
        <v>4377</v>
      </c>
      <c r="G287" s="48" t="s">
        <v>4377</v>
      </c>
      <c r="H287" s="48" t="s">
        <v>4378</v>
      </c>
    </row>
    <row r="288" ht="24" customHeight="1" spans="1:8">
      <c r="A288" s="48" t="s">
        <v>601</v>
      </c>
      <c r="B288" s="48">
        <v>4</v>
      </c>
      <c r="C288" s="48" t="s">
        <v>4377</v>
      </c>
      <c r="D288" s="48" t="s">
        <v>4377</v>
      </c>
      <c r="E288" s="48" t="s">
        <v>4377</v>
      </c>
      <c r="F288" s="48" t="s">
        <v>4377</v>
      </c>
      <c r="G288" s="48" t="s">
        <v>4377</v>
      </c>
      <c r="H288" s="48" t="s">
        <v>4378</v>
      </c>
    </row>
    <row r="289" ht="24" customHeight="1" spans="1:8">
      <c r="A289" s="48" t="s">
        <v>603</v>
      </c>
      <c r="B289" s="48">
        <v>6</v>
      </c>
      <c r="C289" s="48" t="s">
        <v>4377</v>
      </c>
      <c r="D289" s="48" t="s">
        <v>4377</v>
      </c>
      <c r="E289" s="48" t="s">
        <v>4377</v>
      </c>
      <c r="F289" s="48" t="s">
        <v>4377</v>
      </c>
      <c r="G289" s="48" t="s">
        <v>4377</v>
      </c>
      <c r="H289" s="48" t="s">
        <v>4378</v>
      </c>
    </row>
    <row r="290" ht="24" customHeight="1" spans="1:8">
      <c r="A290" s="48" t="s">
        <v>605</v>
      </c>
      <c r="B290" s="48">
        <v>5</v>
      </c>
      <c r="C290" s="48" t="s">
        <v>4377</v>
      </c>
      <c r="D290" s="48" t="s">
        <v>4377</v>
      </c>
      <c r="E290" s="48" t="s">
        <v>4377</v>
      </c>
      <c r="F290" s="48" t="s">
        <v>4377</v>
      </c>
      <c r="G290" s="48" t="s">
        <v>4377</v>
      </c>
      <c r="H290" s="48" t="s">
        <v>4378</v>
      </c>
    </row>
    <row r="291" ht="24" customHeight="1" spans="1:8">
      <c r="A291" s="48" t="s">
        <v>607</v>
      </c>
      <c r="B291" s="48">
        <v>8</v>
      </c>
      <c r="C291" s="48" t="s">
        <v>4377</v>
      </c>
      <c r="D291" s="48" t="s">
        <v>4377</v>
      </c>
      <c r="E291" s="48" t="s">
        <v>4377</v>
      </c>
      <c r="F291" s="48" t="s">
        <v>4377</v>
      </c>
      <c r="G291" s="48" t="s">
        <v>4377</v>
      </c>
      <c r="H291" s="48" t="s">
        <v>4378</v>
      </c>
    </row>
    <row r="292" ht="24" customHeight="1" spans="1:8">
      <c r="A292" s="48" t="s">
        <v>609</v>
      </c>
      <c r="B292" s="48">
        <v>4</v>
      </c>
      <c r="C292" s="48" t="s">
        <v>4377</v>
      </c>
      <c r="D292" s="48" t="s">
        <v>4377</v>
      </c>
      <c r="E292" s="48" t="s">
        <v>4377</v>
      </c>
      <c r="F292" s="48" t="s">
        <v>4377</v>
      </c>
      <c r="G292" s="48" t="s">
        <v>4377</v>
      </c>
      <c r="H292" s="48" t="s">
        <v>4378</v>
      </c>
    </row>
    <row r="293" ht="24" customHeight="1" spans="1:8">
      <c r="A293" s="48" t="s">
        <v>611</v>
      </c>
      <c r="B293" s="48">
        <v>3</v>
      </c>
      <c r="C293" s="48" t="s">
        <v>4377</v>
      </c>
      <c r="D293" s="48" t="s">
        <v>4377</v>
      </c>
      <c r="E293" s="48" t="s">
        <v>4377</v>
      </c>
      <c r="F293" s="48" t="s">
        <v>4377</v>
      </c>
      <c r="G293" s="48" t="s">
        <v>4377</v>
      </c>
      <c r="H293" s="48" t="s">
        <v>4378</v>
      </c>
    </row>
    <row r="294" ht="24" customHeight="1" spans="1:8">
      <c r="A294" s="48" t="s">
        <v>613</v>
      </c>
      <c r="B294" s="48">
        <v>6</v>
      </c>
      <c r="C294" s="48" t="s">
        <v>4377</v>
      </c>
      <c r="D294" s="48" t="s">
        <v>4377</v>
      </c>
      <c r="E294" s="48" t="s">
        <v>4377</v>
      </c>
      <c r="F294" s="48" t="s">
        <v>4377</v>
      </c>
      <c r="G294" s="48" t="s">
        <v>4377</v>
      </c>
      <c r="H294" s="48" t="s">
        <v>4378</v>
      </c>
    </row>
    <row r="295" ht="24" customHeight="1" spans="1:8">
      <c r="A295" s="48" t="s">
        <v>615</v>
      </c>
      <c r="B295" s="48">
        <v>9</v>
      </c>
      <c r="C295" s="48" t="s">
        <v>4377</v>
      </c>
      <c r="D295" s="48" t="s">
        <v>4377</v>
      </c>
      <c r="E295" s="48" t="s">
        <v>4377</v>
      </c>
      <c r="F295" s="48" t="s">
        <v>4377</v>
      </c>
      <c r="G295" s="48" t="s">
        <v>4377</v>
      </c>
      <c r="H295" s="48" t="s">
        <v>4378</v>
      </c>
    </row>
    <row r="296" ht="24" customHeight="1" spans="1:8">
      <c r="A296" s="48" t="s">
        <v>617</v>
      </c>
      <c r="B296" s="48">
        <v>6</v>
      </c>
      <c r="C296" s="48" t="s">
        <v>4377</v>
      </c>
      <c r="D296" s="48" t="s">
        <v>4377</v>
      </c>
      <c r="E296" s="48" t="s">
        <v>4377</v>
      </c>
      <c r="F296" s="48" t="s">
        <v>4377</v>
      </c>
      <c r="G296" s="48" t="s">
        <v>4377</v>
      </c>
      <c r="H296" s="48" t="s">
        <v>4378</v>
      </c>
    </row>
    <row r="297" ht="24" customHeight="1" spans="1:8">
      <c r="A297" s="48" t="s">
        <v>619</v>
      </c>
      <c r="B297" s="48">
        <v>6</v>
      </c>
      <c r="C297" s="48" t="s">
        <v>4377</v>
      </c>
      <c r="D297" s="48" t="s">
        <v>4377</v>
      </c>
      <c r="E297" s="48" t="s">
        <v>4377</v>
      </c>
      <c r="F297" s="48" t="s">
        <v>4377</v>
      </c>
      <c r="G297" s="48" t="s">
        <v>4377</v>
      </c>
      <c r="H297" s="48" t="s">
        <v>4378</v>
      </c>
    </row>
    <row r="298" ht="24" customHeight="1" spans="1:8">
      <c r="A298" s="48" t="s">
        <v>621</v>
      </c>
      <c r="B298" s="48">
        <v>4</v>
      </c>
      <c r="C298" s="48" t="s">
        <v>4377</v>
      </c>
      <c r="D298" s="48" t="s">
        <v>4377</v>
      </c>
      <c r="E298" s="48" t="s">
        <v>4377</v>
      </c>
      <c r="F298" s="48" t="s">
        <v>4377</v>
      </c>
      <c r="G298" s="48" t="s">
        <v>4377</v>
      </c>
      <c r="H298" s="48" t="s">
        <v>4378</v>
      </c>
    </row>
    <row r="299" ht="24" customHeight="1" spans="1:8">
      <c r="A299" s="48" t="s">
        <v>623</v>
      </c>
      <c r="B299" s="48">
        <v>6</v>
      </c>
      <c r="C299" s="48" t="s">
        <v>4377</v>
      </c>
      <c r="D299" s="48" t="s">
        <v>4377</v>
      </c>
      <c r="E299" s="48" t="s">
        <v>4377</v>
      </c>
      <c r="F299" s="48" t="s">
        <v>4377</v>
      </c>
      <c r="G299" s="48" t="s">
        <v>4377</v>
      </c>
      <c r="H299" s="48" t="s">
        <v>4378</v>
      </c>
    </row>
    <row r="300" ht="24" customHeight="1" spans="1:8">
      <c r="A300" s="48" t="s">
        <v>625</v>
      </c>
      <c r="B300" s="48">
        <v>6</v>
      </c>
      <c r="C300" s="48" t="s">
        <v>4377</v>
      </c>
      <c r="D300" s="48" t="s">
        <v>4377</v>
      </c>
      <c r="E300" s="48" t="s">
        <v>4377</v>
      </c>
      <c r="F300" s="48" t="s">
        <v>4377</v>
      </c>
      <c r="G300" s="48" t="s">
        <v>4377</v>
      </c>
      <c r="H300" s="48" t="s">
        <v>4378</v>
      </c>
    </row>
    <row r="301" ht="24" customHeight="1" spans="1:8">
      <c r="A301" s="48" t="s">
        <v>627</v>
      </c>
      <c r="B301" s="48">
        <v>5</v>
      </c>
      <c r="C301" s="48" t="s">
        <v>4377</v>
      </c>
      <c r="D301" s="48" t="s">
        <v>4377</v>
      </c>
      <c r="E301" s="48" t="s">
        <v>4377</v>
      </c>
      <c r="F301" s="48" t="s">
        <v>4377</v>
      </c>
      <c r="G301" s="48" t="s">
        <v>4377</v>
      </c>
      <c r="H301" s="48" t="s">
        <v>4378</v>
      </c>
    </row>
    <row r="302" ht="24" customHeight="1" spans="1:8">
      <c r="A302" s="48" t="s">
        <v>629</v>
      </c>
      <c r="B302" s="48">
        <v>4</v>
      </c>
      <c r="C302" s="48" t="s">
        <v>4377</v>
      </c>
      <c r="D302" s="48" t="s">
        <v>4377</v>
      </c>
      <c r="E302" s="48" t="s">
        <v>4377</v>
      </c>
      <c r="F302" s="48" t="s">
        <v>4377</v>
      </c>
      <c r="G302" s="48" t="s">
        <v>4377</v>
      </c>
      <c r="H302" s="48" t="s">
        <v>4378</v>
      </c>
    </row>
    <row r="303" ht="24" customHeight="1" spans="1:8">
      <c r="A303" s="48" t="s">
        <v>631</v>
      </c>
      <c r="B303" s="48">
        <v>4</v>
      </c>
      <c r="C303" s="48" t="s">
        <v>4377</v>
      </c>
      <c r="D303" s="48" t="s">
        <v>4377</v>
      </c>
      <c r="E303" s="48" t="s">
        <v>4377</v>
      </c>
      <c r="F303" s="48" t="s">
        <v>4377</v>
      </c>
      <c r="G303" s="48" t="s">
        <v>4377</v>
      </c>
      <c r="H303" s="48" t="s">
        <v>4378</v>
      </c>
    </row>
    <row r="304" ht="24" customHeight="1" spans="1:8">
      <c r="A304" s="48" t="s">
        <v>633</v>
      </c>
      <c r="B304" s="48">
        <v>5</v>
      </c>
      <c r="C304" s="48" t="s">
        <v>4377</v>
      </c>
      <c r="D304" s="48" t="s">
        <v>4377</v>
      </c>
      <c r="E304" s="48" t="s">
        <v>4377</v>
      </c>
      <c r="F304" s="48" t="s">
        <v>4377</v>
      </c>
      <c r="G304" s="48" t="s">
        <v>4377</v>
      </c>
      <c r="H304" s="48" t="s">
        <v>4378</v>
      </c>
    </row>
    <row r="305" ht="24" customHeight="1" spans="1:8">
      <c r="A305" s="48" t="s">
        <v>635</v>
      </c>
      <c r="B305" s="48">
        <v>8</v>
      </c>
      <c r="C305" s="48" t="s">
        <v>4377</v>
      </c>
      <c r="D305" s="48" t="s">
        <v>4377</v>
      </c>
      <c r="E305" s="48" t="s">
        <v>4377</v>
      </c>
      <c r="F305" s="48" t="s">
        <v>4377</v>
      </c>
      <c r="G305" s="48" t="s">
        <v>4377</v>
      </c>
      <c r="H305" s="48" t="s">
        <v>4378</v>
      </c>
    </row>
    <row r="306" ht="24" customHeight="1" spans="1:8">
      <c r="A306" s="48" t="s">
        <v>637</v>
      </c>
      <c r="B306" s="48">
        <v>2</v>
      </c>
      <c r="C306" s="48" t="s">
        <v>4377</v>
      </c>
      <c r="D306" s="48" t="s">
        <v>4377</v>
      </c>
      <c r="E306" s="48" t="s">
        <v>4377</v>
      </c>
      <c r="F306" s="48" t="s">
        <v>4377</v>
      </c>
      <c r="G306" s="48" t="s">
        <v>4377</v>
      </c>
      <c r="H306" s="48" t="s">
        <v>4378</v>
      </c>
    </row>
    <row r="307" ht="24" customHeight="1" spans="1:8">
      <c r="A307" s="48" t="s">
        <v>639</v>
      </c>
      <c r="B307" s="48">
        <v>12</v>
      </c>
      <c r="C307" s="48" t="s">
        <v>4377</v>
      </c>
      <c r="D307" s="48" t="s">
        <v>4377</v>
      </c>
      <c r="E307" s="48" t="s">
        <v>4377</v>
      </c>
      <c r="F307" s="48" t="s">
        <v>4377</v>
      </c>
      <c r="G307" s="48" t="s">
        <v>4377</v>
      </c>
      <c r="H307" s="48" t="s">
        <v>4379</v>
      </c>
    </row>
    <row r="308" ht="24" customHeight="1" spans="1:8">
      <c r="A308" s="48" t="s">
        <v>641</v>
      </c>
      <c r="B308" s="48">
        <v>6</v>
      </c>
      <c r="C308" s="48" t="s">
        <v>4377</v>
      </c>
      <c r="D308" s="48" t="s">
        <v>4377</v>
      </c>
      <c r="E308" s="48" t="s">
        <v>4377</v>
      </c>
      <c r="F308" s="48" t="s">
        <v>4377</v>
      </c>
      <c r="G308" s="48" t="s">
        <v>4377</v>
      </c>
      <c r="H308" s="48" t="s">
        <v>4378</v>
      </c>
    </row>
    <row r="309" ht="24" customHeight="1" spans="1:8">
      <c r="A309" s="48" t="s">
        <v>643</v>
      </c>
      <c r="B309" s="48">
        <v>8</v>
      </c>
      <c r="C309" s="48" t="s">
        <v>4377</v>
      </c>
      <c r="D309" s="48" t="s">
        <v>4377</v>
      </c>
      <c r="E309" s="48" t="s">
        <v>4377</v>
      </c>
      <c r="F309" s="48" t="s">
        <v>4377</v>
      </c>
      <c r="G309" s="48" t="s">
        <v>4377</v>
      </c>
      <c r="H309" s="48" t="s">
        <v>4378</v>
      </c>
    </row>
    <row r="310" ht="24" customHeight="1" spans="1:8">
      <c r="A310" s="48" t="s">
        <v>645</v>
      </c>
      <c r="B310" s="48">
        <v>4</v>
      </c>
      <c r="C310" s="48" t="s">
        <v>4377</v>
      </c>
      <c r="D310" s="48" t="s">
        <v>4377</v>
      </c>
      <c r="E310" s="48" t="s">
        <v>4377</v>
      </c>
      <c r="F310" s="48" t="s">
        <v>4377</v>
      </c>
      <c r="G310" s="48" t="s">
        <v>4377</v>
      </c>
      <c r="H310" s="48" t="s">
        <v>4378</v>
      </c>
    </row>
    <row r="311" ht="24" customHeight="1" spans="1:8">
      <c r="A311" s="48" t="s">
        <v>647</v>
      </c>
      <c r="B311" s="48">
        <v>3</v>
      </c>
      <c r="C311" s="48" t="s">
        <v>4377</v>
      </c>
      <c r="D311" s="48" t="s">
        <v>4377</v>
      </c>
      <c r="E311" s="48" t="s">
        <v>4377</v>
      </c>
      <c r="F311" s="48" t="s">
        <v>4377</v>
      </c>
      <c r="G311" s="48" t="s">
        <v>4377</v>
      </c>
      <c r="H311" s="48" t="s">
        <v>4378</v>
      </c>
    </row>
    <row r="312" ht="24" customHeight="1" spans="1:8">
      <c r="A312" s="48" t="s">
        <v>649</v>
      </c>
      <c r="B312" s="48">
        <v>6</v>
      </c>
      <c r="C312" s="48" t="s">
        <v>4377</v>
      </c>
      <c r="D312" s="48" t="s">
        <v>4377</v>
      </c>
      <c r="E312" s="48" t="s">
        <v>4377</v>
      </c>
      <c r="F312" s="48" t="s">
        <v>4377</v>
      </c>
      <c r="G312" s="48" t="s">
        <v>4377</v>
      </c>
      <c r="H312" s="48" t="s">
        <v>4378</v>
      </c>
    </row>
    <row r="313" ht="24" customHeight="1" spans="1:8">
      <c r="A313" s="48" t="s">
        <v>651</v>
      </c>
      <c r="B313" s="48">
        <v>4</v>
      </c>
      <c r="C313" s="48" t="s">
        <v>4377</v>
      </c>
      <c r="D313" s="48" t="s">
        <v>4377</v>
      </c>
      <c r="E313" s="48" t="s">
        <v>4377</v>
      </c>
      <c r="F313" s="48" t="s">
        <v>4377</v>
      </c>
      <c r="G313" s="48" t="s">
        <v>4377</v>
      </c>
      <c r="H313" s="48" t="s">
        <v>4378</v>
      </c>
    </row>
    <row r="314" ht="24" customHeight="1" spans="1:8">
      <c r="A314" s="48" t="s">
        <v>653</v>
      </c>
      <c r="B314" s="48">
        <v>9</v>
      </c>
      <c r="C314" s="48" t="s">
        <v>4377</v>
      </c>
      <c r="D314" s="48" t="s">
        <v>4377</v>
      </c>
      <c r="E314" s="48" t="s">
        <v>4377</v>
      </c>
      <c r="F314" s="48" t="s">
        <v>4377</v>
      </c>
      <c r="G314" s="48" t="s">
        <v>4377</v>
      </c>
      <c r="H314" s="48" t="s">
        <v>4378</v>
      </c>
    </row>
    <row r="315" ht="24" customHeight="1" spans="1:8">
      <c r="A315" s="48" t="s">
        <v>655</v>
      </c>
      <c r="B315" s="48">
        <v>7</v>
      </c>
      <c r="C315" s="48" t="s">
        <v>4377</v>
      </c>
      <c r="D315" s="48" t="s">
        <v>4377</v>
      </c>
      <c r="E315" s="48" t="s">
        <v>4377</v>
      </c>
      <c r="F315" s="48" t="s">
        <v>4377</v>
      </c>
      <c r="G315" s="48" t="s">
        <v>4377</v>
      </c>
      <c r="H315" s="48" t="s">
        <v>4378</v>
      </c>
    </row>
    <row r="316" ht="24" customHeight="1" spans="1:8">
      <c r="A316" s="48" t="s">
        <v>657</v>
      </c>
      <c r="B316" s="48">
        <v>8</v>
      </c>
      <c r="C316" s="48" t="s">
        <v>4377</v>
      </c>
      <c r="D316" s="48" t="s">
        <v>4377</v>
      </c>
      <c r="E316" s="48" t="s">
        <v>4377</v>
      </c>
      <c r="F316" s="48" t="s">
        <v>4377</v>
      </c>
      <c r="G316" s="48" t="s">
        <v>4377</v>
      </c>
      <c r="H316" s="48" t="s">
        <v>4378</v>
      </c>
    </row>
    <row r="317" ht="24" customHeight="1" spans="1:8">
      <c r="A317" s="48" t="s">
        <v>659</v>
      </c>
      <c r="B317" s="48">
        <v>7</v>
      </c>
      <c r="C317" s="48" t="s">
        <v>4377</v>
      </c>
      <c r="D317" s="48" t="s">
        <v>4377</v>
      </c>
      <c r="E317" s="48" t="s">
        <v>4377</v>
      </c>
      <c r="F317" s="48" t="s">
        <v>4377</v>
      </c>
      <c r="G317" s="48" t="s">
        <v>4377</v>
      </c>
      <c r="H317" s="48" t="s">
        <v>4378</v>
      </c>
    </row>
    <row r="318" ht="24" customHeight="1" spans="1:8">
      <c r="A318" s="48" t="s">
        <v>661</v>
      </c>
      <c r="B318" s="48">
        <v>5</v>
      </c>
      <c r="C318" s="48" t="s">
        <v>4377</v>
      </c>
      <c r="D318" s="48" t="s">
        <v>4377</v>
      </c>
      <c r="E318" s="48" t="s">
        <v>4377</v>
      </c>
      <c r="F318" s="48" t="s">
        <v>4377</v>
      </c>
      <c r="G318" s="48" t="s">
        <v>4377</v>
      </c>
      <c r="H318" s="48" t="s">
        <v>4378</v>
      </c>
    </row>
    <row r="319" ht="24" customHeight="1" spans="1:8">
      <c r="A319" s="48" t="s">
        <v>663</v>
      </c>
      <c r="B319" s="48">
        <v>7</v>
      </c>
      <c r="C319" s="48" t="s">
        <v>4377</v>
      </c>
      <c r="D319" s="48" t="s">
        <v>4377</v>
      </c>
      <c r="E319" s="48" t="s">
        <v>4377</v>
      </c>
      <c r="F319" s="48" t="s">
        <v>4377</v>
      </c>
      <c r="G319" s="48" t="s">
        <v>4377</v>
      </c>
      <c r="H319" s="48" t="s">
        <v>4378</v>
      </c>
    </row>
    <row r="320" ht="24" customHeight="1" spans="1:8">
      <c r="A320" s="48" t="s">
        <v>665</v>
      </c>
      <c r="B320" s="48">
        <v>4</v>
      </c>
      <c r="C320" s="48" t="s">
        <v>4377</v>
      </c>
      <c r="D320" s="48" t="s">
        <v>4377</v>
      </c>
      <c r="E320" s="48" t="s">
        <v>4377</v>
      </c>
      <c r="F320" s="48" t="s">
        <v>4377</v>
      </c>
      <c r="G320" s="48" t="s">
        <v>4377</v>
      </c>
      <c r="H320" s="48" t="s">
        <v>4378</v>
      </c>
    </row>
    <row r="321" ht="24" customHeight="1" spans="1:8">
      <c r="A321" s="48" t="s">
        <v>667</v>
      </c>
      <c r="B321" s="48">
        <v>4</v>
      </c>
      <c r="C321" s="48" t="s">
        <v>4377</v>
      </c>
      <c r="D321" s="48" t="s">
        <v>4377</v>
      </c>
      <c r="E321" s="48" t="s">
        <v>4377</v>
      </c>
      <c r="F321" s="48" t="s">
        <v>4377</v>
      </c>
      <c r="G321" s="48" t="s">
        <v>4377</v>
      </c>
      <c r="H321" s="48" t="s">
        <v>4378</v>
      </c>
    </row>
    <row r="322" ht="24" customHeight="1" spans="1:8">
      <c r="A322" s="48" t="s">
        <v>669</v>
      </c>
      <c r="B322" s="48">
        <v>2</v>
      </c>
      <c r="C322" s="48" t="s">
        <v>4377</v>
      </c>
      <c r="D322" s="48" t="s">
        <v>4377</v>
      </c>
      <c r="E322" s="48" t="s">
        <v>4377</v>
      </c>
      <c r="F322" s="48" t="s">
        <v>4377</v>
      </c>
      <c r="G322" s="48" t="s">
        <v>4377</v>
      </c>
      <c r="H322" s="48" t="s">
        <v>4378</v>
      </c>
    </row>
    <row r="323" ht="24" customHeight="1" spans="1:8">
      <c r="A323" s="48" t="s">
        <v>671</v>
      </c>
      <c r="B323" s="48">
        <v>2</v>
      </c>
      <c r="C323" s="48" t="s">
        <v>4377</v>
      </c>
      <c r="D323" s="48" t="s">
        <v>4377</v>
      </c>
      <c r="E323" s="48" t="s">
        <v>4377</v>
      </c>
      <c r="F323" s="48" t="s">
        <v>4377</v>
      </c>
      <c r="G323" s="48" t="s">
        <v>4377</v>
      </c>
      <c r="H323" s="48" t="s">
        <v>4378</v>
      </c>
    </row>
    <row r="324" ht="24" customHeight="1" spans="1:8">
      <c r="A324" s="48" t="s">
        <v>673</v>
      </c>
      <c r="B324" s="48">
        <v>10</v>
      </c>
      <c r="C324" s="48" t="s">
        <v>4377</v>
      </c>
      <c r="D324" s="48" t="s">
        <v>4377</v>
      </c>
      <c r="E324" s="48" t="s">
        <v>4377</v>
      </c>
      <c r="F324" s="48" t="s">
        <v>4377</v>
      </c>
      <c r="G324" s="48" t="s">
        <v>4377</v>
      </c>
      <c r="H324" s="48" t="s">
        <v>4379</v>
      </c>
    </row>
    <row r="325" ht="24" customHeight="1" spans="1:8">
      <c r="A325" s="48" t="s">
        <v>675</v>
      </c>
      <c r="B325" s="48">
        <v>4</v>
      </c>
      <c r="C325" s="48" t="s">
        <v>4377</v>
      </c>
      <c r="D325" s="48" t="s">
        <v>4377</v>
      </c>
      <c r="E325" s="48" t="s">
        <v>4377</v>
      </c>
      <c r="F325" s="48" t="s">
        <v>4377</v>
      </c>
      <c r="G325" s="48" t="s">
        <v>4377</v>
      </c>
      <c r="H325" s="48" t="s">
        <v>4378</v>
      </c>
    </row>
    <row r="326" ht="24" customHeight="1" spans="1:8">
      <c r="A326" s="48" t="s">
        <v>677</v>
      </c>
      <c r="B326" s="48">
        <v>7</v>
      </c>
      <c r="C326" s="48" t="s">
        <v>4377</v>
      </c>
      <c r="D326" s="48" t="s">
        <v>4377</v>
      </c>
      <c r="E326" s="48" t="s">
        <v>4377</v>
      </c>
      <c r="F326" s="48" t="s">
        <v>4377</v>
      </c>
      <c r="G326" s="48" t="s">
        <v>4377</v>
      </c>
      <c r="H326" s="48" t="s">
        <v>4378</v>
      </c>
    </row>
    <row r="327" ht="24" customHeight="1" spans="1:8">
      <c r="A327" s="48" t="s">
        <v>679</v>
      </c>
      <c r="B327" s="48">
        <v>6</v>
      </c>
      <c r="C327" s="48" t="s">
        <v>4377</v>
      </c>
      <c r="D327" s="48" t="s">
        <v>4377</v>
      </c>
      <c r="E327" s="48" t="s">
        <v>4377</v>
      </c>
      <c r="F327" s="48" t="s">
        <v>4377</v>
      </c>
      <c r="G327" s="48" t="s">
        <v>4377</v>
      </c>
      <c r="H327" s="48" t="s">
        <v>4378</v>
      </c>
    </row>
    <row r="328" ht="24" customHeight="1" spans="1:8">
      <c r="A328" s="48" t="s">
        <v>681</v>
      </c>
      <c r="B328" s="48">
        <v>8</v>
      </c>
      <c r="C328" s="48" t="s">
        <v>4377</v>
      </c>
      <c r="D328" s="48" t="s">
        <v>4377</v>
      </c>
      <c r="E328" s="48" t="s">
        <v>4377</v>
      </c>
      <c r="F328" s="48" t="s">
        <v>4377</v>
      </c>
      <c r="G328" s="48" t="s">
        <v>4377</v>
      </c>
      <c r="H328" s="48" t="s">
        <v>4378</v>
      </c>
    </row>
    <row r="329" ht="24" customHeight="1" spans="1:8">
      <c r="A329" s="48" t="s">
        <v>683</v>
      </c>
      <c r="B329" s="48">
        <v>5</v>
      </c>
      <c r="C329" s="48" t="s">
        <v>4377</v>
      </c>
      <c r="D329" s="48" t="s">
        <v>4377</v>
      </c>
      <c r="E329" s="48" t="s">
        <v>4377</v>
      </c>
      <c r="F329" s="48" t="s">
        <v>4377</v>
      </c>
      <c r="G329" s="48" t="s">
        <v>4377</v>
      </c>
      <c r="H329" s="48" t="s">
        <v>4378</v>
      </c>
    </row>
    <row r="330" ht="24" customHeight="1" spans="1:8">
      <c r="A330" s="48" t="s">
        <v>685</v>
      </c>
      <c r="B330" s="48">
        <v>10</v>
      </c>
      <c r="C330" s="48" t="s">
        <v>4377</v>
      </c>
      <c r="D330" s="48" t="s">
        <v>4377</v>
      </c>
      <c r="E330" s="48" t="s">
        <v>4377</v>
      </c>
      <c r="F330" s="48" t="s">
        <v>4377</v>
      </c>
      <c r="G330" s="48" t="s">
        <v>4377</v>
      </c>
      <c r="H330" s="48" t="s">
        <v>4379</v>
      </c>
    </row>
    <row r="331" ht="24" customHeight="1" spans="1:8">
      <c r="A331" s="48" t="s">
        <v>687</v>
      </c>
      <c r="B331" s="48">
        <v>7</v>
      </c>
      <c r="C331" s="48" t="s">
        <v>4377</v>
      </c>
      <c r="D331" s="48" t="s">
        <v>4377</v>
      </c>
      <c r="E331" s="48" t="s">
        <v>4377</v>
      </c>
      <c r="F331" s="48" t="s">
        <v>4377</v>
      </c>
      <c r="G331" s="48" t="s">
        <v>4377</v>
      </c>
      <c r="H331" s="48" t="s">
        <v>4378</v>
      </c>
    </row>
    <row r="332" ht="24" customHeight="1" spans="1:8">
      <c r="A332" s="48" t="s">
        <v>689</v>
      </c>
      <c r="B332" s="48">
        <v>8</v>
      </c>
      <c r="C332" s="48" t="s">
        <v>4377</v>
      </c>
      <c r="D332" s="48" t="s">
        <v>4377</v>
      </c>
      <c r="E332" s="48" t="s">
        <v>4377</v>
      </c>
      <c r="F332" s="48" t="s">
        <v>4377</v>
      </c>
      <c r="G332" s="48" t="s">
        <v>4377</v>
      </c>
      <c r="H332" s="48" t="s">
        <v>4378</v>
      </c>
    </row>
    <row r="333" ht="24" customHeight="1" spans="1:8">
      <c r="A333" s="48" t="s">
        <v>691</v>
      </c>
      <c r="B333" s="48">
        <v>6</v>
      </c>
      <c r="C333" s="48" t="s">
        <v>4377</v>
      </c>
      <c r="D333" s="48" t="s">
        <v>4377</v>
      </c>
      <c r="E333" s="48" t="s">
        <v>4377</v>
      </c>
      <c r="F333" s="48" t="s">
        <v>4377</v>
      </c>
      <c r="G333" s="48" t="s">
        <v>4377</v>
      </c>
      <c r="H333" s="48" t="s">
        <v>4378</v>
      </c>
    </row>
    <row r="334" ht="24" customHeight="1" spans="1:8">
      <c r="A334" s="48" t="s">
        <v>693</v>
      </c>
      <c r="B334" s="48">
        <v>8</v>
      </c>
      <c r="C334" s="48" t="s">
        <v>4377</v>
      </c>
      <c r="D334" s="48" t="s">
        <v>4377</v>
      </c>
      <c r="E334" s="48" t="s">
        <v>4377</v>
      </c>
      <c r="F334" s="48" t="s">
        <v>4377</v>
      </c>
      <c r="G334" s="48" t="s">
        <v>4377</v>
      </c>
      <c r="H334" s="48" t="s">
        <v>4378</v>
      </c>
    </row>
    <row r="335" ht="24" customHeight="1" spans="1:8">
      <c r="A335" s="48" t="s">
        <v>695</v>
      </c>
      <c r="B335" s="48">
        <v>8</v>
      </c>
      <c r="C335" s="48" t="s">
        <v>4377</v>
      </c>
      <c r="D335" s="48" t="s">
        <v>4377</v>
      </c>
      <c r="E335" s="48" t="s">
        <v>4377</v>
      </c>
      <c r="F335" s="48" t="s">
        <v>4377</v>
      </c>
      <c r="G335" s="48" t="s">
        <v>4377</v>
      </c>
      <c r="H335" s="48" t="s">
        <v>4378</v>
      </c>
    </row>
    <row r="336" ht="24" customHeight="1" spans="1:8">
      <c r="A336" s="48" t="s">
        <v>697</v>
      </c>
      <c r="B336" s="48">
        <v>8</v>
      </c>
      <c r="C336" s="48" t="s">
        <v>4377</v>
      </c>
      <c r="D336" s="48" t="s">
        <v>4377</v>
      </c>
      <c r="E336" s="48" t="s">
        <v>4377</v>
      </c>
      <c r="F336" s="48" t="s">
        <v>4377</v>
      </c>
      <c r="G336" s="48" t="s">
        <v>4377</v>
      </c>
      <c r="H336" s="48" t="s">
        <v>4378</v>
      </c>
    </row>
    <row r="337" ht="24" customHeight="1" spans="1:8">
      <c r="A337" s="48" t="s">
        <v>699</v>
      </c>
      <c r="B337" s="48">
        <v>8</v>
      </c>
      <c r="C337" s="48" t="s">
        <v>4377</v>
      </c>
      <c r="D337" s="48" t="s">
        <v>4377</v>
      </c>
      <c r="E337" s="48" t="s">
        <v>4377</v>
      </c>
      <c r="F337" s="48" t="s">
        <v>4377</v>
      </c>
      <c r="G337" s="48" t="s">
        <v>4377</v>
      </c>
      <c r="H337" s="48" t="s">
        <v>4378</v>
      </c>
    </row>
    <row r="338" ht="24" customHeight="1" spans="1:8">
      <c r="A338" s="48" t="s">
        <v>701</v>
      </c>
      <c r="B338" s="48">
        <v>8</v>
      </c>
      <c r="C338" s="48" t="s">
        <v>4377</v>
      </c>
      <c r="D338" s="48" t="s">
        <v>4377</v>
      </c>
      <c r="E338" s="48" t="s">
        <v>4377</v>
      </c>
      <c r="F338" s="48" t="s">
        <v>4377</v>
      </c>
      <c r="G338" s="48" t="s">
        <v>4377</v>
      </c>
      <c r="H338" s="48" t="s">
        <v>4378</v>
      </c>
    </row>
    <row r="339" ht="24" customHeight="1" spans="1:8">
      <c r="A339" s="48" t="s">
        <v>703</v>
      </c>
      <c r="B339" s="48">
        <v>2</v>
      </c>
      <c r="C339" s="48" t="s">
        <v>4377</v>
      </c>
      <c r="D339" s="48" t="s">
        <v>4377</v>
      </c>
      <c r="E339" s="48" t="s">
        <v>4377</v>
      </c>
      <c r="F339" s="48" t="s">
        <v>4377</v>
      </c>
      <c r="G339" s="48" t="s">
        <v>4377</v>
      </c>
      <c r="H339" s="48" t="s">
        <v>4378</v>
      </c>
    </row>
    <row r="340" ht="24" customHeight="1" spans="1:8">
      <c r="A340" s="48" t="s">
        <v>705</v>
      </c>
      <c r="B340" s="48">
        <v>6</v>
      </c>
      <c r="C340" s="48" t="s">
        <v>4377</v>
      </c>
      <c r="D340" s="48" t="s">
        <v>4377</v>
      </c>
      <c r="E340" s="48" t="s">
        <v>4377</v>
      </c>
      <c r="F340" s="48" t="s">
        <v>4377</v>
      </c>
      <c r="G340" s="48" t="s">
        <v>4377</v>
      </c>
      <c r="H340" s="48" t="s">
        <v>4378</v>
      </c>
    </row>
    <row r="341" ht="24" customHeight="1" spans="1:8">
      <c r="A341" s="48" t="s">
        <v>707</v>
      </c>
      <c r="B341" s="48">
        <v>4</v>
      </c>
      <c r="C341" s="48" t="s">
        <v>4377</v>
      </c>
      <c r="D341" s="48" t="s">
        <v>4377</v>
      </c>
      <c r="E341" s="48" t="s">
        <v>4377</v>
      </c>
      <c r="F341" s="48" t="s">
        <v>4377</v>
      </c>
      <c r="G341" s="48" t="s">
        <v>4377</v>
      </c>
      <c r="H341" s="48" t="s">
        <v>4378</v>
      </c>
    </row>
    <row r="342" ht="24" customHeight="1" spans="1:8">
      <c r="A342" s="48" t="s">
        <v>709</v>
      </c>
      <c r="B342" s="48">
        <v>6</v>
      </c>
      <c r="C342" s="48" t="s">
        <v>4377</v>
      </c>
      <c r="D342" s="48" t="s">
        <v>4377</v>
      </c>
      <c r="E342" s="48" t="s">
        <v>4377</v>
      </c>
      <c r="F342" s="48" t="s">
        <v>4377</v>
      </c>
      <c r="G342" s="48" t="s">
        <v>4377</v>
      </c>
      <c r="H342" s="48" t="s">
        <v>4378</v>
      </c>
    </row>
    <row r="343" ht="24" customHeight="1" spans="1:8">
      <c r="A343" s="48" t="s">
        <v>711</v>
      </c>
      <c r="B343" s="48">
        <v>4</v>
      </c>
      <c r="C343" s="48" t="s">
        <v>4377</v>
      </c>
      <c r="D343" s="48" t="s">
        <v>4377</v>
      </c>
      <c r="E343" s="48" t="s">
        <v>4377</v>
      </c>
      <c r="F343" s="48" t="s">
        <v>4377</v>
      </c>
      <c r="G343" s="48" t="s">
        <v>4377</v>
      </c>
      <c r="H343" s="48" t="s">
        <v>4378</v>
      </c>
    </row>
    <row r="344" ht="24" customHeight="1" spans="1:8">
      <c r="A344" s="48" t="s">
        <v>713</v>
      </c>
      <c r="B344" s="48">
        <v>2</v>
      </c>
      <c r="C344" s="48" t="s">
        <v>4377</v>
      </c>
      <c r="D344" s="48" t="s">
        <v>4377</v>
      </c>
      <c r="E344" s="48" t="s">
        <v>4377</v>
      </c>
      <c r="F344" s="48" t="s">
        <v>4377</v>
      </c>
      <c r="G344" s="48" t="s">
        <v>4377</v>
      </c>
      <c r="H344" s="48" t="s">
        <v>4378</v>
      </c>
    </row>
    <row r="345" ht="24" customHeight="1" spans="1:8">
      <c r="A345" s="48" t="s">
        <v>715</v>
      </c>
      <c r="B345" s="48">
        <v>3</v>
      </c>
      <c r="C345" s="48" t="s">
        <v>4377</v>
      </c>
      <c r="D345" s="48" t="s">
        <v>4377</v>
      </c>
      <c r="E345" s="48" t="s">
        <v>4377</v>
      </c>
      <c r="F345" s="48" t="s">
        <v>4377</v>
      </c>
      <c r="G345" s="48" t="s">
        <v>4377</v>
      </c>
      <c r="H345" s="48" t="s">
        <v>4378</v>
      </c>
    </row>
    <row r="346" ht="24" customHeight="1" spans="1:8">
      <c r="A346" s="48" t="s">
        <v>717</v>
      </c>
      <c r="B346" s="48">
        <v>5</v>
      </c>
      <c r="C346" s="48" t="s">
        <v>4377</v>
      </c>
      <c r="D346" s="48" t="s">
        <v>4377</v>
      </c>
      <c r="E346" s="48" t="s">
        <v>4377</v>
      </c>
      <c r="F346" s="48" t="s">
        <v>4377</v>
      </c>
      <c r="G346" s="48" t="s">
        <v>4377</v>
      </c>
      <c r="H346" s="48" t="s">
        <v>4378</v>
      </c>
    </row>
    <row r="347" ht="24" customHeight="1" spans="1:8">
      <c r="A347" s="48" t="s">
        <v>719</v>
      </c>
      <c r="B347" s="48">
        <v>2</v>
      </c>
      <c r="C347" s="48" t="s">
        <v>4377</v>
      </c>
      <c r="D347" s="48" t="s">
        <v>4377</v>
      </c>
      <c r="E347" s="48" t="s">
        <v>4377</v>
      </c>
      <c r="F347" s="48" t="s">
        <v>4377</v>
      </c>
      <c r="G347" s="48" t="s">
        <v>4377</v>
      </c>
      <c r="H347" s="48" t="s">
        <v>4378</v>
      </c>
    </row>
    <row r="348" ht="24" customHeight="1" spans="1:8">
      <c r="A348" s="48" t="s">
        <v>721</v>
      </c>
      <c r="B348" s="48">
        <v>2</v>
      </c>
      <c r="C348" s="48" t="s">
        <v>4377</v>
      </c>
      <c r="D348" s="48" t="s">
        <v>4377</v>
      </c>
      <c r="E348" s="48" t="s">
        <v>4377</v>
      </c>
      <c r="F348" s="48" t="s">
        <v>4377</v>
      </c>
      <c r="G348" s="48" t="s">
        <v>4377</v>
      </c>
      <c r="H348" s="48" t="s">
        <v>4378</v>
      </c>
    </row>
    <row r="349" ht="24" customHeight="1" spans="1:8">
      <c r="A349" s="48" t="s">
        <v>723</v>
      </c>
      <c r="B349" s="48">
        <v>12</v>
      </c>
      <c r="C349" s="48" t="s">
        <v>4377</v>
      </c>
      <c r="D349" s="48" t="s">
        <v>4377</v>
      </c>
      <c r="E349" s="48" t="s">
        <v>4377</v>
      </c>
      <c r="F349" s="48" t="s">
        <v>4377</v>
      </c>
      <c r="G349" s="48" t="s">
        <v>4377</v>
      </c>
      <c r="H349" s="48" t="s">
        <v>4379</v>
      </c>
    </row>
    <row r="350" ht="24" customHeight="1" spans="1:8">
      <c r="A350" s="48" t="s">
        <v>725</v>
      </c>
      <c r="B350" s="48">
        <v>4</v>
      </c>
      <c r="C350" s="48" t="s">
        <v>4377</v>
      </c>
      <c r="D350" s="48" t="s">
        <v>4377</v>
      </c>
      <c r="E350" s="48" t="s">
        <v>4377</v>
      </c>
      <c r="F350" s="48" t="s">
        <v>4377</v>
      </c>
      <c r="G350" s="48" t="s">
        <v>4377</v>
      </c>
      <c r="H350" s="48" t="s">
        <v>4378</v>
      </c>
    </row>
    <row r="351" ht="24" customHeight="1" spans="1:8">
      <c r="A351" s="48" t="s">
        <v>727</v>
      </c>
      <c r="B351" s="48">
        <v>6</v>
      </c>
      <c r="C351" s="48" t="s">
        <v>4377</v>
      </c>
      <c r="D351" s="48" t="s">
        <v>4377</v>
      </c>
      <c r="E351" s="48" t="s">
        <v>4377</v>
      </c>
      <c r="F351" s="48" t="s">
        <v>4377</v>
      </c>
      <c r="G351" s="48" t="s">
        <v>4377</v>
      </c>
      <c r="H351" s="48" t="s">
        <v>4378</v>
      </c>
    </row>
    <row r="352" ht="24" customHeight="1" spans="1:8">
      <c r="A352" s="48" t="s">
        <v>729</v>
      </c>
      <c r="B352" s="48">
        <v>4</v>
      </c>
      <c r="C352" s="48" t="s">
        <v>4377</v>
      </c>
      <c r="D352" s="48" t="s">
        <v>4377</v>
      </c>
      <c r="E352" s="48" t="s">
        <v>4377</v>
      </c>
      <c r="F352" s="48" t="s">
        <v>4377</v>
      </c>
      <c r="G352" s="48" t="s">
        <v>4377</v>
      </c>
      <c r="H352" s="48" t="s">
        <v>4378</v>
      </c>
    </row>
    <row r="353" ht="24" customHeight="1" spans="1:8">
      <c r="A353" s="48" t="s">
        <v>731</v>
      </c>
      <c r="B353" s="48">
        <v>2</v>
      </c>
      <c r="C353" s="48" t="s">
        <v>4377</v>
      </c>
      <c r="D353" s="48" t="s">
        <v>4377</v>
      </c>
      <c r="E353" s="48" t="s">
        <v>4377</v>
      </c>
      <c r="F353" s="48" t="s">
        <v>4377</v>
      </c>
      <c r="G353" s="48" t="s">
        <v>4377</v>
      </c>
      <c r="H353" s="48" t="s">
        <v>4378</v>
      </c>
    </row>
    <row r="354" ht="24" customHeight="1" spans="1:8">
      <c r="A354" s="48" t="s">
        <v>733</v>
      </c>
      <c r="B354" s="48">
        <v>2</v>
      </c>
      <c r="C354" s="48" t="s">
        <v>4377</v>
      </c>
      <c r="D354" s="48" t="s">
        <v>4377</v>
      </c>
      <c r="E354" s="48" t="s">
        <v>4377</v>
      </c>
      <c r="F354" s="48" t="s">
        <v>4377</v>
      </c>
      <c r="G354" s="48" t="s">
        <v>4377</v>
      </c>
      <c r="H354" s="48" t="s">
        <v>4378</v>
      </c>
    </row>
    <row r="355" ht="24" customHeight="1" spans="1:8">
      <c r="A355" s="48" t="s">
        <v>735</v>
      </c>
      <c r="B355" s="48">
        <v>4</v>
      </c>
      <c r="C355" s="48" t="s">
        <v>4377</v>
      </c>
      <c r="D355" s="48" t="s">
        <v>4377</v>
      </c>
      <c r="E355" s="48" t="s">
        <v>4377</v>
      </c>
      <c r="F355" s="48" t="s">
        <v>4377</v>
      </c>
      <c r="G355" s="48" t="s">
        <v>4377</v>
      </c>
      <c r="H355" s="48" t="s">
        <v>4378</v>
      </c>
    </row>
    <row r="356" ht="24" customHeight="1" spans="1:8">
      <c r="A356" s="48" t="s">
        <v>737</v>
      </c>
      <c r="B356" s="48">
        <v>4</v>
      </c>
      <c r="C356" s="48" t="s">
        <v>4377</v>
      </c>
      <c r="D356" s="48" t="s">
        <v>4377</v>
      </c>
      <c r="E356" s="48" t="s">
        <v>4377</v>
      </c>
      <c r="F356" s="48" t="s">
        <v>4377</v>
      </c>
      <c r="G356" s="48" t="s">
        <v>4377</v>
      </c>
      <c r="H356" s="48" t="s">
        <v>4378</v>
      </c>
    </row>
    <row r="357" ht="24" customHeight="1" spans="1:8">
      <c r="A357" s="48" t="s">
        <v>739</v>
      </c>
      <c r="B357" s="48">
        <v>10</v>
      </c>
      <c r="C357" s="48" t="s">
        <v>4377</v>
      </c>
      <c r="D357" s="48" t="s">
        <v>4377</v>
      </c>
      <c r="E357" s="48" t="s">
        <v>4377</v>
      </c>
      <c r="F357" s="48" t="s">
        <v>4377</v>
      </c>
      <c r="G357" s="48" t="s">
        <v>4377</v>
      </c>
      <c r="H357" s="48" t="s">
        <v>4379</v>
      </c>
    </row>
    <row r="358" ht="24" customHeight="1" spans="1:8">
      <c r="A358" s="48" t="s">
        <v>741</v>
      </c>
      <c r="B358" s="48">
        <v>10</v>
      </c>
      <c r="C358" s="48" t="s">
        <v>4377</v>
      </c>
      <c r="D358" s="48" t="s">
        <v>4377</v>
      </c>
      <c r="E358" s="48" t="s">
        <v>4377</v>
      </c>
      <c r="F358" s="48" t="s">
        <v>4377</v>
      </c>
      <c r="G358" s="48" t="s">
        <v>4377</v>
      </c>
      <c r="H358" s="48" t="s">
        <v>4379</v>
      </c>
    </row>
    <row r="359" ht="24" customHeight="1" spans="1:8">
      <c r="A359" s="48" t="s">
        <v>743</v>
      </c>
      <c r="B359" s="48">
        <v>2</v>
      </c>
      <c r="C359" s="48" t="s">
        <v>4377</v>
      </c>
      <c r="D359" s="48" t="s">
        <v>4377</v>
      </c>
      <c r="E359" s="48" t="s">
        <v>4377</v>
      </c>
      <c r="F359" s="48" t="s">
        <v>4377</v>
      </c>
      <c r="G359" s="48" t="s">
        <v>4377</v>
      </c>
      <c r="H359" s="48" t="s">
        <v>4378</v>
      </c>
    </row>
    <row r="360" ht="24" customHeight="1" spans="1:8">
      <c r="A360" s="48" t="s">
        <v>745</v>
      </c>
      <c r="B360" s="48">
        <v>5</v>
      </c>
      <c r="C360" s="48" t="s">
        <v>4377</v>
      </c>
      <c r="D360" s="48" t="s">
        <v>4377</v>
      </c>
      <c r="E360" s="48" t="s">
        <v>4377</v>
      </c>
      <c r="F360" s="48" t="s">
        <v>4377</v>
      </c>
      <c r="G360" s="48" t="s">
        <v>4377</v>
      </c>
      <c r="H360" s="48" t="s">
        <v>4378</v>
      </c>
    </row>
    <row r="361" ht="24" customHeight="1" spans="1:8">
      <c r="A361" s="48" t="s">
        <v>747</v>
      </c>
      <c r="B361" s="48">
        <v>11</v>
      </c>
      <c r="C361" s="48" t="s">
        <v>4377</v>
      </c>
      <c r="D361" s="48" t="s">
        <v>4377</v>
      </c>
      <c r="E361" s="48" t="s">
        <v>4377</v>
      </c>
      <c r="F361" s="48" t="s">
        <v>4377</v>
      </c>
      <c r="G361" s="48" t="s">
        <v>4377</v>
      </c>
      <c r="H361" s="48" t="s">
        <v>4379</v>
      </c>
    </row>
    <row r="362" ht="24" customHeight="1" spans="1:8">
      <c r="A362" s="48" t="s">
        <v>749</v>
      </c>
      <c r="B362" s="48">
        <v>4</v>
      </c>
      <c r="C362" s="48" t="s">
        <v>4377</v>
      </c>
      <c r="D362" s="48" t="s">
        <v>4377</v>
      </c>
      <c r="E362" s="48" t="s">
        <v>4377</v>
      </c>
      <c r="F362" s="48" t="s">
        <v>4377</v>
      </c>
      <c r="G362" s="48" t="s">
        <v>4377</v>
      </c>
      <c r="H362" s="48" t="s">
        <v>4378</v>
      </c>
    </row>
    <row r="363" ht="24" customHeight="1" spans="1:8">
      <c r="A363" s="48" t="s">
        <v>751</v>
      </c>
      <c r="B363" s="48">
        <v>7</v>
      </c>
      <c r="C363" s="48" t="s">
        <v>4377</v>
      </c>
      <c r="D363" s="48" t="s">
        <v>4377</v>
      </c>
      <c r="E363" s="48" t="s">
        <v>4377</v>
      </c>
      <c r="F363" s="48" t="s">
        <v>4377</v>
      </c>
      <c r="G363" s="48" t="s">
        <v>4377</v>
      </c>
      <c r="H363" s="48" t="s">
        <v>4378</v>
      </c>
    </row>
    <row r="364" ht="24" customHeight="1" spans="1:8">
      <c r="A364" s="48" t="s">
        <v>753</v>
      </c>
      <c r="B364" s="48">
        <v>10</v>
      </c>
      <c r="C364" s="48" t="s">
        <v>4377</v>
      </c>
      <c r="D364" s="48" t="s">
        <v>4377</v>
      </c>
      <c r="E364" s="48" t="s">
        <v>4377</v>
      </c>
      <c r="F364" s="48" t="s">
        <v>4377</v>
      </c>
      <c r="G364" s="48" t="s">
        <v>4377</v>
      </c>
      <c r="H364" s="48" t="s">
        <v>4379</v>
      </c>
    </row>
    <row r="365" ht="24" customHeight="1" spans="1:8">
      <c r="A365" s="48" t="s">
        <v>755</v>
      </c>
      <c r="B365" s="48">
        <v>8</v>
      </c>
      <c r="C365" s="48" t="s">
        <v>4377</v>
      </c>
      <c r="D365" s="48" t="s">
        <v>4377</v>
      </c>
      <c r="E365" s="48" t="s">
        <v>4377</v>
      </c>
      <c r="F365" s="48" t="s">
        <v>4377</v>
      </c>
      <c r="G365" s="48" t="s">
        <v>4377</v>
      </c>
      <c r="H365" s="48" t="s">
        <v>4378</v>
      </c>
    </row>
    <row r="366" ht="24" customHeight="1" spans="1:8">
      <c r="A366" s="48" t="s">
        <v>757</v>
      </c>
      <c r="B366" s="48">
        <v>5</v>
      </c>
      <c r="C366" s="48" t="s">
        <v>4377</v>
      </c>
      <c r="D366" s="48" t="s">
        <v>4377</v>
      </c>
      <c r="E366" s="48" t="s">
        <v>4377</v>
      </c>
      <c r="F366" s="48" t="s">
        <v>4377</v>
      </c>
      <c r="G366" s="48" t="s">
        <v>4377</v>
      </c>
      <c r="H366" s="48" t="s">
        <v>4378</v>
      </c>
    </row>
    <row r="367" ht="24" customHeight="1" spans="1:8">
      <c r="A367" s="48" t="s">
        <v>759</v>
      </c>
      <c r="B367" s="48">
        <v>8</v>
      </c>
      <c r="C367" s="48" t="s">
        <v>4377</v>
      </c>
      <c r="D367" s="48" t="s">
        <v>4377</v>
      </c>
      <c r="E367" s="48" t="s">
        <v>4377</v>
      </c>
      <c r="F367" s="48" t="s">
        <v>4377</v>
      </c>
      <c r="G367" s="48" t="s">
        <v>4377</v>
      </c>
      <c r="H367" s="48" t="s">
        <v>4378</v>
      </c>
    </row>
    <row r="368" ht="24" customHeight="1" spans="1:8">
      <c r="A368" s="48" t="s">
        <v>761</v>
      </c>
      <c r="B368" s="48">
        <v>4</v>
      </c>
      <c r="C368" s="48" t="s">
        <v>4377</v>
      </c>
      <c r="D368" s="48" t="s">
        <v>4377</v>
      </c>
      <c r="E368" s="48" t="s">
        <v>4377</v>
      </c>
      <c r="F368" s="48" t="s">
        <v>4377</v>
      </c>
      <c r="G368" s="48" t="s">
        <v>4377</v>
      </c>
      <c r="H368" s="48" t="s">
        <v>4378</v>
      </c>
    </row>
    <row r="369" ht="24" customHeight="1" spans="1:8">
      <c r="A369" s="48" t="s">
        <v>763</v>
      </c>
      <c r="B369" s="48">
        <v>4</v>
      </c>
      <c r="C369" s="48" t="s">
        <v>4377</v>
      </c>
      <c r="D369" s="48" t="s">
        <v>4377</v>
      </c>
      <c r="E369" s="48" t="s">
        <v>4377</v>
      </c>
      <c r="F369" s="48" t="s">
        <v>4377</v>
      </c>
      <c r="G369" s="48" t="s">
        <v>4377</v>
      </c>
      <c r="H369" s="48" t="s">
        <v>4378</v>
      </c>
    </row>
    <row r="370" ht="24" customHeight="1" spans="1:8">
      <c r="A370" s="48" t="s">
        <v>765</v>
      </c>
      <c r="B370" s="48">
        <v>6</v>
      </c>
      <c r="C370" s="48" t="s">
        <v>4377</v>
      </c>
      <c r="D370" s="48" t="s">
        <v>4377</v>
      </c>
      <c r="E370" s="48" t="s">
        <v>4377</v>
      </c>
      <c r="F370" s="48" t="s">
        <v>4377</v>
      </c>
      <c r="G370" s="48" t="s">
        <v>4377</v>
      </c>
      <c r="H370" s="48" t="s">
        <v>4378</v>
      </c>
    </row>
    <row r="371" ht="24" customHeight="1" spans="1:8">
      <c r="A371" s="48" t="s">
        <v>767</v>
      </c>
      <c r="B371" s="48">
        <v>2</v>
      </c>
      <c r="C371" s="48" t="s">
        <v>4377</v>
      </c>
      <c r="D371" s="48" t="s">
        <v>4377</v>
      </c>
      <c r="E371" s="48" t="s">
        <v>4377</v>
      </c>
      <c r="F371" s="48" t="s">
        <v>4377</v>
      </c>
      <c r="G371" s="48" t="s">
        <v>4377</v>
      </c>
      <c r="H371" s="48" t="s">
        <v>4378</v>
      </c>
    </row>
    <row r="372" ht="24" customHeight="1" spans="1:8">
      <c r="A372" s="48" t="s">
        <v>769</v>
      </c>
      <c r="B372" s="48">
        <v>6</v>
      </c>
      <c r="C372" s="48" t="s">
        <v>4377</v>
      </c>
      <c r="D372" s="48" t="s">
        <v>4377</v>
      </c>
      <c r="E372" s="48" t="s">
        <v>4377</v>
      </c>
      <c r="F372" s="48" t="s">
        <v>4377</v>
      </c>
      <c r="G372" s="48" t="s">
        <v>4377</v>
      </c>
      <c r="H372" s="48" t="s">
        <v>4378</v>
      </c>
    </row>
    <row r="373" ht="24" customHeight="1" spans="1:8">
      <c r="A373" s="48" t="s">
        <v>771</v>
      </c>
      <c r="B373" s="48">
        <v>8</v>
      </c>
      <c r="C373" s="48" t="s">
        <v>4377</v>
      </c>
      <c r="D373" s="48" t="s">
        <v>4377</v>
      </c>
      <c r="E373" s="48" t="s">
        <v>4377</v>
      </c>
      <c r="F373" s="48" t="s">
        <v>4377</v>
      </c>
      <c r="G373" s="48" t="s">
        <v>4377</v>
      </c>
      <c r="H373" s="48" t="s">
        <v>4378</v>
      </c>
    </row>
    <row r="374" ht="24" customHeight="1" spans="1:8">
      <c r="A374" s="48" t="s">
        <v>773</v>
      </c>
      <c r="B374" s="48">
        <v>8</v>
      </c>
      <c r="C374" s="48" t="s">
        <v>4377</v>
      </c>
      <c r="D374" s="48" t="s">
        <v>4377</v>
      </c>
      <c r="E374" s="48" t="s">
        <v>4377</v>
      </c>
      <c r="F374" s="48" t="s">
        <v>4377</v>
      </c>
      <c r="G374" s="48" t="s">
        <v>4377</v>
      </c>
      <c r="H374" s="48" t="s">
        <v>4378</v>
      </c>
    </row>
    <row r="375" ht="24" customHeight="1" spans="1:8">
      <c r="A375" s="48" t="s">
        <v>775</v>
      </c>
      <c r="B375" s="48">
        <v>6</v>
      </c>
      <c r="C375" s="48" t="s">
        <v>4377</v>
      </c>
      <c r="D375" s="48" t="s">
        <v>4377</v>
      </c>
      <c r="E375" s="48" t="s">
        <v>4377</v>
      </c>
      <c r="F375" s="48" t="s">
        <v>4377</v>
      </c>
      <c r="G375" s="48" t="s">
        <v>4377</v>
      </c>
      <c r="H375" s="48" t="s">
        <v>4378</v>
      </c>
    </row>
    <row r="376" ht="24" customHeight="1" spans="1:8">
      <c r="A376" s="48" t="s">
        <v>777</v>
      </c>
      <c r="B376" s="48">
        <v>6</v>
      </c>
      <c r="C376" s="48" t="s">
        <v>4377</v>
      </c>
      <c r="D376" s="48" t="s">
        <v>4377</v>
      </c>
      <c r="E376" s="48" t="s">
        <v>4377</v>
      </c>
      <c r="F376" s="48" t="s">
        <v>4377</v>
      </c>
      <c r="G376" s="48" t="s">
        <v>4377</v>
      </c>
      <c r="H376" s="48" t="s">
        <v>4378</v>
      </c>
    </row>
    <row r="377" ht="24" customHeight="1" spans="1:8">
      <c r="A377" s="48" t="s">
        <v>779</v>
      </c>
      <c r="B377" s="48">
        <v>11</v>
      </c>
      <c r="C377" s="48" t="s">
        <v>4377</v>
      </c>
      <c r="D377" s="48" t="s">
        <v>4377</v>
      </c>
      <c r="E377" s="48" t="s">
        <v>4377</v>
      </c>
      <c r="F377" s="48" t="s">
        <v>4377</v>
      </c>
      <c r="G377" s="48" t="s">
        <v>4377</v>
      </c>
      <c r="H377" s="48" t="s">
        <v>4379</v>
      </c>
    </row>
    <row r="378" ht="24" customHeight="1" spans="1:8">
      <c r="A378" s="48" t="s">
        <v>781</v>
      </c>
      <c r="B378" s="48">
        <v>11</v>
      </c>
      <c r="C378" s="48" t="s">
        <v>4377</v>
      </c>
      <c r="D378" s="48" t="s">
        <v>4377</v>
      </c>
      <c r="E378" s="48" t="s">
        <v>4377</v>
      </c>
      <c r="F378" s="48" t="s">
        <v>4377</v>
      </c>
      <c r="G378" s="48" t="s">
        <v>4377</v>
      </c>
      <c r="H378" s="48" t="s">
        <v>4379</v>
      </c>
    </row>
    <row r="379" ht="24" customHeight="1" spans="1:8">
      <c r="A379" s="48" t="s">
        <v>783</v>
      </c>
      <c r="B379" s="48">
        <v>6</v>
      </c>
      <c r="C379" s="48" t="s">
        <v>4377</v>
      </c>
      <c r="D379" s="48" t="s">
        <v>4377</v>
      </c>
      <c r="E379" s="48" t="s">
        <v>4377</v>
      </c>
      <c r="F379" s="48" t="s">
        <v>4377</v>
      </c>
      <c r="G379" s="48" t="s">
        <v>4377</v>
      </c>
      <c r="H379" s="48" t="s">
        <v>4378</v>
      </c>
    </row>
    <row r="380" ht="24" customHeight="1" spans="1:8">
      <c r="A380" s="48" t="s">
        <v>785</v>
      </c>
      <c r="B380" s="48">
        <v>4</v>
      </c>
      <c r="C380" s="48" t="s">
        <v>4377</v>
      </c>
      <c r="D380" s="48" t="s">
        <v>4377</v>
      </c>
      <c r="E380" s="48" t="s">
        <v>4377</v>
      </c>
      <c r="F380" s="48" t="s">
        <v>4377</v>
      </c>
      <c r="G380" s="48" t="s">
        <v>4377</v>
      </c>
      <c r="H380" s="48" t="s">
        <v>4378</v>
      </c>
    </row>
    <row r="381" ht="24" customHeight="1" spans="1:8">
      <c r="A381" s="48" t="s">
        <v>787</v>
      </c>
      <c r="B381" s="48">
        <v>8</v>
      </c>
      <c r="C381" s="48" t="s">
        <v>4377</v>
      </c>
      <c r="D381" s="48" t="s">
        <v>4377</v>
      </c>
      <c r="E381" s="48" t="s">
        <v>4377</v>
      </c>
      <c r="F381" s="48" t="s">
        <v>4377</v>
      </c>
      <c r="G381" s="48" t="s">
        <v>4377</v>
      </c>
      <c r="H381" s="48" t="s">
        <v>4378</v>
      </c>
    </row>
    <row r="382" ht="24" customHeight="1" spans="1:8">
      <c r="A382" s="48" t="s">
        <v>789</v>
      </c>
      <c r="B382" s="48">
        <v>8</v>
      </c>
      <c r="C382" s="48" t="s">
        <v>4377</v>
      </c>
      <c r="D382" s="48" t="s">
        <v>4377</v>
      </c>
      <c r="E382" s="48" t="s">
        <v>4377</v>
      </c>
      <c r="F382" s="48" t="s">
        <v>4377</v>
      </c>
      <c r="G382" s="48" t="s">
        <v>4377</v>
      </c>
      <c r="H382" s="48" t="s">
        <v>4378</v>
      </c>
    </row>
    <row r="383" ht="24" customHeight="1" spans="1:8">
      <c r="A383" s="48" t="s">
        <v>791</v>
      </c>
      <c r="B383" s="48">
        <v>9</v>
      </c>
      <c r="C383" s="48" t="s">
        <v>4377</v>
      </c>
      <c r="D383" s="48" t="s">
        <v>4377</v>
      </c>
      <c r="E383" s="48" t="s">
        <v>4377</v>
      </c>
      <c r="F383" s="48" t="s">
        <v>4377</v>
      </c>
      <c r="G383" s="48" t="s">
        <v>4377</v>
      </c>
      <c r="H383" s="48" t="s">
        <v>4378</v>
      </c>
    </row>
    <row r="384" ht="24" customHeight="1" spans="1:8">
      <c r="A384" s="48" t="s">
        <v>793</v>
      </c>
      <c r="B384" s="48">
        <v>8</v>
      </c>
      <c r="C384" s="48" t="s">
        <v>4377</v>
      </c>
      <c r="D384" s="48" t="s">
        <v>4377</v>
      </c>
      <c r="E384" s="48" t="s">
        <v>4377</v>
      </c>
      <c r="F384" s="48" t="s">
        <v>4377</v>
      </c>
      <c r="G384" s="48" t="s">
        <v>4377</v>
      </c>
      <c r="H384" s="48" t="s">
        <v>4378</v>
      </c>
    </row>
    <row r="385" ht="24" customHeight="1" spans="1:8">
      <c r="A385" s="48" t="s">
        <v>795</v>
      </c>
      <c r="B385" s="48">
        <v>6</v>
      </c>
      <c r="C385" s="48" t="s">
        <v>4377</v>
      </c>
      <c r="D385" s="48" t="s">
        <v>4377</v>
      </c>
      <c r="E385" s="48" t="s">
        <v>4377</v>
      </c>
      <c r="F385" s="48" t="s">
        <v>4377</v>
      </c>
      <c r="G385" s="48" t="s">
        <v>4377</v>
      </c>
      <c r="H385" s="48" t="s">
        <v>4378</v>
      </c>
    </row>
    <row r="386" ht="24" customHeight="1" spans="1:8">
      <c r="A386" s="48" t="s">
        <v>797</v>
      </c>
      <c r="B386" s="48">
        <v>3</v>
      </c>
      <c r="C386" s="48" t="s">
        <v>4377</v>
      </c>
      <c r="D386" s="48" t="s">
        <v>4377</v>
      </c>
      <c r="E386" s="48" t="s">
        <v>4377</v>
      </c>
      <c r="F386" s="48" t="s">
        <v>4377</v>
      </c>
      <c r="G386" s="48" t="s">
        <v>4377</v>
      </c>
      <c r="H386" s="48" t="s">
        <v>4378</v>
      </c>
    </row>
    <row r="387" ht="24" customHeight="1" spans="1:8">
      <c r="A387" s="48" t="s">
        <v>799</v>
      </c>
      <c r="B387" s="48">
        <v>6</v>
      </c>
      <c r="C387" s="48" t="s">
        <v>4377</v>
      </c>
      <c r="D387" s="48" t="s">
        <v>4377</v>
      </c>
      <c r="E387" s="48" t="s">
        <v>4377</v>
      </c>
      <c r="F387" s="48" t="s">
        <v>4377</v>
      </c>
      <c r="G387" s="48" t="s">
        <v>4377</v>
      </c>
      <c r="H387" s="48" t="s">
        <v>4378</v>
      </c>
    </row>
    <row r="388" ht="24" customHeight="1" spans="1:8">
      <c r="A388" s="48" t="s">
        <v>801</v>
      </c>
      <c r="B388" s="48">
        <v>4</v>
      </c>
      <c r="C388" s="48" t="s">
        <v>4377</v>
      </c>
      <c r="D388" s="48" t="s">
        <v>4377</v>
      </c>
      <c r="E388" s="48" t="s">
        <v>4377</v>
      </c>
      <c r="F388" s="48" t="s">
        <v>4377</v>
      </c>
      <c r="G388" s="48" t="s">
        <v>4377</v>
      </c>
      <c r="H388" s="48" t="s">
        <v>4378</v>
      </c>
    </row>
    <row r="389" ht="24" customHeight="1" spans="1:8">
      <c r="A389" s="48" t="s">
        <v>803</v>
      </c>
      <c r="B389" s="48">
        <v>3</v>
      </c>
      <c r="C389" s="48" t="s">
        <v>4377</v>
      </c>
      <c r="D389" s="48" t="s">
        <v>4377</v>
      </c>
      <c r="E389" s="48" t="s">
        <v>4377</v>
      </c>
      <c r="F389" s="48" t="s">
        <v>4377</v>
      </c>
      <c r="G389" s="48" t="s">
        <v>4377</v>
      </c>
      <c r="H389" s="48" t="s">
        <v>4378</v>
      </c>
    </row>
    <row r="390" ht="24" customHeight="1" spans="1:8">
      <c r="A390" s="48" t="s">
        <v>805</v>
      </c>
      <c r="B390" s="48">
        <v>2</v>
      </c>
      <c r="C390" s="48" t="s">
        <v>4377</v>
      </c>
      <c r="D390" s="48" t="s">
        <v>4377</v>
      </c>
      <c r="E390" s="48" t="s">
        <v>4377</v>
      </c>
      <c r="F390" s="48" t="s">
        <v>4377</v>
      </c>
      <c r="G390" s="48" t="s">
        <v>4377</v>
      </c>
      <c r="H390" s="48" t="s">
        <v>4378</v>
      </c>
    </row>
    <row r="391" ht="24" customHeight="1" spans="1:8">
      <c r="A391" s="48" t="s">
        <v>807</v>
      </c>
      <c r="B391" s="48">
        <v>3</v>
      </c>
      <c r="C391" s="48" t="s">
        <v>4377</v>
      </c>
      <c r="D391" s="48" t="s">
        <v>4377</v>
      </c>
      <c r="E391" s="48" t="s">
        <v>4377</v>
      </c>
      <c r="F391" s="48" t="s">
        <v>4377</v>
      </c>
      <c r="G391" s="48" t="s">
        <v>4377</v>
      </c>
      <c r="H391" s="48" t="s">
        <v>4378</v>
      </c>
    </row>
    <row r="392" ht="24" customHeight="1" spans="1:8">
      <c r="A392" s="48" t="s">
        <v>809</v>
      </c>
      <c r="B392" s="48">
        <v>6</v>
      </c>
      <c r="C392" s="48" t="s">
        <v>4377</v>
      </c>
      <c r="D392" s="48" t="s">
        <v>4377</v>
      </c>
      <c r="E392" s="48" t="s">
        <v>4377</v>
      </c>
      <c r="F392" s="48" t="s">
        <v>4377</v>
      </c>
      <c r="G392" s="48" t="s">
        <v>4377</v>
      </c>
      <c r="H392" s="48" t="s">
        <v>4378</v>
      </c>
    </row>
    <row r="393" ht="24" customHeight="1" spans="1:8">
      <c r="A393" s="48" t="s">
        <v>811</v>
      </c>
      <c r="B393" s="48">
        <v>6</v>
      </c>
      <c r="C393" s="48" t="s">
        <v>4377</v>
      </c>
      <c r="D393" s="48" t="s">
        <v>4377</v>
      </c>
      <c r="E393" s="48" t="s">
        <v>4377</v>
      </c>
      <c r="F393" s="48" t="s">
        <v>4377</v>
      </c>
      <c r="G393" s="48" t="s">
        <v>4377</v>
      </c>
      <c r="H393" s="48" t="s">
        <v>4378</v>
      </c>
    </row>
    <row r="394" ht="24" customHeight="1" spans="1:8">
      <c r="A394" s="48" t="s">
        <v>813</v>
      </c>
      <c r="B394" s="48">
        <v>4</v>
      </c>
      <c r="C394" s="48" t="s">
        <v>4377</v>
      </c>
      <c r="D394" s="48" t="s">
        <v>4377</v>
      </c>
      <c r="E394" s="48" t="s">
        <v>4377</v>
      </c>
      <c r="F394" s="48" t="s">
        <v>4377</v>
      </c>
      <c r="G394" s="48" t="s">
        <v>4377</v>
      </c>
      <c r="H394" s="48" t="s">
        <v>4378</v>
      </c>
    </row>
    <row r="395" ht="24" customHeight="1" spans="1:8">
      <c r="A395" s="48" t="s">
        <v>815</v>
      </c>
      <c r="B395" s="48">
        <v>4</v>
      </c>
      <c r="C395" s="48" t="s">
        <v>4377</v>
      </c>
      <c r="D395" s="48" t="s">
        <v>4377</v>
      </c>
      <c r="E395" s="48" t="s">
        <v>4377</v>
      </c>
      <c r="F395" s="48" t="s">
        <v>4377</v>
      </c>
      <c r="G395" s="48" t="s">
        <v>4377</v>
      </c>
      <c r="H395" s="48" t="s">
        <v>4378</v>
      </c>
    </row>
    <row r="396" ht="24" customHeight="1" spans="1:8">
      <c r="A396" s="48" t="s">
        <v>817</v>
      </c>
      <c r="B396" s="48">
        <v>4</v>
      </c>
      <c r="C396" s="48" t="s">
        <v>4377</v>
      </c>
      <c r="D396" s="48" t="s">
        <v>4377</v>
      </c>
      <c r="E396" s="48" t="s">
        <v>4377</v>
      </c>
      <c r="F396" s="48" t="s">
        <v>4377</v>
      </c>
      <c r="G396" s="48" t="s">
        <v>4377</v>
      </c>
      <c r="H396" s="48" t="s">
        <v>4378</v>
      </c>
    </row>
    <row r="397" ht="24" customHeight="1" spans="1:8">
      <c r="A397" s="48" t="s">
        <v>819</v>
      </c>
      <c r="B397" s="48">
        <v>6</v>
      </c>
      <c r="C397" s="48" t="s">
        <v>4377</v>
      </c>
      <c r="D397" s="48" t="s">
        <v>4377</v>
      </c>
      <c r="E397" s="48" t="s">
        <v>4377</v>
      </c>
      <c r="F397" s="48" t="s">
        <v>4377</v>
      </c>
      <c r="G397" s="48" t="s">
        <v>4377</v>
      </c>
      <c r="H397" s="48" t="s">
        <v>4378</v>
      </c>
    </row>
    <row r="398" ht="24" customHeight="1" spans="1:8">
      <c r="A398" s="48" t="s">
        <v>821</v>
      </c>
      <c r="B398" s="48">
        <v>6</v>
      </c>
      <c r="C398" s="48" t="s">
        <v>4377</v>
      </c>
      <c r="D398" s="48" t="s">
        <v>4377</v>
      </c>
      <c r="E398" s="48" t="s">
        <v>4377</v>
      </c>
      <c r="F398" s="48" t="s">
        <v>4377</v>
      </c>
      <c r="G398" s="48" t="s">
        <v>4377</v>
      </c>
      <c r="H398" s="48" t="s">
        <v>4378</v>
      </c>
    </row>
    <row r="399" ht="24" customHeight="1" spans="1:8">
      <c r="A399" s="48" t="s">
        <v>823</v>
      </c>
      <c r="B399" s="48">
        <v>6</v>
      </c>
      <c r="C399" s="48" t="s">
        <v>4377</v>
      </c>
      <c r="D399" s="48" t="s">
        <v>4377</v>
      </c>
      <c r="E399" s="48" t="s">
        <v>4377</v>
      </c>
      <c r="F399" s="48" t="s">
        <v>4377</v>
      </c>
      <c r="G399" s="48" t="s">
        <v>4377</v>
      </c>
      <c r="H399" s="48" t="s">
        <v>4378</v>
      </c>
    </row>
    <row r="400" ht="24" customHeight="1" spans="1:8">
      <c r="A400" s="48" t="s">
        <v>825</v>
      </c>
      <c r="B400" s="48">
        <v>8</v>
      </c>
      <c r="C400" s="48" t="s">
        <v>4377</v>
      </c>
      <c r="D400" s="48" t="s">
        <v>4377</v>
      </c>
      <c r="E400" s="48" t="s">
        <v>4377</v>
      </c>
      <c r="F400" s="48" t="s">
        <v>4377</v>
      </c>
      <c r="G400" s="48" t="s">
        <v>4377</v>
      </c>
      <c r="H400" s="48" t="s">
        <v>4378</v>
      </c>
    </row>
    <row r="401" ht="24" customHeight="1" spans="1:8">
      <c r="A401" s="48" t="s">
        <v>827</v>
      </c>
      <c r="B401" s="48">
        <v>10</v>
      </c>
      <c r="C401" s="48" t="s">
        <v>4377</v>
      </c>
      <c r="D401" s="48" t="s">
        <v>4377</v>
      </c>
      <c r="E401" s="48" t="s">
        <v>4377</v>
      </c>
      <c r="F401" s="48" t="s">
        <v>4377</v>
      </c>
      <c r="G401" s="48" t="s">
        <v>4377</v>
      </c>
      <c r="H401" s="48" t="s">
        <v>4379</v>
      </c>
    </row>
    <row r="402" ht="24" customHeight="1" spans="1:8">
      <c r="A402" s="48" t="s">
        <v>829</v>
      </c>
      <c r="B402" s="48">
        <v>2</v>
      </c>
      <c r="C402" s="48" t="s">
        <v>4377</v>
      </c>
      <c r="D402" s="48" t="s">
        <v>4377</v>
      </c>
      <c r="E402" s="48" t="s">
        <v>4377</v>
      </c>
      <c r="F402" s="48" t="s">
        <v>4377</v>
      </c>
      <c r="G402" s="48" t="s">
        <v>4377</v>
      </c>
      <c r="H402" s="48" t="s">
        <v>4378</v>
      </c>
    </row>
    <row r="403" ht="24" customHeight="1" spans="1:8">
      <c r="A403" s="48" t="s">
        <v>831</v>
      </c>
      <c r="B403" s="48">
        <v>4</v>
      </c>
      <c r="C403" s="48" t="s">
        <v>4377</v>
      </c>
      <c r="D403" s="48" t="s">
        <v>4377</v>
      </c>
      <c r="E403" s="48" t="s">
        <v>4377</v>
      </c>
      <c r="F403" s="48" t="s">
        <v>4377</v>
      </c>
      <c r="G403" s="48" t="s">
        <v>4377</v>
      </c>
      <c r="H403" s="48" t="s">
        <v>4378</v>
      </c>
    </row>
    <row r="404" ht="24" customHeight="1" spans="1:8">
      <c r="A404" s="48" t="s">
        <v>833</v>
      </c>
      <c r="B404" s="48">
        <v>3</v>
      </c>
      <c r="C404" s="48" t="s">
        <v>4377</v>
      </c>
      <c r="D404" s="48" t="s">
        <v>4377</v>
      </c>
      <c r="E404" s="48" t="s">
        <v>4377</v>
      </c>
      <c r="F404" s="48" t="s">
        <v>4377</v>
      </c>
      <c r="G404" s="48" t="s">
        <v>4377</v>
      </c>
      <c r="H404" s="48" t="s">
        <v>4378</v>
      </c>
    </row>
    <row r="405" ht="24" customHeight="1" spans="1:8">
      <c r="A405" s="48" t="s">
        <v>835</v>
      </c>
      <c r="B405" s="48">
        <v>5</v>
      </c>
      <c r="C405" s="48" t="s">
        <v>4377</v>
      </c>
      <c r="D405" s="48" t="s">
        <v>4377</v>
      </c>
      <c r="E405" s="48" t="s">
        <v>4377</v>
      </c>
      <c r="F405" s="48" t="s">
        <v>4377</v>
      </c>
      <c r="G405" s="48" t="s">
        <v>4377</v>
      </c>
      <c r="H405" s="48" t="s">
        <v>4378</v>
      </c>
    </row>
    <row r="406" ht="24" customHeight="1" spans="1:8">
      <c r="A406" s="48" t="s">
        <v>837</v>
      </c>
      <c r="B406" s="48">
        <v>6</v>
      </c>
      <c r="C406" s="48" t="s">
        <v>4377</v>
      </c>
      <c r="D406" s="48" t="s">
        <v>4377</v>
      </c>
      <c r="E406" s="48" t="s">
        <v>4377</v>
      </c>
      <c r="F406" s="48" t="s">
        <v>4377</v>
      </c>
      <c r="G406" s="48" t="s">
        <v>4377</v>
      </c>
      <c r="H406" s="48" t="s">
        <v>4378</v>
      </c>
    </row>
    <row r="407" ht="24" customHeight="1" spans="1:8">
      <c r="A407" s="48" t="s">
        <v>839</v>
      </c>
      <c r="B407" s="48">
        <v>2</v>
      </c>
      <c r="C407" s="48" t="s">
        <v>4377</v>
      </c>
      <c r="D407" s="48" t="s">
        <v>4377</v>
      </c>
      <c r="E407" s="48" t="s">
        <v>4377</v>
      </c>
      <c r="F407" s="48" t="s">
        <v>4377</v>
      </c>
      <c r="G407" s="48" t="s">
        <v>4377</v>
      </c>
      <c r="H407" s="48" t="s">
        <v>4378</v>
      </c>
    </row>
    <row r="408" ht="24" customHeight="1" spans="1:8">
      <c r="A408" s="48" t="s">
        <v>841</v>
      </c>
      <c r="B408" s="48">
        <v>4</v>
      </c>
      <c r="C408" s="48" t="s">
        <v>4377</v>
      </c>
      <c r="D408" s="48" t="s">
        <v>4377</v>
      </c>
      <c r="E408" s="48" t="s">
        <v>4377</v>
      </c>
      <c r="F408" s="48" t="s">
        <v>4377</v>
      </c>
      <c r="G408" s="48" t="s">
        <v>4377</v>
      </c>
      <c r="H408" s="48" t="s">
        <v>4378</v>
      </c>
    </row>
    <row r="409" ht="24" customHeight="1" spans="1:8">
      <c r="A409" s="48" t="s">
        <v>843</v>
      </c>
      <c r="B409" s="48">
        <v>3</v>
      </c>
      <c r="C409" s="48" t="s">
        <v>4377</v>
      </c>
      <c r="D409" s="48" t="s">
        <v>4377</v>
      </c>
      <c r="E409" s="48" t="s">
        <v>4377</v>
      </c>
      <c r="F409" s="48" t="s">
        <v>4377</v>
      </c>
      <c r="G409" s="48" t="s">
        <v>4377</v>
      </c>
      <c r="H409" s="48" t="s">
        <v>4378</v>
      </c>
    </row>
    <row r="410" ht="24" customHeight="1" spans="1:8">
      <c r="A410" s="48" t="s">
        <v>845</v>
      </c>
      <c r="B410" s="48">
        <v>8</v>
      </c>
      <c r="C410" s="48" t="s">
        <v>4377</v>
      </c>
      <c r="D410" s="48" t="s">
        <v>4377</v>
      </c>
      <c r="E410" s="48" t="s">
        <v>4377</v>
      </c>
      <c r="F410" s="48" t="s">
        <v>4377</v>
      </c>
      <c r="G410" s="48" t="s">
        <v>4377</v>
      </c>
      <c r="H410" s="48" t="s">
        <v>4378</v>
      </c>
    </row>
    <row r="411" ht="24" customHeight="1" spans="1:8">
      <c r="A411" s="48" t="s">
        <v>847</v>
      </c>
      <c r="B411" s="48">
        <v>6</v>
      </c>
      <c r="C411" s="48" t="s">
        <v>4377</v>
      </c>
      <c r="D411" s="48" t="s">
        <v>4377</v>
      </c>
      <c r="E411" s="48" t="s">
        <v>4377</v>
      </c>
      <c r="F411" s="48" t="s">
        <v>4377</v>
      </c>
      <c r="G411" s="48" t="s">
        <v>4377</v>
      </c>
      <c r="H411" s="48" t="s">
        <v>4378</v>
      </c>
    </row>
    <row r="412" ht="24" customHeight="1" spans="1:8">
      <c r="A412" s="48" t="s">
        <v>849</v>
      </c>
      <c r="B412" s="48">
        <v>6</v>
      </c>
      <c r="C412" s="48" t="s">
        <v>4377</v>
      </c>
      <c r="D412" s="48" t="s">
        <v>4377</v>
      </c>
      <c r="E412" s="48" t="s">
        <v>4377</v>
      </c>
      <c r="F412" s="48" t="s">
        <v>4377</v>
      </c>
      <c r="G412" s="48" t="s">
        <v>4377</v>
      </c>
      <c r="H412" s="48" t="s">
        <v>4378</v>
      </c>
    </row>
    <row r="413" ht="24" customHeight="1" spans="1:8">
      <c r="A413" s="48" t="s">
        <v>851</v>
      </c>
      <c r="B413" s="48">
        <v>6</v>
      </c>
      <c r="C413" s="48" t="s">
        <v>4377</v>
      </c>
      <c r="D413" s="48" t="s">
        <v>4377</v>
      </c>
      <c r="E413" s="48" t="s">
        <v>4377</v>
      </c>
      <c r="F413" s="48" t="s">
        <v>4377</v>
      </c>
      <c r="G413" s="48" t="s">
        <v>4377</v>
      </c>
      <c r="H413" s="48" t="s">
        <v>4378</v>
      </c>
    </row>
    <row r="414" ht="24" customHeight="1" spans="1:8">
      <c r="A414" s="48" t="s">
        <v>853</v>
      </c>
      <c r="B414" s="48">
        <v>4</v>
      </c>
      <c r="C414" s="48" t="s">
        <v>4377</v>
      </c>
      <c r="D414" s="48" t="s">
        <v>4377</v>
      </c>
      <c r="E414" s="48" t="s">
        <v>4377</v>
      </c>
      <c r="F414" s="48" t="s">
        <v>4377</v>
      </c>
      <c r="G414" s="48" t="s">
        <v>4377</v>
      </c>
      <c r="H414" s="48" t="s">
        <v>4378</v>
      </c>
    </row>
    <row r="415" ht="24" customHeight="1" spans="1:8">
      <c r="A415" s="48" t="s">
        <v>855</v>
      </c>
      <c r="B415" s="48">
        <v>4</v>
      </c>
      <c r="C415" s="48" t="s">
        <v>4377</v>
      </c>
      <c r="D415" s="48" t="s">
        <v>4377</v>
      </c>
      <c r="E415" s="48" t="s">
        <v>4377</v>
      </c>
      <c r="F415" s="48" t="s">
        <v>4377</v>
      </c>
      <c r="G415" s="48" t="s">
        <v>4377</v>
      </c>
      <c r="H415" s="48" t="s">
        <v>4378</v>
      </c>
    </row>
    <row r="416" ht="24" customHeight="1" spans="1:8">
      <c r="A416" s="48" t="s">
        <v>857</v>
      </c>
      <c r="B416" s="48">
        <v>4</v>
      </c>
      <c r="C416" s="48" t="s">
        <v>4377</v>
      </c>
      <c r="D416" s="48" t="s">
        <v>4377</v>
      </c>
      <c r="E416" s="48" t="s">
        <v>4377</v>
      </c>
      <c r="F416" s="48" t="s">
        <v>4377</v>
      </c>
      <c r="G416" s="48" t="s">
        <v>4377</v>
      </c>
      <c r="H416" s="48" t="s">
        <v>4378</v>
      </c>
    </row>
    <row r="417" ht="24" customHeight="1" spans="1:8">
      <c r="A417" s="48" t="s">
        <v>859</v>
      </c>
      <c r="B417" s="48">
        <v>2</v>
      </c>
      <c r="C417" s="48" t="s">
        <v>4377</v>
      </c>
      <c r="D417" s="48" t="s">
        <v>4377</v>
      </c>
      <c r="E417" s="48" t="s">
        <v>4377</v>
      </c>
      <c r="F417" s="48" t="s">
        <v>4377</v>
      </c>
      <c r="G417" s="48" t="s">
        <v>4377</v>
      </c>
      <c r="H417" s="48" t="s">
        <v>4378</v>
      </c>
    </row>
    <row r="418" ht="24" customHeight="1" spans="1:8">
      <c r="A418" s="48" t="s">
        <v>861</v>
      </c>
      <c r="B418" s="48">
        <v>10</v>
      </c>
      <c r="C418" s="48" t="s">
        <v>4377</v>
      </c>
      <c r="D418" s="48" t="s">
        <v>4377</v>
      </c>
      <c r="E418" s="48" t="s">
        <v>4377</v>
      </c>
      <c r="F418" s="48" t="s">
        <v>4377</v>
      </c>
      <c r="G418" s="48" t="s">
        <v>4377</v>
      </c>
      <c r="H418" s="48" t="s">
        <v>4379</v>
      </c>
    </row>
    <row r="419" ht="24" customHeight="1" spans="1:8">
      <c r="A419" s="48" t="s">
        <v>863</v>
      </c>
      <c r="B419" s="48">
        <v>10</v>
      </c>
      <c r="C419" s="48" t="s">
        <v>4377</v>
      </c>
      <c r="D419" s="48" t="s">
        <v>4377</v>
      </c>
      <c r="E419" s="48" t="s">
        <v>4377</v>
      </c>
      <c r="F419" s="48" t="s">
        <v>4377</v>
      </c>
      <c r="G419" s="48" t="s">
        <v>4377</v>
      </c>
      <c r="H419" s="48" t="s">
        <v>4379</v>
      </c>
    </row>
    <row r="420" ht="24" customHeight="1" spans="1:8">
      <c r="A420" s="48" t="s">
        <v>865</v>
      </c>
      <c r="B420" s="48">
        <v>9</v>
      </c>
      <c r="C420" s="48" t="s">
        <v>4377</v>
      </c>
      <c r="D420" s="48" t="s">
        <v>4377</v>
      </c>
      <c r="E420" s="48" t="s">
        <v>4377</v>
      </c>
      <c r="F420" s="48" t="s">
        <v>4377</v>
      </c>
      <c r="G420" s="48" t="s">
        <v>4377</v>
      </c>
      <c r="H420" s="48" t="s">
        <v>4378</v>
      </c>
    </row>
    <row r="421" ht="24" customHeight="1" spans="1:8">
      <c r="A421" s="48" t="s">
        <v>867</v>
      </c>
      <c r="B421" s="48">
        <v>5</v>
      </c>
      <c r="C421" s="48" t="s">
        <v>4377</v>
      </c>
      <c r="D421" s="48" t="s">
        <v>4377</v>
      </c>
      <c r="E421" s="48" t="s">
        <v>4377</v>
      </c>
      <c r="F421" s="48" t="s">
        <v>4377</v>
      </c>
      <c r="G421" s="48" t="s">
        <v>4377</v>
      </c>
      <c r="H421" s="48" t="s">
        <v>4378</v>
      </c>
    </row>
    <row r="422" ht="24" customHeight="1" spans="1:8">
      <c r="A422" s="48" t="s">
        <v>869</v>
      </c>
      <c r="B422" s="48">
        <v>6</v>
      </c>
      <c r="C422" s="48" t="s">
        <v>4377</v>
      </c>
      <c r="D422" s="48" t="s">
        <v>4377</v>
      </c>
      <c r="E422" s="48" t="s">
        <v>4377</v>
      </c>
      <c r="F422" s="48" t="s">
        <v>4377</v>
      </c>
      <c r="G422" s="48" t="s">
        <v>4377</v>
      </c>
      <c r="H422" s="48" t="s">
        <v>4378</v>
      </c>
    </row>
    <row r="423" ht="24" customHeight="1" spans="1:8">
      <c r="A423" s="48" t="s">
        <v>871</v>
      </c>
      <c r="B423" s="48">
        <v>6</v>
      </c>
      <c r="C423" s="48" t="s">
        <v>4377</v>
      </c>
      <c r="D423" s="48" t="s">
        <v>4377</v>
      </c>
      <c r="E423" s="48" t="s">
        <v>4377</v>
      </c>
      <c r="F423" s="48" t="s">
        <v>4377</v>
      </c>
      <c r="G423" s="48" t="s">
        <v>4377</v>
      </c>
      <c r="H423" s="48" t="s">
        <v>4378</v>
      </c>
    </row>
    <row r="424" ht="24" customHeight="1" spans="1:8">
      <c r="A424" s="48" t="s">
        <v>873</v>
      </c>
      <c r="B424" s="48">
        <v>2</v>
      </c>
      <c r="C424" s="48" t="s">
        <v>4377</v>
      </c>
      <c r="D424" s="48" t="s">
        <v>4377</v>
      </c>
      <c r="E424" s="48" t="s">
        <v>4377</v>
      </c>
      <c r="F424" s="48" t="s">
        <v>4377</v>
      </c>
      <c r="G424" s="48" t="s">
        <v>4377</v>
      </c>
      <c r="H424" s="48" t="s">
        <v>4378</v>
      </c>
    </row>
    <row r="425" ht="24" customHeight="1" spans="1:8">
      <c r="A425" s="48" t="s">
        <v>875</v>
      </c>
      <c r="B425" s="48">
        <v>6</v>
      </c>
      <c r="C425" s="48" t="s">
        <v>4377</v>
      </c>
      <c r="D425" s="48" t="s">
        <v>4377</v>
      </c>
      <c r="E425" s="48" t="s">
        <v>4377</v>
      </c>
      <c r="F425" s="48" t="s">
        <v>4377</v>
      </c>
      <c r="G425" s="48" t="s">
        <v>4377</v>
      </c>
      <c r="H425" s="48" t="s">
        <v>4378</v>
      </c>
    </row>
    <row r="426" ht="24" customHeight="1" spans="1:8">
      <c r="A426" s="48" t="s">
        <v>877</v>
      </c>
      <c r="B426" s="48">
        <v>3</v>
      </c>
      <c r="C426" s="48" t="s">
        <v>4377</v>
      </c>
      <c r="D426" s="48" t="s">
        <v>4377</v>
      </c>
      <c r="E426" s="48" t="s">
        <v>4377</v>
      </c>
      <c r="F426" s="48" t="s">
        <v>4377</v>
      </c>
      <c r="G426" s="48" t="s">
        <v>4377</v>
      </c>
      <c r="H426" s="48" t="s">
        <v>4378</v>
      </c>
    </row>
    <row r="427" ht="24" customHeight="1" spans="1:8">
      <c r="A427" s="48" t="s">
        <v>879</v>
      </c>
      <c r="B427" s="48">
        <v>5</v>
      </c>
      <c r="C427" s="48" t="s">
        <v>4377</v>
      </c>
      <c r="D427" s="48" t="s">
        <v>4377</v>
      </c>
      <c r="E427" s="48" t="s">
        <v>4377</v>
      </c>
      <c r="F427" s="48" t="s">
        <v>4377</v>
      </c>
      <c r="G427" s="48" t="s">
        <v>4377</v>
      </c>
      <c r="H427" s="48" t="s">
        <v>4378</v>
      </c>
    </row>
    <row r="428" ht="24" customHeight="1" spans="1:8">
      <c r="A428" s="48" t="s">
        <v>881</v>
      </c>
      <c r="B428" s="48">
        <v>6</v>
      </c>
      <c r="C428" s="48" t="s">
        <v>4377</v>
      </c>
      <c r="D428" s="48" t="s">
        <v>4377</v>
      </c>
      <c r="E428" s="48" t="s">
        <v>4377</v>
      </c>
      <c r="F428" s="48" t="s">
        <v>4377</v>
      </c>
      <c r="G428" s="48" t="s">
        <v>4377</v>
      </c>
      <c r="H428" s="48" t="s">
        <v>4378</v>
      </c>
    </row>
    <row r="429" ht="24" customHeight="1" spans="1:8">
      <c r="A429" s="48" t="s">
        <v>883</v>
      </c>
      <c r="B429" s="48">
        <v>4</v>
      </c>
      <c r="C429" s="48" t="s">
        <v>4377</v>
      </c>
      <c r="D429" s="48" t="s">
        <v>4377</v>
      </c>
      <c r="E429" s="48" t="s">
        <v>4377</v>
      </c>
      <c r="F429" s="48" t="s">
        <v>4377</v>
      </c>
      <c r="G429" s="48" t="s">
        <v>4377</v>
      </c>
      <c r="H429" s="48" t="s">
        <v>4378</v>
      </c>
    </row>
    <row r="430" ht="24" customHeight="1" spans="1:8">
      <c r="A430" s="48" t="s">
        <v>885</v>
      </c>
      <c r="B430" s="48">
        <v>3</v>
      </c>
      <c r="C430" s="48" t="s">
        <v>4377</v>
      </c>
      <c r="D430" s="48" t="s">
        <v>4377</v>
      </c>
      <c r="E430" s="48" t="s">
        <v>4377</v>
      </c>
      <c r="F430" s="48" t="s">
        <v>4377</v>
      </c>
      <c r="G430" s="48" t="s">
        <v>4377</v>
      </c>
      <c r="H430" s="48" t="s">
        <v>4378</v>
      </c>
    </row>
    <row r="431" ht="24" customHeight="1" spans="1:8">
      <c r="A431" s="48" t="s">
        <v>887</v>
      </c>
      <c r="B431" s="48">
        <v>3</v>
      </c>
      <c r="C431" s="48" t="s">
        <v>4377</v>
      </c>
      <c r="D431" s="48" t="s">
        <v>4377</v>
      </c>
      <c r="E431" s="48" t="s">
        <v>4377</v>
      </c>
      <c r="F431" s="48" t="s">
        <v>4377</v>
      </c>
      <c r="G431" s="48" t="s">
        <v>4377</v>
      </c>
      <c r="H431" s="48" t="s">
        <v>4378</v>
      </c>
    </row>
    <row r="432" ht="24" customHeight="1" spans="1:8">
      <c r="A432" s="48" t="s">
        <v>889</v>
      </c>
      <c r="B432" s="48">
        <v>8</v>
      </c>
      <c r="C432" s="48" t="s">
        <v>4377</v>
      </c>
      <c r="D432" s="48" t="s">
        <v>4377</v>
      </c>
      <c r="E432" s="48" t="s">
        <v>4377</v>
      </c>
      <c r="F432" s="48" t="s">
        <v>4377</v>
      </c>
      <c r="G432" s="48" t="s">
        <v>4377</v>
      </c>
      <c r="H432" s="48" t="s">
        <v>4378</v>
      </c>
    </row>
    <row r="433" ht="24" customHeight="1" spans="1:8">
      <c r="A433" s="48" t="s">
        <v>891</v>
      </c>
      <c r="B433" s="48">
        <v>8</v>
      </c>
      <c r="C433" s="48" t="s">
        <v>4377</v>
      </c>
      <c r="D433" s="48" t="s">
        <v>4377</v>
      </c>
      <c r="E433" s="48" t="s">
        <v>4377</v>
      </c>
      <c r="F433" s="48" t="s">
        <v>4377</v>
      </c>
      <c r="G433" s="48" t="s">
        <v>4377</v>
      </c>
      <c r="H433" s="48" t="s">
        <v>4378</v>
      </c>
    </row>
    <row r="434" ht="24" customHeight="1" spans="1:8">
      <c r="A434" s="48" t="s">
        <v>893</v>
      </c>
      <c r="B434" s="48">
        <v>12</v>
      </c>
      <c r="C434" s="48" t="s">
        <v>4377</v>
      </c>
      <c r="D434" s="48" t="s">
        <v>4377</v>
      </c>
      <c r="E434" s="48" t="s">
        <v>4377</v>
      </c>
      <c r="F434" s="48" t="s">
        <v>4377</v>
      </c>
      <c r="G434" s="48" t="s">
        <v>4377</v>
      </c>
      <c r="H434" s="48" t="s">
        <v>4379</v>
      </c>
    </row>
    <row r="435" ht="24" customHeight="1" spans="1:8">
      <c r="A435" s="48" t="s">
        <v>895</v>
      </c>
      <c r="B435" s="48">
        <v>5</v>
      </c>
      <c r="C435" s="48" t="s">
        <v>4377</v>
      </c>
      <c r="D435" s="48" t="s">
        <v>4377</v>
      </c>
      <c r="E435" s="48" t="s">
        <v>4377</v>
      </c>
      <c r="F435" s="48" t="s">
        <v>4377</v>
      </c>
      <c r="G435" s="48" t="s">
        <v>4377</v>
      </c>
      <c r="H435" s="48" t="s">
        <v>4378</v>
      </c>
    </row>
    <row r="436" ht="24" customHeight="1" spans="1:8">
      <c r="A436" s="48" t="s">
        <v>897</v>
      </c>
      <c r="B436" s="48">
        <v>10</v>
      </c>
      <c r="C436" s="48" t="s">
        <v>4377</v>
      </c>
      <c r="D436" s="48" t="s">
        <v>4377</v>
      </c>
      <c r="E436" s="48" t="s">
        <v>4377</v>
      </c>
      <c r="F436" s="48" t="s">
        <v>4377</v>
      </c>
      <c r="G436" s="48" t="s">
        <v>4377</v>
      </c>
      <c r="H436" s="48" t="s">
        <v>4379</v>
      </c>
    </row>
    <row r="437" ht="24" customHeight="1" spans="1:8">
      <c r="A437" s="48" t="s">
        <v>899</v>
      </c>
      <c r="B437" s="48">
        <v>11</v>
      </c>
      <c r="C437" s="48" t="s">
        <v>4377</v>
      </c>
      <c r="D437" s="48" t="s">
        <v>4377</v>
      </c>
      <c r="E437" s="48" t="s">
        <v>4377</v>
      </c>
      <c r="F437" s="48" t="s">
        <v>4377</v>
      </c>
      <c r="G437" s="48" t="s">
        <v>4377</v>
      </c>
      <c r="H437" s="48" t="s">
        <v>4379</v>
      </c>
    </row>
    <row r="438" ht="24" customHeight="1" spans="1:8">
      <c r="A438" s="48" t="s">
        <v>901</v>
      </c>
      <c r="B438" s="48">
        <v>10</v>
      </c>
      <c r="C438" s="48" t="s">
        <v>4377</v>
      </c>
      <c r="D438" s="48" t="s">
        <v>4377</v>
      </c>
      <c r="E438" s="48" t="s">
        <v>4377</v>
      </c>
      <c r="F438" s="48" t="s">
        <v>4377</v>
      </c>
      <c r="G438" s="48" t="s">
        <v>4377</v>
      </c>
      <c r="H438" s="48" t="s">
        <v>4379</v>
      </c>
    </row>
    <row r="439" ht="24" customHeight="1" spans="1:8">
      <c r="A439" s="48" t="s">
        <v>903</v>
      </c>
      <c r="B439" s="48">
        <v>12</v>
      </c>
      <c r="C439" s="48" t="s">
        <v>4377</v>
      </c>
      <c r="D439" s="48" t="s">
        <v>4377</v>
      </c>
      <c r="E439" s="48" t="s">
        <v>4377</v>
      </c>
      <c r="F439" s="48" t="s">
        <v>4377</v>
      </c>
      <c r="G439" s="48" t="s">
        <v>4377</v>
      </c>
      <c r="H439" s="48" t="s">
        <v>4379</v>
      </c>
    </row>
    <row r="440" ht="24" customHeight="1" spans="1:8">
      <c r="A440" s="48" t="s">
        <v>905</v>
      </c>
      <c r="B440" s="48">
        <v>6</v>
      </c>
      <c r="C440" s="48" t="s">
        <v>4377</v>
      </c>
      <c r="D440" s="48" t="s">
        <v>4377</v>
      </c>
      <c r="E440" s="48" t="s">
        <v>4377</v>
      </c>
      <c r="F440" s="48" t="s">
        <v>4377</v>
      </c>
      <c r="G440" s="48" t="s">
        <v>4377</v>
      </c>
      <c r="H440" s="48" t="s">
        <v>4378</v>
      </c>
    </row>
    <row r="441" ht="24" customHeight="1" spans="1:8">
      <c r="A441" s="48" t="s">
        <v>907</v>
      </c>
      <c r="B441" s="48">
        <v>12</v>
      </c>
      <c r="C441" s="48" t="s">
        <v>4377</v>
      </c>
      <c r="D441" s="48" t="s">
        <v>4377</v>
      </c>
      <c r="E441" s="48" t="s">
        <v>4377</v>
      </c>
      <c r="F441" s="48" t="s">
        <v>4377</v>
      </c>
      <c r="G441" s="48" t="s">
        <v>4377</v>
      </c>
      <c r="H441" s="48" t="s">
        <v>4379</v>
      </c>
    </row>
    <row r="442" ht="24" customHeight="1" spans="1:8">
      <c r="A442" s="48" t="s">
        <v>909</v>
      </c>
      <c r="B442" s="48">
        <v>8</v>
      </c>
      <c r="C442" s="48" t="s">
        <v>4377</v>
      </c>
      <c r="D442" s="48" t="s">
        <v>4377</v>
      </c>
      <c r="E442" s="48" t="s">
        <v>4377</v>
      </c>
      <c r="F442" s="48" t="s">
        <v>4377</v>
      </c>
      <c r="G442" s="48" t="s">
        <v>4377</v>
      </c>
      <c r="H442" s="48" t="s">
        <v>4378</v>
      </c>
    </row>
    <row r="443" ht="24" customHeight="1" spans="1:8">
      <c r="A443" s="48" t="s">
        <v>911</v>
      </c>
      <c r="B443" s="48">
        <v>12</v>
      </c>
      <c r="C443" s="48" t="s">
        <v>4377</v>
      </c>
      <c r="D443" s="48" t="s">
        <v>4377</v>
      </c>
      <c r="E443" s="48" t="s">
        <v>4377</v>
      </c>
      <c r="F443" s="48" t="s">
        <v>4377</v>
      </c>
      <c r="G443" s="48" t="s">
        <v>4377</v>
      </c>
      <c r="H443" s="48" t="s">
        <v>4379</v>
      </c>
    </row>
    <row r="444" ht="24" customHeight="1" spans="1:8">
      <c r="A444" s="48" t="s">
        <v>913</v>
      </c>
      <c r="B444" s="48">
        <v>8</v>
      </c>
      <c r="C444" s="48" t="s">
        <v>4377</v>
      </c>
      <c r="D444" s="48" t="s">
        <v>4377</v>
      </c>
      <c r="E444" s="48" t="s">
        <v>4377</v>
      </c>
      <c r="F444" s="48" t="s">
        <v>4377</v>
      </c>
      <c r="G444" s="48" t="s">
        <v>4377</v>
      </c>
      <c r="H444" s="48" t="s">
        <v>4378</v>
      </c>
    </row>
    <row r="445" ht="24" customHeight="1" spans="1:8">
      <c r="A445" s="48" t="s">
        <v>915</v>
      </c>
      <c r="B445" s="48">
        <v>7</v>
      </c>
      <c r="C445" s="48" t="s">
        <v>4377</v>
      </c>
      <c r="D445" s="48" t="s">
        <v>4377</v>
      </c>
      <c r="E445" s="48" t="s">
        <v>4377</v>
      </c>
      <c r="F445" s="48" t="s">
        <v>4377</v>
      </c>
      <c r="G445" s="48" t="s">
        <v>4377</v>
      </c>
      <c r="H445" s="48" t="s">
        <v>4378</v>
      </c>
    </row>
    <row r="446" ht="24" customHeight="1" spans="1:8">
      <c r="A446" s="48" t="s">
        <v>917</v>
      </c>
      <c r="B446" s="48">
        <v>7</v>
      </c>
      <c r="C446" s="48" t="s">
        <v>4377</v>
      </c>
      <c r="D446" s="48" t="s">
        <v>4377</v>
      </c>
      <c r="E446" s="48" t="s">
        <v>4377</v>
      </c>
      <c r="F446" s="48" t="s">
        <v>4377</v>
      </c>
      <c r="G446" s="48" t="s">
        <v>4377</v>
      </c>
      <c r="H446" s="48" t="s">
        <v>4378</v>
      </c>
    </row>
    <row r="447" ht="24" customHeight="1" spans="1:8">
      <c r="A447" s="48" t="s">
        <v>919</v>
      </c>
      <c r="B447" s="48">
        <v>6</v>
      </c>
      <c r="C447" s="48" t="s">
        <v>4377</v>
      </c>
      <c r="D447" s="48" t="s">
        <v>4377</v>
      </c>
      <c r="E447" s="48" t="s">
        <v>4377</v>
      </c>
      <c r="F447" s="48" t="s">
        <v>4377</v>
      </c>
      <c r="G447" s="48" t="s">
        <v>4377</v>
      </c>
      <c r="H447" s="48" t="s">
        <v>4378</v>
      </c>
    </row>
    <row r="448" ht="24" customHeight="1" spans="1:8">
      <c r="A448" s="48" t="s">
        <v>921</v>
      </c>
      <c r="B448" s="48">
        <v>10</v>
      </c>
      <c r="C448" s="48" t="s">
        <v>4377</v>
      </c>
      <c r="D448" s="48" t="s">
        <v>4377</v>
      </c>
      <c r="E448" s="48" t="s">
        <v>4377</v>
      </c>
      <c r="F448" s="48" t="s">
        <v>4377</v>
      </c>
      <c r="G448" s="48" t="s">
        <v>4377</v>
      </c>
      <c r="H448" s="48" t="s">
        <v>4379</v>
      </c>
    </row>
    <row r="449" ht="24" customHeight="1" spans="1:8">
      <c r="A449" s="48" t="s">
        <v>923</v>
      </c>
      <c r="B449" s="48">
        <v>6</v>
      </c>
      <c r="C449" s="48" t="s">
        <v>4377</v>
      </c>
      <c r="D449" s="48" t="s">
        <v>4377</v>
      </c>
      <c r="E449" s="48" t="s">
        <v>4377</v>
      </c>
      <c r="F449" s="48" t="s">
        <v>4377</v>
      </c>
      <c r="G449" s="48" t="s">
        <v>4377</v>
      </c>
      <c r="H449" s="48" t="s">
        <v>4378</v>
      </c>
    </row>
  </sheetData>
  <sheetProtection formatCells="0" insertHyperlinks="0" autoFilter="0"/>
  <conditionalFormatting sqref="C2:G449">
    <cfRule type="containsText" dxfId="0" priority="1" operator="between" text="待人工确认">
      <formula>NOT(ISERROR(SEARCH("待人工确认",C2)))</formula>
    </cfRule>
    <cfRule type="containsText" dxfId="1" priority="2" operator="between" text="通过">
      <formula>NOT(ISERROR(SEARCH("通过",C2)))</formula>
    </cfRule>
  </conditionalFormatting>
  <pageMargins left="0.7" right="0.7" top="0.75" bottom="0.75" header="0.3" footer="0.3"/>
  <headerFooter/>
  <picture r:id="cco-watermark"/>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showGridLines="0" workbookViewId="0">
      <selection activeCell="A1" sqref="A1"/>
    </sheetView>
  </sheetViews>
  <sheetFormatPr defaultColWidth="9" defaultRowHeight="14.25" outlineLevelCol="4"/>
  <cols>
    <col min="1" max="1" customWidth="true" width="18.0" collapsed="false"/>
    <col min="2" max="2" customWidth="true" width="28.0" collapsed="false"/>
    <col min="3" max="3" customWidth="true" width="14.0" collapsed="false"/>
    <col min="4" max="4" customWidth="true" width="28.0" collapsed="false"/>
    <col min="5" max="5" customWidth="true" width="70.0" collapsed="false"/>
  </cols>
  <sheetData>
    <row r="1" ht="30" customHeight="1" spans="1:5">
      <c r="A1" s="46" t="s">
        <v>929</v>
      </c>
      <c r="B1" s="47" t="s">
        <v>930</v>
      </c>
      <c r="C1" s="47" t="s">
        <v>927</v>
      </c>
      <c r="D1" s="47" t="s">
        <v>928</v>
      </c>
      <c r="E1" s="47" t="s">
        <v>4380</v>
      </c>
    </row>
    <row r="2" ht="42" customHeight="1" spans="1:5">
      <c r="A2" s="48" t="s">
        <v>1928</v>
      </c>
      <c r="B2" s="48" t="s">
        <v>1929</v>
      </c>
      <c r="C2" s="48" t="s">
        <v>1400</v>
      </c>
      <c r="D2" s="48" t="s">
        <v>1401</v>
      </c>
      <c r="E2" s="47" t="s">
        <v>4381</v>
      </c>
    </row>
    <row r="3" ht="42" customHeight="1" spans="1:5">
      <c r="A3" s="48" t="s">
        <v>4382</v>
      </c>
      <c r="B3" s="48" t="s">
        <v>4383</v>
      </c>
      <c r="C3" s="48" t="s">
        <v>1400</v>
      </c>
      <c r="D3" s="48" t="s">
        <v>1401</v>
      </c>
      <c r="E3" s="47" t="s">
        <v>4384</v>
      </c>
    </row>
    <row r="4" ht="42" customHeight="1" spans="1:5">
      <c r="A4" s="48" t="s">
        <v>1402</v>
      </c>
      <c r="B4" s="48" t="s">
        <v>1403</v>
      </c>
      <c r="C4" s="48" t="s">
        <v>1400</v>
      </c>
      <c r="D4" s="48" t="s">
        <v>1401</v>
      </c>
      <c r="E4" s="47" t="s">
        <v>4385</v>
      </c>
    </row>
    <row r="5" ht="42" customHeight="1" spans="1:5">
      <c r="A5" s="48" t="s">
        <v>4386</v>
      </c>
      <c r="B5" s="48" t="s">
        <v>4387</v>
      </c>
      <c r="C5" s="48" t="s">
        <v>1400</v>
      </c>
      <c r="D5" s="48" t="s">
        <v>1401</v>
      </c>
      <c r="E5" s="47" t="s">
        <v>4388</v>
      </c>
    </row>
    <row r="6" ht="42" customHeight="1" spans="1:5">
      <c r="A6" s="48" t="s">
        <v>4389</v>
      </c>
      <c r="B6" s="48" t="s">
        <v>4390</v>
      </c>
      <c r="C6" s="48" t="s">
        <v>1413</v>
      </c>
      <c r="D6" s="48" t="s">
        <v>1414</v>
      </c>
      <c r="E6" s="47" t="s">
        <v>4391</v>
      </c>
    </row>
    <row r="7" ht="42" customHeight="1" spans="1:5">
      <c r="A7" s="48" t="s">
        <v>1415</v>
      </c>
      <c r="B7" s="48" t="s">
        <v>1416</v>
      </c>
      <c r="C7" s="48" t="s">
        <v>1413</v>
      </c>
      <c r="D7" s="48" t="s">
        <v>1414</v>
      </c>
      <c r="E7" s="47" t="s">
        <v>4392</v>
      </c>
    </row>
    <row r="8" ht="42" customHeight="1" spans="1:5">
      <c r="A8" s="48" t="s">
        <v>3739</v>
      </c>
      <c r="B8" s="48" t="s">
        <v>3740</v>
      </c>
      <c r="C8" s="48" t="s">
        <v>1413</v>
      </c>
      <c r="D8" s="48" t="s">
        <v>1414</v>
      </c>
      <c r="E8" s="47" t="s">
        <v>4393</v>
      </c>
    </row>
    <row r="9" ht="42" customHeight="1" spans="1:5">
      <c r="A9" s="48" t="s">
        <v>1148</v>
      </c>
      <c r="B9" s="48" t="s">
        <v>1149</v>
      </c>
      <c r="C9" s="48" t="s">
        <v>1146</v>
      </c>
      <c r="D9" s="48" t="s">
        <v>1147</v>
      </c>
      <c r="E9" s="47" t="s">
        <v>4394</v>
      </c>
    </row>
    <row r="10" ht="42" customHeight="1" spans="1:5">
      <c r="A10" s="48" t="s">
        <v>4177</v>
      </c>
      <c r="B10" s="48" t="s">
        <v>4178</v>
      </c>
      <c r="C10" s="48" t="s">
        <v>1146</v>
      </c>
      <c r="D10" s="48" t="s">
        <v>1147</v>
      </c>
      <c r="E10" s="47" t="s">
        <v>4395</v>
      </c>
    </row>
    <row r="11" ht="42" customHeight="1" spans="1:5">
      <c r="A11" s="48" t="s">
        <v>1160</v>
      </c>
      <c r="B11" s="48" t="s">
        <v>1161</v>
      </c>
      <c r="C11" s="48" t="s">
        <v>1146</v>
      </c>
      <c r="D11" s="48" t="s">
        <v>1147</v>
      </c>
      <c r="E11" s="47" t="s">
        <v>4396</v>
      </c>
    </row>
    <row r="12" ht="42" customHeight="1" spans="1:5">
      <c r="A12" s="48" t="s">
        <v>980</v>
      </c>
      <c r="B12" s="48" t="s">
        <v>981</v>
      </c>
      <c r="C12" s="48" t="s">
        <v>978</v>
      </c>
      <c r="D12" s="48" t="s">
        <v>979</v>
      </c>
      <c r="E12" s="47" t="s">
        <v>4397</v>
      </c>
    </row>
    <row r="13" ht="42" customHeight="1" spans="1:5">
      <c r="A13" s="48" t="s">
        <v>1165</v>
      </c>
      <c r="B13" s="48" t="s">
        <v>1166</v>
      </c>
      <c r="C13" s="48" t="s">
        <v>978</v>
      </c>
      <c r="D13" s="48" t="s">
        <v>979</v>
      </c>
      <c r="E13" s="47" t="s">
        <v>4398</v>
      </c>
    </row>
    <row r="14" ht="42" customHeight="1" spans="1:5">
      <c r="A14" s="48" t="s">
        <v>1206</v>
      </c>
      <c r="B14" s="48" t="s">
        <v>1207</v>
      </c>
      <c r="C14" s="48" t="s">
        <v>978</v>
      </c>
      <c r="D14" s="48" t="s">
        <v>979</v>
      </c>
      <c r="E14" s="47" t="s">
        <v>4399</v>
      </c>
    </row>
    <row r="15" ht="42" customHeight="1" spans="1:5">
      <c r="A15" s="48" t="s">
        <v>1173</v>
      </c>
      <c r="B15" s="48" t="s">
        <v>1174</v>
      </c>
      <c r="C15" s="48" t="s">
        <v>1171</v>
      </c>
      <c r="D15" s="48" t="s">
        <v>1172</v>
      </c>
      <c r="E15" s="47" t="s">
        <v>4400</v>
      </c>
    </row>
    <row r="16" ht="42" customHeight="1" spans="1:5">
      <c r="A16" s="48" t="s">
        <v>1246</v>
      </c>
      <c r="B16" s="48" t="s">
        <v>1247</v>
      </c>
      <c r="C16" s="48" t="s">
        <v>1171</v>
      </c>
      <c r="D16" s="48" t="s">
        <v>1172</v>
      </c>
      <c r="E16" s="47" t="s">
        <v>4401</v>
      </c>
    </row>
    <row r="17" ht="42" customHeight="1" spans="1:5">
      <c r="A17" s="48" t="s">
        <v>2005</v>
      </c>
      <c r="B17" s="48" t="s">
        <v>2006</v>
      </c>
      <c r="C17" s="48" t="s">
        <v>1171</v>
      </c>
      <c r="D17" s="48" t="s">
        <v>1172</v>
      </c>
      <c r="E17" s="47" t="s">
        <v>4402</v>
      </c>
    </row>
    <row r="18" ht="42" customHeight="1" spans="1:5">
      <c r="A18" s="48" t="s">
        <v>1314</v>
      </c>
      <c r="B18" s="48" t="s">
        <v>1315</v>
      </c>
      <c r="C18" s="48" t="s">
        <v>1037</v>
      </c>
      <c r="D18" s="48" t="s">
        <v>1038</v>
      </c>
      <c r="E18" s="47" t="s">
        <v>4403</v>
      </c>
    </row>
    <row r="19" ht="42" customHeight="1" spans="1:5">
      <c r="A19" s="48" t="s">
        <v>1389</v>
      </c>
      <c r="B19" s="48" t="s">
        <v>1390</v>
      </c>
      <c r="C19" s="48" t="s">
        <v>1037</v>
      </c>
      <c r="D19" s="48" t="s">
        <v>1038</v>
      </c>
      <c r="E19" s="47" t="s">
        <v>4404</v>
      </c>
    </row>
    <row r="20" ht="42" customHeight="1" spans="1:5">
      <c r="A20" s="48" t="s">
        <v>1039</v>
      </c>
      <c r="B20" s="48" t="s">
        <v>1040</v>
      </c>
      <c r="C20" s="48" t="s">
        <v>1037</v>
      </c>
      <c r="D20" s="48" t="s">
        <v>1038</v>
      </c>
      <c r="E20" s="47" t="s">
        <v>4405</v>
      </c>
    </row>
    <row r="21" ht="42" customHeight="1" spans="1:5">
      <c r="A21" s="48" t="s">
        <v>1442</v>
      </c>
      <c r="B21" s="48" t="s">
        <v>1443</v>
      </c>
      <c r="C21" s="48" t="s">
        <v>1306</v>
      </c>
      <c r="D21" s="48" t="s">
        <v>1307</v>
      </c>
      <c r="E21" s="47" t="s">
        <v>4406</v>
      </c>
    </row>
    <row r="22" ht="42" customHeight="1" spans="1:5">
      <c r="A22" s="48" t="s">
        <v>3397</v>
      </c>
      <c r="B22" s="48" t="s">
        <v>3398</v>
      </c>
      <c r="C22" s="48" t="s">
        <v>1306</v>
      </c>
      <c r="D22" s="48" t="s">
        <v>1307</v>
      </c>
      <c r="E22" s="47" t="s">
        <v>4407</v>
      </c>
    </row>
    <row r="23" ht="42" customHeight="1" spans="1:5">
      <c r="A23" s="48" t="s">
        <v>1308</v>
      </c>
      <c r="B23" s="48" t="s">
        <v>1309</v>
      </c>
      <c r="C23" s="48" t="s">
        <v>1306</v>
      </c>
      <c r="D23" s="48" t="s">
        <v>1307</v>
      </c>
      <c r="E23" s="47" t="s">
        <v>4408</v>
      </c>
    </row>
    <row r="24" ht="42" customHeight="1" spans="1:5">
      <c r="A24" s="48" t="s">
        <v>1197</v>
      </c>
      <c r="B24" s="48" t="s">
        <v>1198</v>
      </c>
      <c r="C24" s="48" t="s">
        <v>1118</v>
      </c>
      <c r="D24" s="48" t="s">
        <v>1119</v>
      </c>
      <c r="E24" s="47" t="s">
        <v>4409</v>
      </c>
    </row>
    <row r="25" ht="42" customHeight="1" spans="1:5">
      <c r="A25" s="48" t="s">
        <v>1236</v>
      </c>
      <c r="B25" s="48" t="s">
        <v>1237</v>
      </c>
      <c r="C25" s="48" t="s">
        <v>1118</v>
      </c>
      <c r="D25" s="48" t="s">
        <v>1119</v>
      </c>
      <c r="E25" s="47" t="s">
        <v>4410</v>
      </c>
    </row>
    <row r="26" ht="42" customHeight="1" spans="1:5">
      <c r="A26" s="48" t="s">
        <v>1120</v>
      </c>
      <c r="B26" s="48" t="s">
        <v>1121</v>
      </c>
      <c r="C26" s="48" t="s">
        <v>1118</v>
      </c>
      <c r="D26" s="48" t="s">
        <v>1119</v>
      </c>
      <c r="E26" s="47" t="s">
        <v>4411</v>
      </c>
    </row>
    <row r="27" ht="42" customHeight="1" spans="1:5">
      <c r="A27" s="48" t="s">
        <v>1639</v>
      </c>
      <c r="B27" s="48" t="s">
        <v>1640</v>
      </c>
      <c r="C27" s="48" t="s">
        <v>1118</v>
      </c>
      <c r="D27" s="48" t="s">
        <v>1119</v>
      </c>
      <c r="E27" s="47" t="s">
        <v>4412</v>
      </c>
    </row>
    <row r="28" ht="42" customHeight="1" spans="1:5">
      <c r="A28" s="48" t="s">
        <v>1326</v>
      </c>
      <c r="B28" s="48" t="s">
        <v>1327</v>
      </c>
      <c r="C28" s="48" t="s">
        <v>1278</v>
      </c>
      <c r="D28" s="48" t="s">
        <v>1279</v>
      </c>
      <c r="E28" s="47" t="s">
        <v>4413</v>
      </c>
    </row>
    <row r="29" ht="42" customHeight="1" spans="1:5">
      <c r="A29" s="48" t="s">
        <v>1280</v>
      </c>
      <c r="B29" s="48" t="s">
        <v>1281</v>
      </c>
      <c r="C29" s="48" t="s">
        <v>1278</v>
      </c>
      <c r="D29" s="48" t="s">
        <v>1279</v>
      </c>
      <c r="E29" s="47" t="s">
        <v>4414</v>
      </c>
    </row>
    <row r="30" ht="42" customHeight="1" spans="1:5">
      <c r="A30" s="48" t="s">
        <v>1508</v>
      </c>
      <c r="B30" s="48" t="s">
        <v>1507</v>
      </c>
      <c r="C30" s="48" t="s">
        <v>1506</v>
      </c>
      <c r="D30" s="48" t="s">
        <v>1507</v>
      </c>
      <c r="E30" s="47" t="s">
        <v>4415</v>
      </c>
    </row>
    <row r="31" ht="42" customHeight="1" spans="1:5">
      <c r="A31" s="48" t="s">
        <v>1424</v>
      </c>
      <c r="B31" s="48" t="s">
        <v>1423</v>
      </c>
      <c r="C31" s="48" t="s">
        <v>1422</v>
      </c>
      <c r="D31" s="48" t="s">
        <v>1423</v>
      </c>
      <c r="E31" s="47" t="s">
        <v>4416</v>
      </c>
    </row>
    <row r="32" ht="42" customHeight="1" spans="1:5">
      <c r="A32" s="48" t="s">
        <v>2075</v>
      </c>
      <c r="B32" s="48" t="s">
        <v>2076</v>
      </c>
      <c r="C32" s="48" t="s">
        <v>1029</v>
      </c>
      <c r="D32" s="48" t="s">
        <v>1030</v>
      </c>
      <c r="E32" s="47" t="s">
        <v>4417</v>
      </c>
    </row>
    <row r="33" ht="42" customHeight="1" spans="1:5">
      <c r="A33" s="48" t="s">
        <v>1031</v>
      </c>
      <c r="B33" s="48" t="s">
        <v>1032</v>
      </c>
      <c r="C33" s="48" t="s">
        <v>1029</v>
      </c>
      <c r="D33" s="48" t="s">
        <v>1030</v>
      </c>
      <c r="E33" s="47" t="s">
        <v>4418</v>
      </c>
    </row>
    <row r="34" ht="42" customHeight="1" spans="1:5">
      <c r="A34" s="48" t="s">
        <v>1432</v>
      </c>
      <c r="B34" s="48" t="s">
        <v>1433</v>
      </c>
      <c r="C34" s="48" t="s">
        <v>1430</v>
      </c>
      <c r="D34" s="48" t="s">
        <v>1431</v>
      </c>
      <c r="E34" s="47" t="s">
        <v>4419</v>
      </c>
    </row>
    <row r="35" ht="42" customHeight="1" spans="1:5">
      <c r="A35" s="48" t="s">
        <v>1217</v>
      </c>
      <c r="B35" s="48" t="s">
        <v>1218</v>
      </c>
      <c r="C35" s="48" t="s">
        <v>993</v>
      </c>
      <c r="D35" s="48" t="s">
        <v>994</v>
      </c>
      <c r="E35" s="47" t="s">
        <v>4420</v>
      </c>
    </row>
    <row r="36" ht="42" customHeight="1" spans="1:5">
      <c r="A36" s="48" t="s">
        <v>4421</v>
      </c>
      <c r="B36" s="48" t="s">
        <v>4422</v>
      </c>
      <c r="C36" s="48" t="s">
        <v>993</v>
      </c>
      <c r="D36" s="48" t="s">
        <v>994</v>
      </c>
      <c r="E36" s="47" t="s">
        <v>4423</v>
      </c>
    </row>
    <row r="37" ht="42" customHeight="1" spans="1:5">
      <c r="A37" s="48" t="s">
        <v>1132</v>
      </c>
      <c r="B37" s="48" t="s">
        <v>1133</v>
      </c>
      <c r="C37" s="48" t="s">
        <v>993</v>
      </c>
      <c r="D37" s="48" t="s">
        <v>994</v>
      </c>
      <c r="E37" s="47" t="s">
        <v>4424</v>
      </c>
    </row>
    <row r="38" ht="42" customHeight="1" spans="1:5">
      <c r="A38" s="48" t="s">
        <v>1126</v>
      </c>
      <c r="B38" s="48" t="s">
        <v>1127</v>
      </c>
      <c r="C38" s="48" t="s">
        <v>1059</v>
      </c>
      <c r="D38" s="48" t="s">
        <v>1060</v>
      </c>
      <c r="E38" s="47" t="s">
        <v>4425</v>
      </c>
    </row>
    <row r="39" ht="42" customHeight="1" spans="1:5">
      <c r="A39" s="48" t="s">
        <v>1061</v>
      </c>
      <c r="B39" s="48" t="s">
        <v>1062</v>
      </c>
      <c r="C39" s="48" t="s">
        <v>1059</v>
      </c>
      <c r="D39" s="48" t="s">
        <v>1060</v>
      </c>
      <c r="E39" s="47" t="s">
        <v>4426</v>
      </c>
    </row>
    <row r="40" ht="42" customHeight="1" spans="1:5">
      <c r="A40" s="48" t="s">
        <v>1363</v>
      </c>
      <c r="B40" s="48" t="s">
        <v>1364</v>
      </c>
      <c r="C40" s="48" t="s">
        <v>1059</v>
      </c>
      <c r="D40" s="48" t="s">
        <v>1060</v>
      </c>
      <c r="E40" s="47" t="s">
        <v>4427</v>
      </c>
    </row>
    <row r="41" ht="42" customHeight="1" spans="1:5">
      <c r="A41" s="48" t="s">
        <v>1721</v>
      </c>
      <c r="B41" s="48" t="s">
        <v>1722</v>
      </c>
      <c r="C41" s="48" t="s">
        <v>1719</v>
      </c>
      <c r="D41" s="48" t="s">
        <v>1720</v>
      </c>
      <c r="E41" s="47" t="s">
        <v>4428</v>
      </c>
    </row>
    <row r="42" ht="42" customHeight="1" spans="1:5">
      <c r="A42" s="48" t="s">
        <v>1667</v>
      </c>
      <c r="B42" s="48" t="s">
        <v>1668</v>
      </c>
      <c r="C42" s="48" t="s">
        <v>1082</v>
      </c>
      <c r="D42" s="48" t="s">
        <v>1083</v>
      </c>
      <c r="E42" s="47" t="s">
        <v>4429</v>
      </c>
    </row>
    <row r="43" ht="42" customHeight="1" spans="1:5">
      <c r="A43" s="48" t="s">
        <v>1349</v>
      </c>
      <c r="B43" s="48" t="s">
        <v>1350</v>
      </c>
      <c r="C43" s="48" t="s">
        <v>1082</v>
      </c>
      <c r="D43" s="48" t="s">
        <v>1083</v>
      </c>
      <c r="E43" s="47" t="s">
        <v>4430</v>
      </c>
    </row>
    <row r="44" ht="42" customHeight="1" spans="1:5">
      <c r="A44" s="48" t="s">
        <v>1369</v>
      </c>
      <c r="B44" s="48" t="s">
        <v>1370</v>
      </c>
      <c r="C44" s="48" t="s">
        <v>1082</v>
      </c>
      <c r="D44" s="48" t="s">
        <v>1083</v>
      </c>
      <c r="E44" s="47" t="s">
        <v>4431</v>
      </c>
    </row>
    <row r="45" ht="42" customHeight="1" spans="1:5">
      <c r="A45" s="48" t="s">
        <v>1652</v>
      </c>
      <c r="B45" s="48" t="s">
        <v>1653</v>
      </c>
      <c r="C45" s="48" t="s">
        <v>1082</v>
      </c>
      <c r="D45" s="48" t="s">
        <v>1083</v>
      </c>
      <c r="E45" s="47" t="s">
        <v>4432</v>
      </c>
    </row>
    <row r="46" ht="42" customHeight="1" spans="1:5">
      <c r="A46" s="48" t="s">
        <v>1084</v>
      </c>
      <c r="B46" s="48" t="s">
        <v>1085</v>
      </c>
      <c r="C46" s="48" t="s">
        <v>1082</v>
      </c>
      <c r="D46" s="48" t="s">
        <v>1083</v>
      </c>
      <c r="E46" s="47" t="s">
        <v>4433</v>
      </c>
    </row>
    <row r="47" ht="42" customHeight="1" spans="1:5">
      <c r="A47" s="48" t="s">
        <v>1357</v>
      </c>
      <c r="B47" s="48" t="s">
        <v>1358</v>
      </c>
      <c r="C47" s="48" t="s">
        <v>1082</v>
      </c>
      <c r="D47" s="48" t="s">
        <v>1083</v>
      </c>
      <c r="E47" s="47" t="s">
        <v>4434</v>
      </c>
    </row>
    <row r="48" ht="42" customHeight="1" spans="1:5">
      <c r="A48" s="48" t="s">
        <v>1590</v>
      </c>
      <c r="B48" s="48" t="s">
        <v>1591</v>
      </c>
      <c r="C48" s="48" t="s">
        <v>943</v>
      </c>
      <c r="D48" s="48" t="s">
        <v>944</v>
      </c>
      <c r="E48" s="47" t="s">
        <v>4435</v>
      </c>
    </row>
    <row r="49" ht="42" customHeight="1" spans="1:5">
      <c r="A49" s="48" t="s">
        <v>945</v>
      </c>
      <c r="B49" s="48" t="s">
        <v>946</v>
      </c>
      <c r="C49" s="48" t="s">
        <v>943</v>
      </c>
      <c r="D49" s="48" t="s">
        <v>944</v>
      </c>
      <c r="E49" s="47" t="s">
        <v>4436</v>
      </c>
    </row>
    <row r="50" ht="42" customHeight="1" spans="1:5">
      <c r="A50" s="48" t="s">
        <v>1154</v>
      </c>
      <c r="B50" s="48" t="s">
        <v>1155</v>
      </c>
      <c r="C50" s="48" t="s">
        <v>943</v>
      </c>
      <c r="D50" s="48" t="s">
        <v>944</v>
      </c>
      <c r="E50" s="47" t="s">
        <v>4437</v>
      </c>
    </row>
    <row r="51" ht="42" customHeight="1" spans="1:5">
      <c r="A51" s="48" t="s">
        <v>1682</v>
      </c>
      <c r="B51" s="48" t="s">
        <v>1683</v>
      </c>
      <c r="C51" s="48" t="s">
        <v>943</v>
      </c>
      <c r="D51" s="48" t="s">
        <v>944</v>
      </c>
      <c r="E51" s="47" t="s">
        <v>4438</v>
      </c>
    </row>
    <row r="52" ht="42" customHeight="1" spans="1:5">
      <c r="A52" s="48" t="s">
        <v>1186</v>
      </c>
      <c r="B52" s="48" t="s">
        <v>1187</v>
      </c>
      <c r="C52" s="48" t="s">
        <v>1184</v>
      </c>
      <c r="D52" s="48" t="s">
        <v>1185</v>
      </c>
      <c r="E52" s="47" t="s">
        <v>4439</v>
      </c>
    </row>
    <row r="53" ht="42" customHeight="1" spans="1:5">
      <c r="A53" s="48" t="s">
        <v>1602</v>
      </c>
      <c r="B53" s="48" t="s">
        <v>1603</v>
      </c>
      <c r="C53" s="48" t="s">
        <v>1184</v>
      </c>
      <c r="D53" s="48" t="s">
        <v>1185</v>
      </c>
      <c r="E53" s="47" t="s">
        <v>4440</v>
      </c>
    </row>
    <row r="54" ht="42" customHeight="1" spans="1:5">
      <c r="A54" s="48" t="s">
        <v>1935</v>
      </c>
      <c r="B54" s="48" t="s">
        <v>1936</v>
      </c>
      <c r="C54" s="48" t="s">
        <v>1184</v>
      </c>
      <c r="D54" s="48" t="s">
        <v>1185</v>
      </c>
      <c r="E54" s="47" t="s">
        <v>4441</v>
      </c>
    </row>
    <row r="55" ht="42" customHeight="1" spans="1:5">
      <c r="A55" s="48" t="s">
        <v>988</v>
      </c>
      <c r="B55" s="48" t="s">
        <v>987</v>
      </c>
      <c r="C55" s="48" t="s">
        <v>986</v>
      </c>
      <c r="D55" s="48" t="s">
        <v>987</v>
      </c>
      <c r="E55" s="47" t="s">
        <v>4442</v>
      </c>
    </row>
    <row r="56" ht="42" customHeight="1" spans="1:5">
      <c r="A56" s="48" t="s">
        <v>1047</v>
      </c>
      <c r="B56" s="48" t="s">
        <v>1048</v>
      </c>
      <c r="C56" s="48" t="s">
        <v>1045</v>
      </c>
      <c r="D56" s="48" t="s">
        <v>1046</v>
      </c>
      <c r="E56" s="47" t="s">
        <v>4443</v>
      </c>
    </row>
    <row r="57" ht="42" customHeight="1" spans="1:5">
      <c r="A57" s="48" t="s">
        <v>995</v>
      </c>
      <c r="B57" s="48" t="s">
        <v>996</v>
      </c>
      <c r="C57" s="48" t="s">
        <v>993</v>
      </c>
      <c r="D57" s="48" t="s">
        <v>994</v>
      </c>
      <c r="E57" s="47" t="s">
        <v>4444</v>
      </c>
    </row>
    <row r="58" ht="42" customHeight="1" spans="1:5">
      <c r="A58" s="48" t="s">
        <v>4445</v>
      </c>
      <c r="B58" s="48" t="s">
        <v>4446</v>
      </c>
      <c r="C58" s="48" t="s">
        <v>1719</v>
      </c>
      <c r="D58" s="48" t="s">
        <v>1720</v>
      </c>
      <c r="E58" s="47" t="s">
        <v>4447</v>
      </c>
    </row>
    <row r="59" ht="42" customHeight="1" spans="1:5">
      <c r="A59" s="48" t="s">
        <v>4448</v>
      </c>
      <c r="B59" s="48" t="s">
        <v>4449</v>
      </c>
      <c r="C59" s="48" t="s">
        <v>1719</v>
      </c>
      <c r="D59" s="48" t="s">
        <v>1720</v>
      </c>
      <c r="E59" s="47" t="s">
        <v>4450</v>
      </c>
    </row>
    <row r="60" ht="42" customHeight="1" spans="1:5">
      <c r="A60" s="48" t="s">
        <v>4451</v>
      </c>
      <c r="B60" s="48" t="s">
        <v>4452</v>
      </c>
      <c r="C60" s="48" t="s">
        <v>1719</v>
      </c>
      <c r="D60" s="48" t="s">
        <v>1720</v>
      </c>
      <c r="E60" s="47" t="s">
        <v>4453</v>
      </c>
    </row>
    <row r="61" ht="42" customHeight="1" spans="1:5">
      <c r="A61" s="48" t="s">
        <v>4454</v>
      </c>
      <c r="B61" s="48" t="s">
        <v>4455</v>
      </c>
      <c r="C61" s="48" t="s">
        <v>4456</v>
      </c>
      <c r="D61" s="48" t="s">
        <v>4457</v>
      </c>
      <c r="E61" s="47" t="s">
        <v>4458</v>
      </c>
    </row>
    <row r="62" ht="42" customHeight="1" spans="1:5">
      <c r="A62" s="48" t="s">
        <v>4459</v>
      </c>
      <c r="B62" s="48" t="s">
        <v>4460</v>
      </c>
      <c r="C62" s="48" t="s">
        <v>4456</v>
      </c>
      <c r="D62" s="48" t="s">
        <v>4457</v>
      </c>
      <c r="E62" s="47" t="s">
        <v>4461</v>
      </c>
    </row>
    <row r="63" ht="42" customHeight="1" spans="1:5">
      <c r="A63" s="48" t="s">
        <v>1253</v>
      </c>
      <c r="B63" s="48" t="s">
        <v>1254</v>
      </c>
      <c r="C63" s="48" t="s">
        <v>1001</v>
      </c>
      <c r="D63" s="48" t="s">
        <v>1002</v>
      </c>
      <c r="E63" s="47" t="s">
        <v>4462</v>
      </c>
    </row>
    <row r="64" ht="42" customHeight="1" spans="1:5">
      <c r="A64" s="48" t="s">
        <v>1003</v>
      </c>
      <c r="B64" s="48" t="s">
        <v>1004</v>
      </c>
      <c r="C64" s="48" t="s">
        <v>1001</v>
      </c>
      <c r="D64" s="48" t="s">
        <v>1002</v>
      </c>
      <c r="E64" s="47" t="s">
        <v>4463</v>
      </c>
    </row>
    <row r="65" ht="42" customHeight="1" spans="1:5">
      <c r="A65" s="48" t="s">
        <v>1481</v>
      </c>
      <c r="B65" s="48" t="s">
        <v>1482</v>
      </c>
      <c r="C65" s="48" t="s">
        <v>1001</v>
      </c>
      <c r="D65" s="48" t="s">
        <v>1002</v>
      </c>
      <c r="E65" s="47" t="s">
        <v>4464</v>
      </c>
    </row>
    <row r="66" ht="42" customHeight="1" spans="1:5">
      <c r="A66" s="48" t="s">
        <v>1298</v>
      </c>
      <c r="B66" s="48" t="s">
        <v>1299</v>
      </c>
      <c r="C66" s="48" t="s">
        <v>1009</v>
      </c>
      <c r="D66" s="48" t="s">
        <v>1010</v>
      </c>
      <c r="E66" s="47" t="s">
        <v>4465</v>
      </c>
    </row>
    <row r="67" ht="42" customHeight="1" spans="1:5">
      <c r="A67" s="48" t="s">
        <v>1011</v>
      </c>
      <c r="B67" s="48" t="s">
        <v>1012</v>
      </c>
      <c r="C67" s="48" t="s">
        <v>1009</v>
      </c>
      <c r="D67" s="48" t="s">
        <v>1010</v>
      </c>
      <c r="E67" s="47" t="s">
        <v>4466</v>
      </c>
    </row>
    <row r="68" ht="42" customHeight="1" spans="1:5">
      <c r="A68" s="48" t="s">
        <v>1053</v>
      </c>
      <c r="B68" s="48" t="s">
        <v>1054</v>
      </c>
      <c r="C68" s="48" t="s">
        <v>1009</v>
      </c>
      <c r="D68" s="48" t="s">
        <v>1010</v>
      </c>
      <c r="E68" s="47" t="s">
        <v>4467</v>
      </c>
    </row>
    <row r="69" ht="42" customHeight="1" spans="1:5">
      <c r="A69" s="48" t="s">
        <v>1976</v>
      </c>
      <c r="B69" s="48" t="s">
        <v>1977</v>
      </c>
      <c r="C69" s="48" t="s">
        <v>1009</v>
      </c>
      <c r="D69" s="48" t="s">
        <v>1010</v>
      </c>
      <c r="E69" s="47" t="s">
        <v>4468</v>
      </c>
    </row>
    <row r="70" ht="42" customHeight="1" spans="1:5">
      <c r="A70" s="48" t="s">
        <v>1338</v>
      </c>
      <c r="B70" s="48" t="s">
        <v>1339</v>
      </c>
      <c r="C70" s="48" t="s">
        <v>1009</v>
      </c>
      <c r="D70" s="48" t="s">
        <v>1010</v>
      </c>
      <c r="E70" s="47" t="s">
        <v>4469</v>
      </c>
    </row>
    <row r="71" ht="42" customHeight="1" spans="1:5">
      <c r="A71" s="48" t="s">
        <v>1106</v>
      </c>
      <c r="B71" s="48" t="s">
        <v>1107</v>
      </c>
      <c r="C71" s="48" t="s">
        <v>1009</v>
      </c>
      <c r="D71" s="48" t="s">
        <v>1010</v>
      </c>
      <c r="E71" s="47" t="s">
        <v>4470</v>
      </c>
    </row>
    <row r="72" ht="42" customHeight="1" spans="1:5">
      <c r="A72" s="48" t="s">
        <v>1100</v>
      </c>
      <c r="B72" s="48" t="s">
        <v>1101</v>
      </c>
      <c r="C72" s="48" t="s">
        <v>1098</v>
      </c>
      <c r="D72" s="48" t="s">
        <v>1099</v>
      </c>
      <c r="E72" s="47" t="s">
        <v>4471</v>
      </c>
    </row>
    <row r="73" ht="42" customHeight="1" spans="1:5">
      <c r="A73" s="48" t="s">
        <v>1611</v>
      </c>
      <c r="B73" s="48" t="s">
        <v>1612</v>
      </c>
      <c r="C73" s="48" t="s">
        <v>1098</v>
      </c>
      <c r="D73" s="48" t="s">
        <v>1099</v>
      </c>
      <c r="E73" s="47" t="s">
        <v>4472</v>
      </c>
    </row>
    <row r="74" ht="42" customHeight="1" spans="1:5">
      <c r="A74" s="48" t="s">
        <v>1573</v>
      </c>
      <c r="B74" s="48" t="s">
        <v>1574</v>
      </c>
      <c r="C74" s="48" t="s">
        <v>1098</v>
      </c>
      <c r="D74" s="48" t="s">
        <v>1099</v>
      </c>
      <c r="E74" s="47" t="s">
        <v>4473</v>
      </c>
    </row>
    <row r="75" ht="42" customHeight="1" spans="1:5">
      <c r="A75" s="48" t="s">
        <v>1376</v>
      </c>
      <c r="B75" s="48" t="s">
        <v>1377</v>
      </c>
      <c r="C75" s="48" t="s">
        <v>1098</v>
      </c>
      <c r="D75" s="48" t="s">
        <v>1099</v>
      </c>
      <c r="E75" s="47" t="s">
        <v>4474</v>
      </c>
    </row>
    <row r="76" ht="42" customHeight="1" spans="1:5">
      <c r="A76" s="48" t="s">
        <v>1140</v>
      </c>
      <c r="B76" s="48" t="s">
        <v>1141</v>
      </c>
      <c r="C76" s="48" t="s">
        <v>1138</v>
      </c>
      <c r="D76" s="48" t="s">
        <v>1139</v>
      </c>
      <c r="E76" s="47" t="s">
        <v>4475</v>
      </c>
    </row>
    <row r="77" ht="42" customHeight="1" spans="1:5">
      <c r="A77" s="48" t="s">
        <v>1546</v>
      </c>
      <c r="B77" s="48" t="s">
        <v>1547</v>
      </c>
      <c r="C77" s="48" t="s">
        <v>1138</v>
      </c>
      <c r="D77" s="48" t="s">
        <v>1139</v>
      </c>
      <c r="E77" s="47" t="s">
        <v>4476</v>
      </c>
    </row>
    <row r="78" ht="42" customHeight="1" spans="1:5">
      <c r="A78" s="48" t="s">
        <v>1269</v>
      </c>
      <c r="B78" s="48" t="s">
        <v>1270</v>
      </c>
      <c r="C78" s="48" t="s">
        <v>957</v>
      </c>
      <c r="D78" s="48" t="s">
        <v>958</v>
      </c>
      <c r="E78" s="47" t="s">
        <v>4477</v>
      </c>
    </row>
    <row r="79" ht="42" customHeight="1" spans="1:5">
      <c r="A79" s="48" t="s">
        <v>959</v>
      </c>
      <c r="B79" s="48" t="s">
        <v>960</v>
      </c>
      <c r="C79" s="48" t="s">
        <v>957</v>
      </c>
      <c r="D79" s="48" t="s">
        <v>958</v>
      </c>
      <c r="E79" s="47" t="s">
        <v>4478</v>
      </c>
    </row>
    <row r="80" ht="42" customHeight="1" spans="1:5">
      <c r="A80" s="48" t="s">
        <v>1768</v>
      </c>
      <c r="B80" s="48" t="s">
        <v>1769</v>
      </c>
      <c r="C80" s="48" t="s">
        <v>957</v>
      </c>
      <c r="D80" s="48" t="s">
        <v>958</v>
      </c>
      <c r="E80" s="47" t="s">
        <v>4479</v>
      </c>
    </row>
    <row r="81" ht="42" customHeight="1" spans="1:5">
      <c r="A81" s="48" t="s">
        <v>1023</v>
      </c>
      <c r="B81" s="48" t="s">
        <v>1024</v>
      </c>
      <c r="C81" s="48" t="s">
        <v>957</v>
      </c>
      <c r="D81" s="48" t="s">
        <v>958</v>
      </c>
      <c r="E81" s="47" t="s">
        <v>4480</v>
      </c>
    </row>
    <row r="82" ht="42" customHeight="1" spans="1:5">
      <c r="A82" s="48" t="s">
        <v>1460</v>
      </c>
      <c r="B82" s="48" t="s">
        <v>1461</v>
      </c>
      <c r="C82" s="48" t="s">
        <v>957</v>
      </c>
      <c r="D82" s="48" t="s">
        <v>958</v>
      </c>
      <c r="E82" s="47" t="s">
        <v>4481</v>
      </c>
    </row>
    <row r="83" ht="42" customHeight="1" spans="1:5">
      <c r="A83" s="48" t="s">
        <v>1090</v>
      </c>
      <c r="B83" s="48" t="s">
        <v>1091</v>
      </c>
      <c r="C83" s="48" t="s">
        <v>957</v>
      </c>
      <c r="D83" s="48" t="s">
        <v>958</v>
      </c>
      <c r="E83" s="47" t="s">
        <v>4482</v>
      </c>
    </row>
    <row r="84" ht="42" customHeight="1" spans="1:5">
      <c r="A84" s="48" t="s">
        <v>1470</v>
      </c>
      <c r="B84" s="48" t="s">
        <v>1471</v>
      </c>
      <c r="C84" s="48" t="s">
        <v>957</v>
      </c>
      <c r="D84" s="48" t="s">
        <v>958</v>
      </c>
      <c r="E84" s="47" t="s">
        <v>4483</v>
      </c>
    </row>
    <row r="85" ht="42" customHeight="1" spans="1:5">
      <c r="A85" s="48" t="s">
        <v>972</v>
      </c>
      <c r="B85" s="48" t="s">
        <v>973</v>
      </c>
      <c r="C85" s="48" t="s">
        <v>965</v>
      </c>
      <c r="D85" s="48" t="s">
        <v>966</v>
      </c>
      <c r="E85" s="47" t="s">
        <v>4484</v>
      </c>
    </row>
    <row r="86" ht="42" customHeight="1" spans="1:5">
      <c r="A86" s="48" t="s">
        <v>1292</v>
      </c>
      <c r="B86" s="48" t="s">
        <v>1293</v>
      </c>
      <c r="C86" s="48" t="s">
        <v>965</v>
      </c>
      <c r="D86" s="48" t="s">
        <v>966</v>
      </c>
      <c r="E86" s="47" t="s">
        <v>4485</v>
      </c>
    </row>
    <row r="87" ht="42" customHeight="1" spans="1:5">
      <c r="A87" s="48" t="s">
        <v>1751</v>
      </c>
      <c r="B87" s="48" t="s">
        <v>1752</v>
      </c>
      <c r="C87" s="48" t="s">
        <v>965</v>
      </c>
      <c r="D87" s="48" t="s">
        <v>966</v>
      </c>
      <c r="E87" s="47" t="s">
        <v>4486</v>
      </c>
    </row>
    <row r="88" ht="42" customHeight="1" spans="1:5">
      <c r="A88" s="48" t="s">
        <v>1112</v>
      </c>
      <c r="B88" s="48" t="s">
        <v>1113</v>
      </c>
      <c r="C88" s="48" t="s">
        <v>965</v>
      </c>
      <c r="D88" s="48" t="s">
        <v>966</v>
      </c>
      <c r="E88" s="47" t="s">
        <v>4487</v>
      </c>
    </row>
    <row r="89" ht="42" customHeight="1" spans="1:5">
      <c r="A89" s="48" t="s">
        <v>1286</v>
      </c>
      <c r="B89" s="48" t="s">
        <v>1287</v>
      </c>
      <c r="C89" s="48" t="s">
        <v>965</v>
      </c>
      <c r="D89" s="48" t="s">
        <v>966</v>
      </c>
      <c r="E89" s="47" t="s">
        <v>4488</v>
      </c>
    </row>
    <row r="90" ht="42" customHeight="1" spans="1:5">
      <c r="A90" s="48" t="s">
        <v>1212</v>
      </c>
      <c r="B90" s="48" t="s">
        <v>1213</v>
      </c>
      <c r="C90" s="48" t="s">
        <v>965</v>
      </c>
      <c r="D90" s="48" t="s">
        <v>966</v>
      </c>
      <c r="E90" s="47" t="s">
        <v>4489</v>
      </c>
    </row>
    <row r="91" ht="42" customHeight="1" spans="1:5">
      <c r="A91" s="48" t="s">
        <v>1968</v>
      </c>
      <c r="B91" s="48" t="s">
        <v>1969</v>
      </c>
      <c r="C91" s="48" t="s">
        <v>965</v>
      </c>
      <c r="D91" s="48" t="s">
        <v>966</v>
      </c>
      <c r="E91" s="47" t="s">
        <v>4490</v>
      </c>
    </row>
    <row r="92" ht="42" customHeight="1" spans="1:5">
      <c r="A92" s="48" t="s">
        <v>967</v>
      </c>
      <c r="B92" s="48" t="s">
        <v>968</v>
      </c>
      <c r="C92" s="48" t="s">
        <v>965</v>
      </c>
      <c r="D92" s="48" t="s">
        <v>966</v>
      </c>
      <c r="E92" s="47" t="s">
        <v>4491</v>
      </c>
    </row>
    <row r="93" ht="42" customHeight="1" spans="1:5">
      <c r="A93" s="48" t="s">
        <v>1227</v>
      </c>
      <c r="B93" s="48" t="s">
        <v>1228</v>
      </c>
      <c r="C93" s="48" t="s">
        <v>965</v>
      </c>
      <c r="D93" s="48" t="s">
        <v>966</v>
      </c>
      <c r="E93" s="47" t="s">
        <v>4492</v>
      </c>
    </row>
    <row r="94" ht="42" customHeight="1" spans="1:5">
      <c r="A94" s="48" t="s">
        <v>1517</v>
      </c>
      <c r="B94" s="48" t="s">
        <v>1518</v>
      </c>
      <c r="C94" s="48" t="s">
        <v>1073</v>
      </c>
      <c r="D94" s="48" t="s">
        <v>1074</v>
      </c>
      <c r="E94" s="47" t="s">
        <v>4493</v>
      </c>
    </row>
    <row r="95" ht="42" customHeight="1" spans="1:5">
      <c r="A95" s="48" t="s">
        <v>2798</v>
      </c>
      <c r="B95" s="48" t="s">
        <v>2799</v>
      </c>
      <c r="C95" s="48" t="s">
        <v>1073</v>
      </c>
      <c r="D95" s="48" t="s">
        <v>1074</v>
      </c>
      <c r="E95" s="47" t="s">
        <v>4494</v>
      </c>
    </row>
    <row r="96" ht="42" customHeight="1" spans="1:5">
      <c r="A96" s="48" t="s">
        <v>1075</v>
      </c>
      <c r="B96" s="48" t="s">
        <v>1076</v>
      </c>
      <c r="C96" s="48" t="s">
        <v>1073</v>
      </c>
      <c r="D96" s="48" t="s">
        <v>1074</v>
      </c>
      <c r="E96" s="47" t="s">
        <v>4495</v>
      </c>
    </row>
    <row r="97" ht="42" customHeight="1" spans="1:5">
      <c r="A97" s="48" t="s">
        <v>1535</v>
      </c>
      <c r="B97" s="48" t="s">
        <v>1536</v>
      </c>
      <c r="C97" s="48" t="s">
        <v>935</v>
      </c>
      <c r="D97" s="48" t="s">
        <v>936</v>
      </c>
      <c r="E97" s="47" t="s">
        <v>4496</v>
      </c>
    </row>
    <row r="98" ht="42" customHeight="1" spans="1:5">
      <c r="A98" s="48" t="s">
        <v>937</v>
      </c>
      <c r="B98" s="48" t="s">
        <v>938</v>
      </c>
      <c r="C98" s="48" t="s">
        <v>935</v>
      </c>
      <c r="D98" s="48" t="s">
        <v>936</v>
      </c>
      <c r="E98" s="47" t="s">
        <v>4497</v>
      </c>
    </row>
    <row r="99" ht="42" customHeight="1" spans="1:5">
      <c r="A99" s="48" t="s">
        <v>951</v>
      </c>
      <c r="B99" s="48" t="s">
        <v>952</v>
      </c>
      <c r="C99" s="48" t="s">
        <v>935</v>
      </c>
      <c r="D99" s="48" t="s">
        <v>936</v>
      </c>
      <c r="E99" s="47" t="s">
        <v>4498</v>
      </c>
    </row>
    <row r="100" ht="42" customHeight="1" spans="1:5">
      <c r="A100" s="48" t="s">
        <v>1067</v>
      </c>
      <c r="B100" s="48" t="s">
        <v>1068</v>
      </c>
      <c r="C100" s="48" t="s">
        <v>935</v>
      </c>
      <c r="D100" s="48" t="s">
        <v>936</v>
      </c>
      <c r="E100" s="47" t="s">
        <v>4499</v>
      </c>
    </row>
    <row r="101" ht="42" customHeight="1" spans="1:5">
      <c r="A101" s="48" t="s">
        <v>1017</v>
      </c>
      <c r="B101" s="48" t="s">
        <v>1018</v>
      </c>
      <c r="C101" s="48" t="s">
        <v>935</v>
      </c>
      <c r="D101" s="48" t="s">
        <v>936</v>
      </c>
      <c r="E101" s="47" t="s">
        <v>4500</v>
      </c>
    </row>
  </sheetData>
  <sheetProtection formatCells="0" insertHyperlinks="0" autoFilter="0"/>
  <pageMargins left="0.7" right="0.7" top="0.75" bottom="0.75" header="0.3" footer="0.3"/>
  <headerFooter/>
  <picture r:id="cco-watermark"/>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showGridLines="0" workbookViewId="0">
      <selection activeCell="A1" sqref="A1:J1"/>
    </sheetView>
  </sheetViews>
  <sheetFormatPr defaultColWidth="9" defaultRowHeight="14.25"/>
  <cols>
    <col min="1" max="1" customWidth="true" width="24.0" collapsed="false"/>
    <col min="2" max="2" customWidth="true" width="16.0" collapsed="false"/>
    <col min="3" max="3" customWidth="true" width="3.0" collapsed="false"/>
    <col min="4" max="10" customWidth="true" width="13.0" collapsed="false"/>
  </cols>
  <sheetData>
    <row r="1" ht="30" customHeight="1" spans="1:10">
      <c r="A1" s="27" t="s">
        <v>4501</v>
      </c>
      <c r="B1" s="27"/>
      <c r="C1" s="27"/>
      <c r="D1" s="27"/>
      <c r="E1" s="27"/>
      <c r="F1" s="27"/>
      <c r="G1" s="27"/>
      <c r="H1" s="27"/>
      <c r="I1" s="27"/>
      <c r="J1" s="27"/>
    </row>
    <row r="3" spans="1:10">
      <c r="A3" s="28" t="s">
        <v>4502</v>
      </c>
      <c r="B3" s="29" t="s">
        <v>4503</v>
      </c>
    </row>
    <row r="4" spans="1:10">
      <c r="A4" s="30" t="s">
        <v>4504</v>
      </c>
      <c r="B4" s="31">
        <f>COUNTA(原题!$A$2:$A$449)</f>
        <v>448</v>
      </c>
    </row>
    <row r="5" spans="1:10">
      <c r="A5" s="30" t="s">
        <v>4505</v>
      </c>
      <c r="B5" s="31">
        <f>COUNTA(检查点拆解!$B$2:$B$2944)</f>
        <v>2943</v>
      </c>
    </row>
    <row r="6" spans="1:10">
      <c r="A6" s="30" t="s">
        <v>11</v>
      </c>
      <c r="B6" s="32">
        <f>B5/B4</f>
        <v>6.56919642857143</v>
      </c>
    </row>
    <row r="7" spans="1:10">
      <c r="A7" s="30" t="s">
        <v>4506</v>
      </c>
      <c r="B7" s="33" t="str">
        <f>COUNTIF(核心能力覆盖!$E$2:$E$31,"&gt;0")&amp;"/30"</f>
        <v>29/30</v>
      </c>
    </row>
    <row r="8" spans="1:10">
      <c r="A8" s="30" t="s">
        <v>4507</v>
      </c>
      <c r="B8" s="33" t="str">
        <f>COUNTIF(三级标签覆盖!$F$2:$F$101,"&gt;0")&amp;"/100"</f>
        <v>91/100</v>
      </c>
    </row>
    <row r="9" spans="1:10">
      <c r="A9" s="30" t="s">
        <v>4508</v>
      </c>
      <c r="B9" s="31">
        <f>COUNTIF(三级标签覆盖!$F$2:$F$101,0)</f>
        <v>9</v>
      </c>
    </row>
    <row r="11" spans="1:10">
      <c r="A11" s="34" t="s">
        <v>4509</v>
      </c>
      <c r="B11" s="35"/>
      <c r="C11" s="35"/>
      <c r="D11" s="35"/>
      <c r="E11" s="35"/>
      <c r="F11" s="35"/>
      <c r="G11" s="35"/>
      <c r="H11" s="35"/>
      <c r="I11" s="35"/>
      <c r="J11" s="36"/>
    </row>
    <row r="12" ht="22" customHeight="1" spans="1:10">
      <c r="A12" s="37" t="s">
        <v>4510</v>
      </c>
      <c r="B12" s="38"/>
      <c r="C12" s="38"/>
      <c r="D12" s="38"/>
      <c r="E12" s="38"/>
      <c r="F12" s="38"/>
      <c r="G12" s="38"/>
      <c r="H12" s="38"/>
      <c r="I12" s="38"/>
      <c r="J12" s="39"/>
    </row>
    <row r="13" ht="22" customHeight="1" spans="1:10">
      <c r="A13" s="37"/>
      <c r="B13" s="38"/>
      <c r="C13" s="38"/>
      <c r="D13" s="38"/>
      <c r="E13" s="38"/>
      <c r="F13" s="38"/>
      <c r="G13" s="38"/>
      <c r="H13" s="38"/>
      <c r="I13" s="38"/>
      <c r="J13" s="39"/>
    </row>
    <row r="14" ht="22" customHeight="1" spans="1:10">
      <c r="A14" s="40"/>
      <c r="B14" s="41"/>
      <c r="C14" s="41"/>
      <c r="D14" s="41"/>
      <c r="E14" s="41"/>
      <c r="F14" s="41"/>
      <c r="G14" s="41"/>
      <c r="H14" s="41"/>
      <c r="I14" s="41"/>
      <c r="J14" s="42"/>
    </row>
    <row r="16" spans="1:10">
      <c r="A16" s="43" t="s">
        <v>4511</v>
      </c>
      <c r="B16" s="43" t="s">
        <v>4512</v>
      </c>
    </row>
    <row r="17" spans="1:2">
      <c r="A17" s="44" t="s">
        <v>4513</v>
      </c>
      <c r="B17" s="45">
        <v>448</v>
      </c>
    </row>
    <row r="18" spans="1:2">
      <c r="A18" s="44" t="s">
        <v>4514</v>
      </c>
      <c r="B18" s="45">
        <v>2943</v>
      </c>
    </row>
  </sheetData>
  <sheetProtection formatCells="0" insertHyperlinks="0" autoFilter="0"/>
  <mergeCells count="3">
    <mergeCell ref="A1:J1"/>
    <mergeCell ref="A11:J11"/>
    <mergeCell ref="A12:J14"/>
  </mergeCells>
  <pageMargins left="0.7" right="0.7" top="0.75" bottom="0.75" header="0.3" footer="0.3"/>
  <headerFooter/>
  <drawing r:id="rId1"/>
  <picture r:id="cco-watermark"/>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showGridLines="0" workbookViewId="0">
      <selection activeCell="A1" sqref="A1"/>
    </sheetView>
  </sheetViews>
  <sheetFormatPr defaultColWidth="9" defaultRowHeight="14.25"/>
  <cols>
    <col min="1" max="1" customWidth="true" width="12.0" collapsed="false"/>
    <col min="2" max="2" customWidth="true" width="30.0" collapsed="false"/>
    <col min="3" max="10" customWidth="true" width="15.0" collapsed="false"/>
  </cols>
  <sheetData>
    <row r="1" ht="34" customHeight="1" spans="1:10">
      <c r="A1" s="1" t="s">
        <v>927</v>
      </c>
      <c r="B1" s="1" t="s">
        <v>928</v>
      </c>
      <c r="C1" s="1" t="s">
        <v>4515</v>
      </c>
      <c r="D1" s="1" t="s">
        <v>4516</v>
      </c>
      <c r="E1" s="1" t="s">
        <v>8</v>
      </c>
      <c r="F1" s="1" t="s">
        <v>4517</v>
      </c>
      <c r="G1" s="1" t="s">
        <v>4518</v>
      </c>
      <c r="H1" s="1" t="s">
        <v>4519</v>
      </c>
      <c r="I1" s="1" t="s">
        <v>4520</v>
      </c>
      <c r="J1" s="1" t="s">
        <v>4521</v>
      </c>
    </row>
    <row r="2" spans="1:10">
      <c r="A2" s="3" t="s">
        <v>1400</v>
      </c>
      <c r="B2" s="4" t="s">
        <v>1401</v>
      </c>
      <c r="C2" s="6">
        <f>SUMIF(统计辅助_勿改!$B$2:$B$2944,$A2,统计辅助_勿改!$C$2:$C$2944)</f>
        <v>15</v>
      </c>
      <c r="D2" s="7">
        <f>C2/覆盖概览!$B$4</f>
        <v>0.0334821428571429</v>
      </c>
      <c r="E2" s="6">
        <f>COUNTIF(检查点拆解!$D$2:$D$2944,$A2)</f>
        <v>15</v>
      </c>
      <c r="F2" s="7">
        <f>E2/覆盖概览!$B$5</f>
        <v>0.00509683995922528</v>
      </c>
      <c r="G2" s="21">
        <f>COUNTIFS(三级标签覆盖!$A$2:$A$101,$A2,三级标签覆盖!$F$2:$F$101,"&gt;0")</f>
        <v>2</v>
      </c>
      <c r="H2" s="21">
        <f>COUNTIF(V6唯一映射!$C$2:$C$101,$A2)</f>
        <v>4</v>
      </c>
      <c r="I2" s="7">
        <f t="shared" ref="I2:I31" si="0">G2/H2</f>
        <v>0.5</v>
      </c>
      <c r="J2" s="22">
        <f t="shared" ref="J2:J31" si="1">IF(C2=0,0,E2/C2)</f>
        <v>1</v>
      </c>
    </row>
    <row r="3" spans="1:10">
      <c r="A3" s="9" t="s">
        <v>1413</v>
      </c>
      <c r="B3" s="10" t="s">
        <v>1414</v>
      </c>
      <c r="C3" s="12">
        <f>SUMIF(统计辅助_勿改!$B$2:$B$2944,$A3,统计辅助_勿改!$C$2:$C$2944)</f>
        <v>3</v>
      </c>
      <c r="D3" s="13">
        <f>C3/覆盖概览!$B$4</f>
        <v>0.00669642857142857</v>
      </c>
      <c r="E3" s="12">
        <f>COUNTIF(检查点拆解!$D$2:$D$2944,$A3)</f>
        <v>3</v>
      </c>
      <c r="F3" s="13">
        <f>E3/覆盖概览!$B$5</f>
        <v>0.00101936799184506</v>
      </c>
      <c r="G3" s="23">
        <f>COUNTIFS(三级标签覆盖!$A$2:$A$101,$A3,三级标签覆盖!$F$2:$F$101,"&gt;0")</f>
        <v>2</v>
      </c>
      <c r="H3" s="23">
        <f>COUNTIF(V6唯一映射!$C$2:$C$101,$A3)</f>
        <v>3</v>
      </c>
      <c r="I3" s="13">
        <f t="shared" si="0"/>
        <v>0.666666666666667</v>
      </c>
      <c r="J3" s="24">
        <f t="shared" si="1"/>
        <v>1</v>
      </c>
    </row>
    <row r="4" spans="1:10">
      <c r="A4" s="9" t="s">
        <v>1146</v>
      </c>
      <c r="B4" s="10" t="s">
        <v>1147</v>
      </c>
      <c r="C4" s="12">
        <f>SUMIF(统计辅助_勿改!$B$2:$B$2944,$A4,统计辅助_勿改!$C$2:$C$2944)</f>
        <v>73</v>
      </c>
      <c r="D4" s="13">
        <f>C4/覆盖概览!$B$4</f>
        <v>0.162946428571429</v>
      </c>
      <c r="E4" s="12">
        <f>COUNTIF(检查点拆解!$D$2:$D$2944,$A4)</f>
        <v>73</v>
      </c>
      <c r="F4" s="13">
        <f>E4/覆盖概览!$B$5</f>
        <v>0.0248046211348964</v>
      </c>
      <c r="G4" s="23">
        <f>COUNTIFS(三级标签覆盖!$A$2:$A$101,$A4,三级标签覆盖!$F$2:$F$101,"&gt;0")</f>
        <v>3</v>
      </c>
      <c r="H4" s="23">
        <f>COUNTIF(V6唯一映射!$C$2:$C$101,$A4)</f>
        <v>3</v>
      </c>
      <c r="I4" s="13">
        <f t="shared" si="0"/>
        <v>1</v>
      </c>
      <c r="J4" s="24">
        <f t="shared" si="1"/>
        <v>1</v>
      </c>
    </row>
    <row r="5" spans="1:10">
      <c r="A5" s="9" t="s">
        <v>978</v>
      </c>
      <c r="B5" s="10" t="s">
        <v>979</v>
      </c>
      <c r="C5" s="12">
        <f>SUMIF(统计辅助_勿改!$B$2:$B$2944,$A5,统计辅助_勿改!$C$2:$C$2944)</f>
        <v>150</v>
      </c>
      <c r="D5" s="13">
        <f>C5/覆盖概览!$B$4</f>
        <v>0.334821428571429</v>
      </c>
      <c r="E5" s="12">
        <f>COUNTIF(检查点拆解!$D$2:$D$2944,$A5)</f>
        <v>154</v>
      </c>
      <c r="F5" s="13">
        <f>E5/覆盖概览!$B$5</f>
        <v>0.0523275569147129</v>
      </c>
      <c r="G5" s="23">
        <f>COUNTIFS(三级标签覆盖!$A$2:$A$101,$A5,三级标签覆盖!$F$2:$F$101,"&gt;0")</f>
        <v>3</v>
      </c>
      <c r="H5" s="23">
        <f>COUNTIF(V6唯一映射!$C$2:$C$101,$A5)</f>
        <v>3</v>
      </c>
      <c r="I5" s="13">
        <f t="shared" si="0"/>
        <v>1</v>
      </c>
      <c r="J5" s="24">
        <f t="shared" si="1"/>
        <v>1.02666666666667</v>
      </c>
    </row>
    <row r="6" spans="1:10">
      <c r="A6" s="9" t="s">
        <v>1171</v>
      </c>
      <c r="B6" s="10" t="s">
        <v>1172</v>
      </c>
      <c r="C6" s="12">
        <f>SUMIF(统计辅助_勿改!$B$2:$B$2944,$A6,统计辅助_勿改!$C$2:$C$2944)</f>
        <v>100</v>
      </c>
      <c r="D6" s="13">
        <f>C6/覆盖概览!$B$4</f>
        <v>0.223214285714286</v>
      </c>
      <c r="E6" s="12">
        <f>COUNTIF(检查点拆解!$D$2:$D$2944,$A6)</f>
        <v>100</v>
      </c>
      <c r="F6" s="13">
        <f>E6/覆盖概览!$B$5</f>
        <v>0.0339789330615019</v>
      </c>
      <c r="G6" s="23">
        <f>COUNTIFS(三级标签覆盖!$A$2:$A$101,$A6,三级标签覆盖!$F$2:$F$101,"&gt;0")</f>
        <v>3</v>
      </c>
      <c r="H6" s="23">
        <f>COUNTIF(V6唯一映射!$C$2:$C$101,$A6)</f>
        <v>3</v>
      </c>
      <c r="I6" s="13">
        <f t="shared" si="0"/>
        <v>1</v>
      </c>
      <c r="J6" s="24">
        <f t="shared" si="1"/>
        <v>1</v>
      </c>
    </row>
    <row r="7" spans="1:10">
      <c r="A7" s="9" t="s">
        <v>1037</v>
      </c>
      <c r="B7" s="10" t="s">
        <v>1038</v>
      </c>
      <c r="C7" s="12">
        <f>SUMIF(统计辅助_勿改!$B$2:$B$2944,$A7,统计辅助_勿改!$C$2:$C$2944)</f>
        <v>114</v>
      </c>
      <c r="D7" s="13">
        <f>C7/覆盖概览!$B$4</f>
        <v>0.254464285714286</v>
      </c>
      <c r="E7" s="12">
        <f>COUNTIF(检查点拆解!$D$2:$D$2944,$A7)</f>
        <v>159</v>
      </c>
      <c r="F7" s="13">
        <f>E7/覆盖概览!$B$5</f>
        <v>0.054026503567788</v>
      </c>
      <c r="G7" s="23">
        <f>COUNTIFS(三级标签覆盖!$A$2:$A$101,$A7,三级标签覆盖!$F$2:$F$101,"&gt;0")</f>
        <v>3</v>
      </c>
      <c r="H7" s="23">
        <f>COUNTIF(V6唯一映射!$C$2:$C$101,$A7)</f>
        <v>3</v>
      </c>
      <c r="I7" s="13">
        <f t="shared" si="0"/>
        <v>1</v>
      </c>
      <c r="J7" s="24">
        <f t="shared" si="1"/>
        <v>1.39473684210526</v>
      </c>
    </row>
    <row r="8" spans="1:10">
      <c r="A8" s="9" t="s">
        <v>1306</v>
      </c>
      <c r="B8" s="10" t="s">
        <v>1307</v>
      </c>
      <c r="C8" s="12">
        <f>SUMIF(统计辅助_勿改!$B$2:$B$2944,$A8,统计辅助_勿改!$C$2:$C$2944)</f>
        <v>8</v>
      </c>
      <c r="D8" s="13">
        <f>C8/覆盖概览!$B$4</f>
        <v>0.0178571428571429</v>
      </c>
      <c r="E8" s="12">
        <f>COUNTIF(检查点拆解!$D$2:$D$2944,$A8)</f>
        <v>8</v>
      </c>
      <c r="F8" s="13">
        <f>E8/覆盖概览!$B$5</f>
        <v>0.00271831464492015</v>
      </c>
      <c r="G8" s="23">
        <f>COUNTIFS(三级标签覆盖!$A$2:$A$101,$A8,三级标签覆盖!$F$2:$F$101,"&gt;0")</f>
        <v>3</v>
      </c>
      <c r="H8" s="23">
        <f>COUNTIF(V6唯一映射!$C$2:$C$101,$A8)</f>
        <v>3</v>
      </c>
      <c r="I8" s="13">
        <f t="shared" si="0"/>
        <v>1</v>
      </c>
      <c r="J8" s="24">
        <f t="shared" si="1"/>
        <v>1</v>
      </c>
    </row>
    <row r="9" spans="1:10">
      <c r="A9" s="9" t="s">
        <v>1118</v>
      </c>
      <c r="B9" s="10" t="s">
        <v>1119</v>
      </c>
      <c r="C9" s="12">
        <f>SUMIF(统计辅助_勿改!$B$2:$B$2944,$A9,统计辅助_勿改!$C$2:$C$2944)</f>
        <v>88</v>
      </c>
      <c r="D9" s="13">
        <f>C9/覆盖概览!$B$4</f>
        <v>0.196428571428571</v>
      </c>
      <c r="E9" s="12">
        <f>COUNTIF(检查点拆解!$D$2:$D$2944,$A9)</f>
        <v>96</v>
      </c>
      <c r="F9" s="13">
        <f>E9/覆盖概览!$B$5</f>
        <v>0.0326197757390418</v>
      </c>
      <c r="G9" s="23">
        <f>COUNTIFS(三级标签覆盖!$A$2:$A$101,$A9,三级标签覆盖!$F$2:$F$101,"&gt;0")</f>
        <v>4</v>
      </c>
      <c r="H9" s="23">
        <f>COUNTIF(V6唯一映射!$C$2:$C$101,$A9)</f>
        <v>4</v>
      </c>
      <c r="I9" s="13">
        <f t="shared" si="0"/>
        <v>1</v>
      </c>
      <c r="J9" s="24">
        <f t="shared" si="1"/>
        <v>1.09090909090909</v>
      </c>
    </row>
    <row r="10" spans="1:10">
      <c r="A10" s="9" t="s">
        <v>1278</v>
      </c>
      <c r="B10" s="10" t="s">
        <v>1279</v>
      </c>
      <c r="C10" s="12">
        <f>SUMIF(统计辅助_勿改!$B$2:$B$2944,$A10,统计辅助_勿改!$C$2:$C$2944)</f>
        <v>24</v>
      </c>
      <c r="D10" s="13">
        <f>C10/覆盖概览!$B$4</f>
        <v>0.0535714285714286</v>
      </c>
      <c r="E10" s="12">
        <f>COUNTIF(检查点拆解!$D$2:$D$2944,$A10)</f>
        <v>24</v>
      </c>
      <c r="F10" s="13">
        <f>E10/覆盖概览!$B$5</f>
        <v>0.00815494393476045</v>
      </c>
      <c r="G10" s="23">
        <f>COUNTIFS(三级标签覆盖!$A$2:$A$101,$A10,三级标签覆盖!$F$2:$F$101,"&gt;0")</f>
        <v>2</v>
      </c>
      <c r="H10" s="23">
        <f>COUNTIF(V6唯一映射!$C$2:$C$101,$A10)</f>
        <v>2</v>
      </c>
      <c r="I10" s="13">
        <f t="shared" si="0"/>
        <v>1</v>
      </c>
      <c r="J10" s="24">
        <f t="shared" si="1"/>
        <v>1</v>
      </c>
    </row>
    <row r="11" spans="1:10">
      <c r="A11" s="9" t="s">
        <v>1506</v>
      </c>
      <c r="B11" s="10" t="s">
        <v>1507</v>
      </c>
      <c r="C11" s="12">
        <f>SUMIF(统计辅助_勿改!$B$2:$B$2944,$A11,统计辅助_勿改!$C$2:$C$2944)</f>
        <v>10</v>
      </c>
      <c r="D11" s="13">
        <f>C11/覆盖概览!$B$4</f>
        <v>0.0223214285714286</v>
      </c>
      <c r="E11" s="12">
        <f>COUNTIF(检查点拆解!$D$2:$D$2944,$A11)</f>
        <v>10</v>
      </c>
      <c r="F11" s="13">
        <f>E11/覆盖概览!$B$5</f>
        <v>0.00339789330615019</v>
      </c>
      <c r="G11" s="23">
        <f>COUNTIFS(三级标签覆盖!$A$2:$A$101,$A11,三级标签覆盖!$F$2:$F$101,"&gt;0")</f>
        <v>1</v>
      </c>
      <c r="H11" s="23">
        <f>COUNTIF(V6唯一映射!$C$2:$C$101,$A11)</f>
        <v>1</v>
      </c>
      <c r="I11" s="13">
        <f t="shared" si="0"/>
        <v>1</v>
      </c>
      <c r="J11" s="24">
        <f t="shared" si="1"/>
        <v>1</v>
      </c>
    </row>
    <row r="12" spans="1:10">
      <c r="A12" s="9" t="s">
        <v>1422</v>
      </c>
      <c r="B12" s="10" t="s">
        <v>1423</v>
      </c>
      <c r="C12" s="12">
        <f>SUMIF(统计辅助_勿改!$B$2:$B$2944,$A12,统计辅助_勿改!$C$2:$C$2944)</f>
        <v>42</v>
      </c>
      <c r="D12" s="13">
        <f>C12/覆盖概览!$B$4</f>
        <v>0.09375</v>
      </c>
      <c r="E12" s="12">
        <f>COUNTIF(检查点拆解!$D$2:$D$2944,$A12)</f>
        <v>42</v>
      </c>
      <c r="F12" s="13">
        <f>E12/覆盖概览!$B$5</f>
        <v>0.0142711518858308</v>
      </c>
      <c r="G12" s="23">
        <f>COUNTIFS(三级标签覆盖!$A$2:$A$101,$A12,三级标签覆盖!$F$2:$F$101,"&gt;0")</f>
        <v>1</v>
      </c>
      <c r="H12" s="23">
        <f>COUNTIF(V6唯一映射!$C$2:$C$101,$A12)</f>
        <v>1</v>
      </c>
      <c r="I12" s="13">
        <f t="shared" si="0"/>
        <v>1</v>
      </c>
      <c r="J12" s="24">
        <f t="shared" si="1"/>
        <v>1</v>
      </c>
    </row>
    <row r="13" spans="1:10">
      <c r="A13" s="9" t="s">
        <v>1029</v>
      </c>
      <c r="B13" s="10" t="s">
        <v>1030</v>
      </c>
      <c r="C13" s="12">
        <f>SUMIF(统计辅助_勿改!$B$2:$B$2944,$A13,统计辅助_勿改!$C$2:$C$2944)</f>
        <v>29</v>
      </c>
      <c r="D13" s="13">
        <f>C13/覆盖概览!$B$4</f>
        <v>0.0647321428571429</v>
      </c>
      <c r="E13" s="12">
        <f>COUNTIF(检查点拆解!$D$2:$D$2944,$A13)</f>
        <v>30</v>
      </c>
      <c r="F13" s="13">
        <f>E13/覆盖概览!$B$5</f>
        <v>0.0101936799184506</v>
      </c>
      <c r="G13" s="23">
        <f>COUNTIFS(三级标签覆盖!$A$2:$A$101,$A13,三级标签覆盖!$F$2:$F$101,"&gt;0")</f>
        <v>2</v>
      </c>
      <c r="H13" s="23">
        <f>COUNTIF(V6唯一映射!$C$2:$C$101,$A13)</f>
        <v>2</v>
      </c>
      <c r="I13" s="13">
        <f t="shared" si="0"/>
        <v>1</v>
      </c>
      <c r="J13" s="24">
        <f t="shared" si="1"/>
        <v>1.03448275862069</v>
      </c>
    </row>
    <row r="14" spans="1:10">
      <c r="A14" s="9" t="s">
        <v>1430</v>
      </c>
      <c r="B14" s="10" t="s">
        <v>1431</v>
      </c>
      <c r="C14" s="12">
        <f>SUMIF(统计辅助_勿改!$B$2:$B$2944,$A14,统计辅助_勿改!$C$2:$C$2944)</f>
        <v>8</v>
      </c>
      <c r="D14" s="13">
        <f>C14/覆盖概览!$B$4</f>
        <v>0.0178571428571429</v>
      </c>
      <c r="E14" s="12">
        <f>COUNTIF(检查点拆解!$D$2:$D$2944,$A14)</f>
        <v>8</v>
      </c>
      <c r="F14" s="13">
        <f>E14/覆盖概览!$B$5</f>
        <v>0.00271831464492015</v>
      </c>
      <c r="G14" s="23">
        <f>COUNTIFS(三级标签覆盖!$A$2:$A$101,$A14,三级标签覆盖!$F$2:$F$101,"&gt;0")</f>
        <v>1</v>
      </c>
      <c r="H14" s="23">
        <f>COUNTIF(V6唯一映射!$C$2:$C$101,$A14)</f>
        <v>1</v>
      </c>
      <c r="I14" s="13">
        <f t="shared" si="0"/>
        <v>1</v>
      </c>
      <c r="J14" s="24">
        <f t="shared" si="1"/>
        <v>1</v>
      </c>
    </row>
    <row r="15" spans="1:10">
      <c r="A15" s="9" t="s">
        <v>993</v>
      </c>
      <c r="B15" s="10" t="s">
        <v>994</v>
      </c>
      <c r="C15" s="12">
        <f>SUMIF(统计辅助_勿改!$B$2:$B$2944,$A15,统计辅助_勿改!$C$2:$C$2944)</f>
        <v>75</v>
      </c>
      <c r="D15" s="13">
        <f>C15/覆盖概览!$B$4</f>
        <v>0.167410714285714</v>
      </c>
      <c r="E15" s="12">
        <f>COUNTIF(检查点拆解!$D$2:$D$2944,$A15)</f>
        <v>75</v>
      </c>
      <c r="F15" s="13">
        <f>E15/覆盖概览!$B$5</f>
        <v>0.0254841997961264</v>
      </c>
      <c r="G15" s="23">
        <f>COUNTIFS(三级标签覆盖!$A$2:$A$101,$A15,三级标签覆盖!$F$2:$F$101,"&gt;0")</f>
        <v>3</v>
      </c>
      <c r="H15" s="23">
        <f>COUNTIF(V6唯一映射!$C$2:$C$101,$A15)</f>
        <v>4</v>
      </c>
      <c r="I15" s="13">
        <f t="shared" si="0"/>
        <v>0.75</v>
      </c>
      <c r="J15" s="24">
        <f t="shared" si="1"/>
        <v>1</v>
      </c>
    </row>
    <row r="16" spans="1:10">
      <c r="A16" s="9" t="s">
        <v>1059</v>
      </c>
      <c r="B16" s="10" t="s">
        <v>1060</v>
      </c>
      <c r="C16" s="12">
        <f>SUMIF(统计辅助_勿改!$B$2:$B$2944,$A16,统计辅助_勿改!$C$2:$C$2944)</f>
        <v>54</v>
      </c>
      <c r="D16" s="13">
        <f>C16/覆盖概览!$B$4</f>
        <v>0.120535714285714</v>
      </c>
      <c r="E16" s="12">
        <f>COUNTIF(检查点拆解!$D$2:$D$2944,$A16)</f>
        <v>56</v>
      </c>
      <c r="F16" s="13">
        <f>E16/覆盖概览!$B$5</f>
        <v>0.019028202514441</v>
      </c>
      <c r="G16" s="23">
        <f>COUNTIFS(三级标签覆盖!$A$2:$A$101,$A16,三级标签覆盖!$F$2:$F$101,"&gt;0")</f>
        <v>3</v>
      </c>
      <c r="H16" s="23">
        <f>COUNTIF(V6唯一映射!$C$2:$C$101,$A16)</f>
        <v>3</v>
      </c>
      <c r="I16" s="13">
        <f t="shared" si="0"/>
        <v>1</v>
      </c>
      <c r="J16" s="24">
        <f t="shared" si="1"/>
        <v>1.03703703703704</v>
      </c>
    </row>
    <row r="17" spans="1:10">
      <c r="A17" s="9" t="s">
        <v>1719</v>
      </c>
      <c r="B17" s="10" t="s">
        <v>1720</v>
      </c>
      <c r="C17" s="12">
        <f>SUMIF(统计辅助_勿改!$B$2:$B$2944,$A17,统计辅助_勿改!$C$2:$C$2944)</f>
        <v>13</v>
      </c>
      <c r="D17" s="13">
        <f>C17/覆盖概览!$B$4</f>
        <v>0.0290178571428571</v>
      </c>
      <c r="E17" s="12">
        <f>COUNTIF(检查点拆解!$D$2:$D$2944,$A17)</f>
        <v>13</v>
      </c>
      <c r="F17" s="13">
        <f>E17/覆盖概览!$B$5</f>
        <v>0.00441726129799524</v>
      </c>
      <c r="G17" s="23">
        <f>COUNTIFS(三级标签覆盖!$A$2:$A$101,$A17,三级标签覆盖!$F$2:$F$101,"&gt;0")</f>
        <v>1</v>
      </c>
      <c r="H17" s="23">
        <f>COUNTIF(V6唯一映射!$C$2:$C$101,$A17)</f>
        <v>4</v>
      </c>
      <c r="I17" s="13">
        <f t="shared" si="0"/>
        <v>0.25</v>
      </c>
      <c r="J17" s="24">
        <f t="shared" si="1"/>
        <v>1</v>
      </c>
    </row>
    <row r="18" spans="1:10">
      <c r="A18" s="9" t="s">
        <v>1082</v>
      </c>
      <c r="B18" s="10" t="s">
        <v>1083</v>
      </c>
      <c r="C18" s="12">
        <f>SUMIF(统计辅助_勿改!$B$2:$B$2944,$A18,统计辅助_勿改!$C$2:$C$2944)</f>
        <v>92</v>
      </c>
      <c r="D18" s="13">
        <f>C18/覆盖概览!$B$4</f>
        <v>0.205357142857143</v>
      </c>
      <c r="E18" s="12">
        <f>COUNTIF(检查点拆解!$D$2:$D$2944,$A18)</f>
        <v>98</v>
      </c>
      <c r="F18" s="13">
        <f>E18/覆盖概览!$B$5</f>
        <v>0.0332993544002718</v>
      </c>
      <c r="G18" s="23">
        <f>COUNTIFS(三级标签覆盖!$A$2:$A$101,$A18,三级标签覆盖!$F$2:$F$101,"&gt;0")</f>
        <v>6</v>
      </c>
      <c r="H18" s="23">
        <f>COUNTIF(V6唯一映射!$C$2:$C$101,$A18)</f>
        <v>6</v>
      </c>
      <c r="I18" s="13">
        <f t="shared" si="0"/>
        <v>1</v>
      </c>
      <c r="J18" s="24">
        <f t="shared" si="1"/>
        <v>1.06521739130435</v>
      </c>
    </row>
    <row r="19" spans="1:10">
      <c r="A19" s="9" t="s">
        <v>943</v>
      </c>
      <c r="B19" s="10" t="s">
        <v>944</v>
      </c>
      <c r="C19" s="12">
        <f>SUMIF(统计辅助_勿改!$B$2:$B$2944,$A19,统计辅助_勿改!$C$2:$C$2944)</f>
        <v>66</v>
      </c>
      <c r="D19" s="13">
        <f>C19/覆盖概览!$B$4</f>
        <v>0.147321428571429</v>
      </c>
      <c r="E19" s="12">
        <f>COUNTIF(检查点拆解!$D$2:$D$2944,$A19)</f>
        <v>66</v>
      </c>
      <c r="F19" s="13">
        <f>E19/覆盖概览!$B$5</f>
        <v>0.0224260958205912</v>
      </c>
      <c r="G19" s="23">
        <f>COUNTIFS(三级标签覆盖!$A$2:$A$101,$A19,三级标签覆盖!$F$2:$F$101,"&gt;0")</f>
        <v>4</v>
      </c>
      <c r="H19" s="23">
        <f>COUNTIF(V6唯一映射!$C$2:$C$101,$A19)</f>
        <v>4</v>
      </c>
      <c r="I19" s="13">
        <f t="shared" si="0"/>
        <v>1</v>
      </c>
      <c r="J19" s="24">
        <f t="shared" si="1"/>
        <v>1</v>
      </c>
    </row>
    <row r="20" spans="1:10">
      <c r="A20" s="9" t="s">
        <v>1184</v>
      </c>
      <c r="B20" s="10" t="s">
        <v>1185</v>
      </c>
      <c r="C20" s="12">
        <f>SUMIF(统计辅助_勿改!$B$2:$B$2944,$A20,统计辅助_勿改!$C$2:$C$2944)</f>
        <v>20</v>
      </c>
      <c r="D20" s="13">
        <f>C20/覆盖概览!$B$4</f>
        <v>0.0446428571428571</v>
      </c>
      <c r="E20" s="12">
        <f>COUNTIF(检查点拆解!$D$2:$D$2944,$A20)</f>
        <v>20</v>
      </c>
      <c r="F20" s="13">
        <f>E20/覆盖概览!$B$5</f>
        <v>0.00679578661230037</v>
      </c>
      <c r="G20" s="23">
        <f>COUNTIFS(三级标签覆盖!$A$2:$A$101,$A20,三级标签覆盖!$F$2:$F$101,"&gt;0")</f>
        <v>3</v>
      </c>
      <c r="H20" s="23">
        <f>COUNTIF(V6唯一映射!$C$2:$C$101,$A20)</f>
        <v>3</v>
      </c>
      <c r="I20" s="13">
        <f t="shared" si="0"/>
        <v>1</v>
      </c>
      <c r="J20" s="24">
        <f t="shared" si="1"/>
        <v>1</v>
      </c>
    </row>
    <row r="21" spans="1:10">
      <c r="A21" s="9" t="s">
        <v>986</v>
      </c>
      <c r="B21" s="10" t="s">
        <v>987</v>
      </c>
      <c r="C21" s="12">
        <f>SUMIF(统计辅助_勿改!$B$2:$B$2944,$A21,统计辅助_勿改!$C$2:$C$2944)</f>
        <v>21</v>
      </c>
      <c r="D21" s="13">
        <f>C21/覆盖概览!$B$4</f>
        <v>0.046875</v>
      </c>
      <c r="E21" s="12">
        <f>COUNTIF(检查点拆解!$D$2:$D$2944,$A21)</f>
        <v>21</v>
      </c>
      <c r="F21" s="13">
        <f>E21/覆盖概览!$B$5</f>
        <v>0.00713557594291539</v>
      </c>
      <c r="G21" s="23">
        <f>COUNTIFS(三级标签覆盖!$A$2:$A$101,$A21,三级标签覆盖!$F$2:$F$101,"&gt;0")</f>
        <v>1</v>
      </c>
      <c r="H21" s="23">
        <f>COUNTIF(V6唯一映射!$C$2:$C$101,$A21)</f>
        <v>1</v>
      </c>
      <c r="I21" s="13">
        <f t="shared" si="0"/>
        <v>1</v>
      </c>
      <c r="J21" s="24">
        <f t="shared" si="1"/>
        <v>1</v>
      </c>
    </row>
    <row r="22" spans="1:10">
      <c r="A22" s="9" t="s">
        <v>1045</v>
      </c>
      <c r="B22" s="10" t="s">
        <v>1046</v>
      </c>
      <c r="C22" s="12">
        <f>SUMIF(统计辅助_勿改!$B$2:$B$2944,$A22,统计辅助_勿改!$C$2:$C$2944)</f>
        <v>15</v>
      </c>
      <c r="D22" s="13">
        <f>C22/覆盖概览!$B$4</f>
        <v>0.0334821428571429</v>
      </c>
      <c r="E22" s="12">
        <f>COUNTIF(检查点拆解!$D$2:$D$2944,$A22)</f>
        <v>15</v>
      </c>
      <c r="F22" s="13">
        <f>E22/覆盖概览!$B$5</f>
        <v>0.00509683995922528</v>
      </c>
      <c r="G22" s="23">
        <f>COUNTIFS(三级标签覆盖!$A$2:$A$101,$A22,三级标签覆盖!$F$2:$F$101,"&gt;0")</f>
        <v>1</v>
      </c>
      <c r="H22" s="23">
        <f>COUNTIF(V6唯一映射!$C$2:$C$101,$A22)</f>
        <v>1</v>
      </c>
      <c r="I22" s="13">
        <f t="shared" si="0"/>
        <v>1</v>
      </c>
      <c r="J22" s="24">
        <f t="shared" si="1"/>
        <v>1</v>
      </c>
    </row>
    <row r="23" spans="1:10">
      <c r="A23" s="9" t="s">
        <v>4456</v>
      </c>
      <c r="B23" s="10" t="s">
        <v>4457</v>
      </c>
      <c r="C23" s="12">
        <f>SUMIF(统计辅助_勿改!$B$2:$B$2944,$A23,统计辅助_勿改!$C$2:$C$2944)</f>
        <v>0</v>
      </c>
      <c r="D23" s="13">
        <f>C23/覆盖概览!$B$4</f>
        <v>0</v>
      </c>
      <c r="E23" s="12">
        <f>COUNTIF(检查点拆解!$D$2:$D$2944,$A23)</f>
        <v>0</v>
      </c>
      <c r="F23" s="13">
        <f>E23/覆盖概览!$B$5</f>
        <v>0</v>
      </c>
      <c r="G23" s="23">
        <f>COUNTIFS(三级标签覆盖!$A$2:$A$101,$A23,三级标签覆盖!$F$2:$F$101,"&gt;0")</f>
        <v>0</v>
      </c>
      <c r="H23" s="23">
        <f>COUNTIF(V6唯一映射!$C$2:$C$101,$A23)</f>
        <v>2</v>
      </c>
      <c r="I23" s="13">
        <f t="shared" si="0"/>
        <v>0</v>
      </c>
      <c r="J23" s="24">
        <f t="shared" si="1"/>
        <v>0</v>
      </c>
    </row>
    <row r="24" spans="1:10">
      <c r="A24" s="9" t="s">
        <v>1001</v>
      </c>
      <c r="B24" s="10" t="s">
        <v>1002</v>
      </c>
      <c r="C24" s="12">
        <f>SUMIF(统计辅助_勿改!$B$2:$B$2944,$A24,统计辅助_勿改!$C$2:$C$2944)</f>
        <v>94</v>
      </c>
      <c r="D24" s="13">
        <f>C24/覆盖概览!$B$4</f>
        <v>0.209821428571429</v>
      </c>
      <c r="E24" s="12">
        <f>COUNTIF(检查点拆解!$D$2:$D$2944,$A24)</f>
        <v>108</v>
      </c>
      <c r="F24" s="13">
        <f>E24/覆盖概览!$B$5</f>
        <v>0.036697247706422</v>
      </c>
      <c r="G24" s="23">
        <f>COUNTIFS(三级标签覆盖!$A$2:$A$101,$A24,三级标签覆盖!$F$2:$F$101,"&gt;0")</f>
        <v>3</v>
      </c>
      <c r="H24" s="23">
        <f>COUNTIF(V6唯一映射!$C$2:$C$101,$A24)</f>
        <v>3</v>
      </c>
      <c r="I24" s="13">
        <f t="shared" si="0"/>
        <v>1</v>
      </c>
      <c r="J24" s="24">
        <f t="shared" si="1"/>
        <v>1.14893617021277</v>
      </c>
    </row>
    <row r="25" spans="1:10">
      <c r="A25" s="9" t="s">
        <v>1009</v>
      </c>
      <c r="B25" s="10" t="s">
        <v>1010</v>
      </c>
      <c r="C25" s="12">
        <f>SUMIF(统计辅助_勿改!$B$2:$B$2944,$A25,统计辅助_勿改!$C$2:$C$2944)</f>
        <v>196</v>
      </c>
      <c r="D25" s="13">
        <f>C25/覆盖概览!$B$4</f>
        <v>0.4375</v>
      </c>
      <c r="E25" s="12">
        <f>COUNTIF(检查点拆解!$D$2:$D$2944,$A25)</f>
        <v>269</v>
      </c>
      <c r="F25" s="13">
        <f>E25/覆盖概览!$B$5</f>
        <v>0.09140332993544</v>
      </c>
      <c r="G25" s="23">
        <f>COUNTIFS(三级标签覆盖!$A$2:$A$101,$A25,三级标签覆盖!$F$2:$F$101,"&gt;0")</f>
        <v>6</v>
      </c>
      <c r="H25" s="23">
        <f>COUNTIF(V6唯一映射!$C$2:$C$101,$A25)</f>
        <v>6</v>
      </c>
      <c r="I25" s="13">
        <f t="shared" si="0"/>
        <v>1</v>
      </c>
      <c r="J25" s="24">
        <f t="shared" si="1"/>
        <v>1.37244897959184</v>
      </c>
    </row>
    <row r="26" spans="1:10">
      <c r="A26" s="9" t="s">
        <v>1098</v>
      </c>
      <c r="B26" s="10" t="s">
        <v>1099</v>
      </c>
      <c r="C26" s="12">
        <f>SUMIF(统计辅助_勿改!$B$2:$B$2944,$A26,统计辅助_勿改!$C$2:$C$2944)</f>
        <v>207</v>
      </c>
      <c r="D26" s="13">
        <f>C26/覆盖概览!$B$4</f>
        <v>0.462053571428571</v>
      </c>
      <c r="E26" s="12">
        <f>COUNTIF(检查点拆解!$D$2:$D$2944,$A26)</f>
        <v>233</v>
      </c>
      <c r="F26" s="13">
        <f>E26/覆盖概览!$B$5</f>
        <v>0.0791709140332994</v>
      </c>
      <c r="G26" s="23">
        <f>COUNTIFS(三级标签覆盖!$A$2:$A$101,$A26,三级标签覆盖!$F$2:$F$101,"&gt;0")</f>
        <v>4</v>
      </c>
      <c r="H26" s="23">
        <f>COUNTIF(V6唯一映射!$C$2:$C$101,$A26)</f>
        <v>4</v>
      </c>
      <c r="I26" s="13">
        <f t="shared" si="0"/>
        <v>1</v>
      </c>
      <c r="J26" s="24">
        <f t="shared" si="1"/>
        <v>1.1256038647343</v>
      </c>
    </row>
    <row r="27" spans="1:10">
      <c r="A27" s="9" t="s">
        <v>1138</v>
      </c>
      <c r="B27" s="10" t="s">
        <v>1139</v>
      </c>
      <c r="C27" s="12">
        <f>SUMIF(统计辅助_勿改!$B$2:$B$2944,$A27,统计辅助_勿改!$C$2:$C$2944)</f>
        <v>119</v>
      </c>
      <c r="D27" s="13">
        <f>C27/覆盖概览!$B$4</f>
        <v>0.265625</v>
      </c>
      <c r="E27" s="12">
        <f>COUNTIF(检查点拆解!$D$2:$D$2944,$A27)</f>
        <v>128</v>
      </c>
      <c r="F27" s="13">
        <f>E27/覆盖概览!$B$5</f>
        <v>0.0434930343187224</v>
      </c>
      <c r="G27" s="23">
        <f>COUNTIFS(三级标签覆盖!$A$2:$A$101,$A27,三级标签覆盖!$F$2:$F$101,"&gt;0")</f>
        <v>2</v>
      </c>
      <c r="H27" s="23">
        <f>COUNTIF(V6唯一映射!$C$2:$C$101,$A27)</f>
        <v>2</v>
      </c>
      <c r="I27" s="13">
        <f t="shared" si="0"/>
        <v>1</v>
      </c>
      <c r="J27" s="24">
        <f t="shared" si="1"/>
        <v>1.07563025210084</v>
      </c>
    </row>
    <row r="28" spans="1:10">
      <c r="A28" s="9" t="s">
        <v>957</v>
      </c>
      <c r="B28" s="10" t="s">
        <v>958</v>
      </c>
      <c r="C28" s="12">
        <f>SUMIF(统计辅助_勿改!$B$2:$B$2944,$A28,统计辅助_勿改!$C$2:$C$2944)</f>
        <v>223</v>
      </c>
      <c r="D28" s="13">
        <f>C28/覆盖概览!$B$4</f>
        <v>0.497767857142857</v>
      </c>
      <c r="E28" s="12">
        <f>COUNTIF(检查点拆解!$D$2:$D$2944,$A28)</f>
        <v>345</v>
      </c>
      <c r="F28" s="13">
        <f>E28/覆盖概览!$B$5</f>
        <v>0.117227319062181</v>
      </c>
      <c r="G28" s="23">
        <f>COUNTIFS(三级标签覆盖!$A$2:$A$101,$A28,三级标签覆盖!$F$2:$F$101,"&gt;0")</f>
        <v>7</v>
      </c>
      <c r="H28" s="23">
        <f>COUNTIF(V6唯一映射!$C$2:$C$101,$A28)</f>
        <v>7</v>
      </c>
      <c r="I28" s="13">
        <f t="shared" si="0"/>
        <v>1</v>
      </c>
      <c r="J28" s="24">
        <f t="shared" si="1"/>
        <v>1.54708520179372</v>
      </c>
    </row>
    <row r="29" spans="1:10">
      <c r="A29" s="9" t="s">
        <v>965</v>
      </c>
      <c r="B29" s="10" t="s">
        <v>966</v>
      </c>
      <c r="C29" s="12">
        <f>SUMIF(统计辅助_勿改!$B$2:$B$2944,$A29,统计辅助_勿改!$C$2:$C$2944)</f>
        <v>263</v>
      </c>
      <c r="D29" s="13">
        <f>C29/覆盖概览!$B$4</f>
        <v>0.587053571428571</v>
      </c>
      <c r="E29" s="12">
        <f>COUNTIF(检查点拆解!$D$2:$D$2944,$A29)</f>
        <v>426</v>
      </c>
      <c r="F29" s="13">
        <f>E29/覆盖概览!$B$5</f>
        <v>0.144750254841998</v>
      </c>
      <c r="G29" s="23">
        <f>COUNTIFS(三级标签覆盖!$A$2:$A$101,$A29,三级标签覆盖!$F$2:$F$101,"&gt;0")</f>
        <v>9</v>
      </c>
      <c r="H29" s="23">
        <f>COUNTIF(V6唯一映射!$C$2:$C$101,$A29)</f>
        <v>9</v>
      </c>
      <c r="I29" s="13">
        <f t="shared" si="0"/>
        <v>1</v>
      </c>
      <c r="J29" s="24">
        <f t="shared" si="1"/>
        <v>1.61977186311787</v>
      </c>
    </row>
    <row r="30" spans="1:10">
      <c r="A30" s="9" t="s">
        <v>1073</v>
      </c>
      <c r="B30" s="10" t="s">
        <v>1074</v>
      </c>
      <c r="C30" s="12">
        <f>SUMIF(统计辅助_勿改!$B$2:$B$2944,$A30,统计辅助_勿改!$C$2:$C$2944)</f>
        <v>57</v>
      </c>
      <c r="D30" s="13">
        <f>C30/覆盖概览!$B$4</f>
        <v>0.127232142857143</v>
      </c>
      <c r="E30" s="12">
        <f>COUNTIF(检查点拆解!$D$2:$D$2944,$A30)</f>
        <v>65</v>
      </c>
      <c r="F30" s="13">
        <f>E30/覆盖概览!$B$5</f>
        <v>0.0220863064899762</v>
      </c>
      <c r="G30" s="23">
        <f>COUNTIFS(三级标签覆盖!$A$2:$A$101,$A30,三级标签覆盖!$F$2:$F$101,"&gt;0")</f>
        <v>3</v>
      </c>
      <c r="H30" s="23">
        <f>COUNTIF(V6唯一映射!$C$2:$C$101,$A30)</f>
        <v>3</v>
      </c>
      <c r="I30" s="13">
        <f t="shared" si="0"/>
        <v>1</v>
      </c>
      <c r="J30" s="24">
        <f t="shared" si="1"/>
        <v>1.14035087719298</v>
      </c>
    </row>
    <row r="31" spans="1:10">
      <c r="A31" s="15" t="s">
        <v>935</v>
      </c>
      <c r="B31" s="16" t="s">
        <v>936</v>
      </c>
      <c r="C31" s="18">
        <f>SUMIF(统计辅助_勿改!$B$2:$B$2944,$A31,统计辅助_勿改!$C$2:$C$2944)</f>
        <v>174</v>
      </c>
      <c r="D31" s="19">
        <f>C31/覆盖概览!$B$4</f>
        <v>0.388392857142857</v>
      </c>
      <c r="E31" s="18">
        <f>COUNTIF(检查点拆解!$D$2:$D$2944,$A31)</f>
        <v>283</v>
      </c>
      <c r="F31" s="19">
        <f>E31/覆盖概览!$B$5</f>
        <v>0.0961603805640503</v>
      </c>
      <c r="G31" s="25">
        <f>COUNTIFS(三级标签覆盖!$A$2:$A$101,$A31,三级标签覆盖!$F$2:$F$101,"&gt;0")</f>
        <v>5</v>
      </c>
      <c r="H31" s="25">
        <f>COUNTIF(V6唯一映射!$C$2:$C$101,$A31)</f>
        <v>5</v>
      </c>
      <c r="I31" s="19">
        <f t="shared" si="0"/>
        <v>1</v>
      </c>
      <c r="J31" s="26">
        <f t="shared" si="1"/>
        <v>1.6264367816092</v>
      </c>
    </row>
  </sheetData>
  <sheetProtection formatCells="0" insertHyperlinks="0" autoFilter="0"/>
  <conditionalFormatting sqref="D2:D31">
    <cfRule type="dataBar" priority="2">
      <dataBar>
        <cfvo type="min"/>
        <cfvo type="max"/>
        <color rgb="FF2F75B5"/>
      </dataBar>
      <extLst>
        <ext uri="{B025F937-C7B1-47D3-B67F-A62EFF666E3E}">
          <x14:id>{f0dd9bfd-b7e7-42b9-8bdc-a1953aca0b8c}</x14:id>
        </ext>
      </extLst>
    </cfRule>
  </conditionalFormatting>
  <conditionalFormatting sqref="F2:F31">
    <cfRule type="dataBar" priority="3">
      <dataBar>
        <cfvo type="min"/>
        <cfvo type="max"/>
        <color rgb="FF5B9BD5"/>
      </dataBar>
      <extLst>
        <ext uri="{B025F937-C7B1-47D3-B67F-A62EFF666E3E}">
          <x14:id>{be72dd23-0c40-4f9a-a22b-034a238e1ef9}</x14:id>
        </ext>
      </extLst>
    </cfRule>
  </conditionalFormatting>
  <conditionalFormatting sqref="I2:I31">
    <cfRule type="colorScale" priority="4">
      <colorScale>
        <cfvo type="min"/>
        <cfvo type="percentile" val="50"/>
        <cfvo type="max"/>
        <color rgb="FFF8696B"/>
        <color rgb="FFFFEB84"/>
        <color rgb="FF63BE7B"/>
      </colorScale>
    </cfRule>
  </conditionalFormatting>
  <conditionalFormatting sqref="A2:J31">
    <cfRule type="expression" dxfId="2" priority="1">
      <formula>MOD(ROW(),2)=0</formula>
    </cfRule>
  </conditionalFormatting>
  <pageMargins left="0.7" right="0.7" top="0.75" bottom="0.75" header="0.3" footer="0.3"/>
  <headerFooter/>
  <picture r:id="cco-watermark"/>
  <tableParts count="1">
    <tablePart r:id="rId1"/>
  </tableParts>
  <extLst>
    <ext uri="{78C0D931-6437-407d-A8EE-F0AAD7539E65}">
      <x14:conditionalFormattings>
        <x14:conditionalFormatting xmlns:xm="http://schemas.microsoft.com/office/excel/2006/main">
          <x14:cfRule type="dataBar" id="{f0dd9bfd-b7e7-42b9-8bdc-a1953aca0b8c}">
            <x14:dataBar minLength="10" maxLength="90" negativeBarColorSameAsPositive="1">
              <x14:cfvo type="min"/>
              <x14:cfvo type="max"/>
              <x14:axisColor indexed="65"/>
            </x14:dataBar>
          </x14:cfRule>
          <xm:sqref>D2:D31</xm:sqref>
        </x14:conditionalFormatting>
        <x14:conditionalFormatting xmlns:xm="http://schemas.microsoft.com/office/excel/2006/main">
          <x14:cfRule type="dataBar" id="{be72dd23-0c40-4f9a-a22b-034a238e1ef9}">
            <x14:dataBar minLength="10" maxLength="90" negativeBarColorSameAsPositive="1">
              <x14:cfvo type="min"/>
              <x14:cfvo type="max"/>
              <x14:axisColor indexed="65"/>
            </x14:dataBar>
          </x14:cfRule>
          <xm:sqref>F2:F31</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showGridLines="0" workbookViewId="0">
      <selection activeCell="A1" sqref="A1"/>
    </sheetView>
  </sheetViews>
  <sheetFormatPr defaultColWidth="9" defaultRowHeight="14.25" outlineLevelCol="7"/>
  <cols>
    <col min="1" max="1" customWidth="true" width="12.0" collapsed="false"/>
    <col min="2" max="2" customWidth="true" width="30.0" collapsed="false"/>
    <col min="3" max="3" customWidth="true" width="15.0" collapsed="false"/>
    <col min="4" max="4" customWidth="true" width="32.0" collapsed="false"/>
    <col min="5" max="8" customWidth="true" width="15.0" collapsed="false"/>
  </cols>
  <sheetData>
    <row r="1" ht="34" customHeight="1" spans="1:8">
      <c r="A1" s="1" t="s">
        <v>927</v>
      </c>
      <c r="B1" s="1" t="s">
        <v>928</v>
      </c>
      <c r="C1" s="1" t="s">
        <v>929</v>
      </c>
      <c r="D1" s="1" t="s">
        <v>930</v>
      </c>
      <c r="E1" s="1" t="s">
        <v>4515</v>
      </c>
      <c r="F1" s="1" t="s">
        <v>8</v>
      </c>
      <c r="G1" s="1" t="s">
        <v>4517</v>
      </c>
      <c r="H1" s="1" t="s">
        <v>4522</v>
      </c>
    </row>
    <row r="2" spans="1:8">
      <c r="A2" s="3" t="s">
        <v>1400</v>
      </c>
      <c r="B2" s="4" t="s">
        <v>1401</v>
      </c>
      <c r="C2" s="5" t="s">
        <v>1928</v>
      </c>
      <c r="D2" s="4" t="s">
        <v>1929</v>
      </c>
      <c r="E2" s="6">
        <f>SUMIF(统计辅助_勿改!$D$2:$D$2944,$C2,统计辅助_勿改!$E$2:$E$2944)</f>
        <v>14</v>
      </c>
      <c r="F2" s="6">
        <f>COUNTIF(检查点拆解!$F$2:$F$2944,$C2)</f>
        <v>14</v>
      </c>
      <c r="G2" s="7">
        <f>F2/覆盖概览!$B$5</f>
        <v>0.00475705062861026</v>
      </c>
      <c r="H2" s="8" t="str">
        <f t="shared" ref="H2:H65" si="0">IF(F2=0,"未覆盖","已覆盖")</f>
        <v>已覆盖</v>
      </c>
    </row>
    <row r="3" spans="1:8">
      <c r="A3" s="9" t="s">
        <v>1400</v>
      </c>
      <c r="B3" s="10" t="s">
        <v>1401</v>
      </c>
      <c r="C3" s="11" t="s">
        <v>4382</v>
      </c>
      <c r="D3" s="10" t="s">
        <v>4383</v>
      </c>
      <c r="E3" s="12">
        <f>SUMIF(统计辅助_勿改!$D$2:$D$2944,$C3,统计辅助_勿改!$E$2:$E$2944)</f>
        <v>0</v>
      </c>
      <c r="F3" s="12">
        <f>COUNTIF(检查点拆解!$F$2:$F$2944,$C3)</f>
        <v>0</v>
      </c>
      <c r="G3" s="13">
        <f>F3/覆盖概览!$B$5</f>
        <v>0</v>
      </c>
      <c r="H3" s="14" t="str">
        <f t="shared" si="0"/>
        <v>未覆盖</v>
      </c>
    </row>
    <row r="4" spans="1:8">
      <c r="A4" s="9" t="s">
        <v>1400</v>
      </c>
      <c r="B4" s="10" t="s">
        <v>1401</v>
      </c>
      <c r="C4" s="11" t="s">
        <v>1402</v>
      </c>
      <c r="D4" s="10" t="s">
        <v>1403</v>
      </c>
      <c r="E4" s="12">
        <f>SUMIF(统计辅助_勿改!$D$2:$D$2944,$C4,统计辅助_勿改!$E$2:$E$2944)</f>
        <v>1</v>
      </c>
      <c r="F4" s="12">
        <f>COUNTIF(检查点拆解!$F$2:$F$2944,$C4)</f>
        <v>1</v>
      </c>
      <c r="G4" s="13">
        <f>F4/覆盖概览!$B$5</f>
        <v>0.000339789330615019</v>
      </c>
      <c r="H4" s="14" t="str">
        <f t="shared" si="0"/>
        <v>已覆盖</v>
      </c>
    </row>
    <row r="5" spans="1:8">
      <c r="A5" s="9" t="s">
        <v>1400</v>
      </c>
      <c r="B5" s="10" t="s">
        <v>1401</v>
      </c>
      <c r="C5" s="11" t="s">
        <v>4386</v>
      </c>
      <c r="D5" s="10" t="s">
        <v>4387</v>
      </c>
      <c r="E5" s="12">
        <f>SUMIF(统计辅助_勿改!$D$2:$D$2944,$C5,统计辅助_勿改!$E$2:$E$2944)</f>
        <v>0</v>
      </c>
      <c r="F5" s="12">
        <f>COUNTIF(检查点拆解!$F$2:$F$2944,$C5)</f>
        <v>0</v>
      </c>
      <c r="G5" s="13">
        <f>F5/覆盖概览!$B$5</f>
        <v>0</v>
      </c>
      <c r="H5" s="14" t="str">
        <f t="shared" si="0"/>
        <v>未覆盖</v>
      </c>
    </row>
    <row r="6" spans="1:8">
      <c r="A6" s="9" t="s">
        <v>1413</v>
      </c>
      <c r="B6" s="10" t="s">
        <v>1414</v>
      </c>
      <c r="C6" s="11" t="s">
        <v>4389</v>
      </c>
      <c r="D6" s="10" t="s">
        <v>4390</v>
      </c>
      <c r="E6" s="12">
        <f>SUMIF(统计辅助_勿改!$D$2:$D$2944,$C6,统计辅助_勿改!$E$2:$E$2944)</f>
        <v>0</v>
      </c>
      <c r="F6" s="12">
        <f>COUNTIF(检查点拆解!$F$2:$F$2944,$C6)</f>
        <v>0</v>
      </c>
      <c r="G6" s="13">
        <f>F6/覆盖概览!$B$5</f>
        <v>0</v>
      </c>
      <c r="H6" s="14" t="str">
        <f t="shared" si="0"/>
        <v>未覆盖</v>
      </c>
    </row>
    <row r="7" spans="1:8">
      <c r="A7" s="9" t="s">
        <v>1413</v>
      </c>
      <c r="B7" s="10" t="s">
        <v>1414</v>
      </c>
      <c r="C7" s="11" t="s">
        <v>1415</v>
      </c>
      <c r="D7" s="10" t="s">
        <v>1416</v>
      </c>
      <c r="E7" s="12">
        <f>SUMIF(统计辅助_勿改!$D$2:$D$2944,$C7,统计辅助_勿改!$E$2:$E$2944)</f>
        <v>1</v>
      </c>
      <c r="F7" s="12">
        <f>COUNTIF(检查点拆解!$F$2:$F$2944,$C7)</f>
        <v>1</v>
      </c>
      <c r="G7" s="13">
        <f>F7/覆盖概览!$B$5</f>
        <v>0.000339789330615019</v>
      </c>
      <c r="H7" s="14" t="str">
        <f t="shared" si="0"/>
        <v>已覆盖</v>
      </c>
    </row>
    <row r="8" spans="1:8">
      <c r="A8" s="9" t="s">
        <v>1413</v>
      </c>
      <c r="B8" s="10" t="s">
        <v>1414</v>
      </c>
      <c r="C8" s="11" t="s">
        <v>3739</v>
      </c>
      <c r="D8" s="10" t="s">
        <v>3740</v>
      </c>
      <c r="E8" s="12">
        <f>SUMIF(统计辅助_勿改!$D$2:$D$2944,$C8,统计辅助_勿改!$E$2:$E$2944)</f>
        <v>2</v>
      </c>
      <c r="F8" s="12">
        <f>COUNTIF(检查点拆解!$F$2:$F$2944,$C8)</f>
        <v>2</v>
      </c>
      <c r="G8" s="13">
        <f>F8/覆盖概览!$B$5</f>
        <v>0.000679578661230037</v>
      </c>
      <c r="H8" s="14" t="str">
        <f t="shared" si="0"/>
        <v>已覆盖</v>
      </c>
    </row>
    <row r="9" spans="1:8">
      <c r="A9" s="9" t="s">
        <v>1146</v>
      </c>
      <c r="B9" s="10" t="s">
        <v>1147</v>
      </c>
      <c r="C9" s="11" t="s">
        <v>1148</v>
      </c>
      <c r="D9" s="10" t="s">
        <v>1149</v>
      </c>
      <c r="E9" s="12">
        <f>SUMIF(统计辅助_勿改!$D$2:$D$2944,$C9,统计辅助_勿改!$E$2:$E$2944)</f>
        <v>63</v>
      </c>
      <c r="F9" s="12">
        <f>COUNTIF(检查点拆解!$F$2:$F$2944,$C9)</f>
        <v>63</v>
      </c>
      <c r="G9" s="13">
        <f>F9/覆盖概览!$B$5</f>
        <v>0.0214067278287462</v>
      </c>
      <c r="H9" s="14" t="str">
        <f t="shared" si="0"/>
        <v>已覆盖</v>
      </c>
    </row>
    <row r="10" spans="1:8">
      <c r="A10" s="9" t="s">
        <v>1146</v>
      </c>
      <c r="B10" s="10" t="s">
        <v>1147</v>
      </c>
      <c r="C10" s="11" t="s">
        <v>4177</v>
      </c>
      <c r="D10" s="10" t="s">
        <v>4178</v>
      </c>
      <c r="E10" s="12">
        <f>SUMIF(统计辅助_勿改!$D$2:$D$2944,$C10,统计辅助_勿改!$E$2:$E$2944)</f>
        <v>1</v>
      </c>
      <c r="F10" s="12">
        <f>COUNTIF(检查点拆解!$F$2:$F$2944,$C10)</f>
        <v>1</v>
      </c>
      <c r="G10" s="13">
        <f>F10/覆盖概览!$B$5</f>
        <v>0.000339789330615019</v>
      </c>
      <c r="H10" s="14" t="str">
        <f t="shared" si="0"/>
        <v>已覆盖</v>
      </c>
    </row>
    <row r="11" spans="1:8">
      <c r="A11" s="9" t="s">
        <v>1146</v>
      </c>
      <c r="B11" s="10" t="s">
        <v>1147</v>
      </c>
      <c r="C11" s="11" t="s">
        <v>1160</v>
      </c>
      <c r="D11" s="10" t="s">
        <v>1161</v>
      </c>
      <c r="E11" s="12">
        <f>SUMIF(统计辅助_勿改!$D$2:$D$2944,$C11,统计辅助_勿改!$E$2:$E$2944)</f>
        <v>9</v>
      </c>
      <c r="F11" s="12">
        <f>COUNTIF(检查点拆解!$F$2:$F$2944,$C11)</f>
        <v>9</v>
      </c>
      <c r="G11" s="13">
        <f>F11/覆盖概览!$B$5</f>
        <v>0.00305810397553517</v>
      </c>
      <c r="H11" s="14" t="str">
        <f t="shared" si="0"/>
        <v>已覆盖</v>
      </c>
    </row>
    <row r="12" spans="1:8">
      <c r="A12" s="9" t="s">
        <v>978</v>
      </c>
      <c r="B12" s="10" t="s">
        <v>979</v>
      </c>
      <c r="C12" s="11" t="s">
        <v>980</v>
      </c>
      <c r="D12" s="10" t="s">
        <v>981</v>
      </c>
      <c r="E12" s="12">
        <f>SUMIF(统计辅助_勿改!$D$2:$D$2944,$C12,统计辅助_勿改!$E$2:$E$2944)</f>
        <v>66</v>
      </c>
      <c r="F12" s="12">
        <f>COUNTIF(检查点拆解!$F$2:$F$2944,$C12)</f>
        <v>66</v>
      </c>
      <c r="G12" s="13">
        <f>F12/覆盖概览!$B$5</f>
        <v>0.0224260958205912</v>
      </c>
      <c r="H12" s="14" t="str">
        <f t="shared" si="0"/>
        <v>已覆盖</v>
      </c>
    </row>
    <row r="13" spans="1:8">
      <c r="A13" s="9" t="s">
        <v>978</v>
      </c>
      <c r="B13" s="10" t="s">
        <v>979</v>
      </c>
      <c r="C13" s="11" t="s">
        <v>1165</v>
      </c>
      <c r="D13" s="10" t="s">
        <v>1166</v>
      </c>
      <c r="E13" s="12">
        <f>SUMIF(统计辅助_勿改!$D$2:$D$2944,$C13,统计辅助_勿改!$E$2:$E$2944)</f>
        <v>33</v>
      </c>
      <c r="F13" s="12">
        <f>COUNTIF(检查点拆解!$F$2:$F$2944,$C13)</f>
        <v>33</v>
      </c>
      <c r="G13" s="13">
        <f>F13/覆盖概览!$B$5</f>
        <v>0.0112130479102956</v>
      </c>
      <c r="H13" s="14" t="str">
        <f t="shared" si="0"/>
        <v>已覆盖</v>
      </c>
    </row>
    <row r="14" spans="1:8">
      <c r="A14" s="9" t="s">
        <v>978</v>
      </c>
      <c r="B14" s="10" t="s">
        <v>979</v>
      </c>
      <c r="C14" s="11" t="s">
        <v>1206</v>
      </c>
      <c r="D14" s="10" t="s">
        <v>1207</v>
      </c>
      <c r="E14" s="12">
        <f>SUMIF(统计辅助_勿改!$D$2:$D$2944,$C14,统计辅助_勿改!$E$2:$E$2944)</f>
        <v>55</v>
      </c>
      <c r="F14" s="12">
        <f>COUNTIF(检查点拆解!$F$2:$F$2944,$C14)</f>
        <v>55</v>
      </c>
      <c r="G14" s="13">
        <f>F14/覆盖概览!$B$5</f>
        <v>0.018688413183826</v>
      </c>
      <c r="H14" s="14" t="str">
        <f t="shared" si="0"/>
        <v>已覆盖</v>
      </c>
    </row>
    <row r="15" spans="1:8">
      <c r="A15" s="9" t="s">
        <v>1171</v>
      </c>
      <c r="B15" s="10" t="s">
        <v>1172</v>
      </c>
      <c r="C15" s="11" t="s">
        <v>1173</v>
      </c>
      <c r="D15" s="10" t="s">
        <v>1174</v>
      </c>
      <c r="E15" s="12">
        <f>SUMIF(统计辅助_勿改!$D$2:$D$2944,$C15,统计辅助_勿改!$E$2:$E$2944)</f>
        <v>39</v>
      </c>
      <c r="F15" s="12">
        <f>COUNTIF(检查点拆解!$F$2:$F$2944,$C15)</f>
        <v>39</v>
      </c>
      <c r="G15" s="13">
        <f>F15/覆盖概览!$B$5</f>
        <v>0.0132517838939857</v>
      </c>
      <c r="H15" s="14" t="str">
        <f t="shared" si="0"/>
        <v>已覆盖</v>
      </c>
    </row>
    <row r="16" spans="1:8">
      <c r="A16" s="9" t="s">
        <v>1171</v>
      </c>
      <c r="B16" s="10" t="s">
        <v>1172</v>
      </c>
      <c r="C16" s="11" t="s">
        <v>1246</v>
      </c>
      <c r="D16" s="10" t="s">
        <v>1247</v>
      </c>
      <c r="E16" s="12">
        <f>SUMIF(统计辅助_勿改!$D$2:$D$2944,$C16,统计辅助_勿改!$E$2:$E$2944)</f>
        <v>52</v>
      </c>
      <c r="F16" s="12">
        <f>COUNTIF(检查点拆解!$F$2:$F$2944,$C16)</f>
        <v>52</v>
      </c>
      <c r="G16" s="13">
        <f>F16/覆盖概览!$B$5</f>
        <v>0.017669045191981</v>
      </c>
      <c r="H16" s="14" t="str">
        <f t="shared" si="0"/>
        <v>已覆盖</v>
      </c>
    </row>
    <row r="17" spans="1:8">
      <c r="A17" s="9" t="s">
        <v>1171</v>
      </c>
      <c r="B17" s="10" t="s">
        <v>1172</v>
      </c>
      <c r="C17" s="11" t="s">
        <v>2005</v>
      </c>
      <c r="D17" s="10" t="s">
        <v>2006</v>
      </c>
      <c r="E17" s="12">
        <f>SUMIF(统计辅助_勿改!$D$2:$D$2944,$C17,统计辅助_勿改!$E$2:$E$2944)</f>
        <v>9</v>
      </c>
      <c r="F17" s="12">
        <f>COUNTIF(检查点拆解!$F$2:$F$2944,$C17)</f>
        <v>9</v>
      </c>
      <c r="G17" s="13">
        <f>F17/覆盖概览!$B$5</f>
        <v>0.00305810397553517</v>
      </c>
      <c r="H17" s="14" t="str">
        <f t="shared" si="0"/>
        <v>已覆盖</v>
      </c>
    </row>
    <row r="18" spans="1:8">
      <c r="A18" s="9" t="s">
        <v>1037</v>
      </c>
      <c r="B18" s="10" t="s">
        <v>1038</v>
      </c>
      <c r="C18" s="11" t="s">
        <v>1314</v>
      </c>
      <c r="D18" s="10" t="s">
        <v>1315</v>
      </c>
      <c r="E18" s="12">
        <f>SUMIF(统计辅助_勿改!$D$2:$D$2944,$C18,统计辅助_勿改!$E$2:$E$2944)</f>
        <v>57</v>
      </c>
      <c r="F18" s="12">
        <f>COUNTIF(检查点拆解!$F$2:$F$2944,$C18)</f>
        <v>57</v>
      </c>
      <c r="G18" s="13">
        <f>F18/覆盖概览!$B$5</f>
        <v>0.0193679918450561</v>
      </c>
      <c r="H18" s="14" t="str">
        <f t="shared" si="0"/>
        <v>已覆盖</v>
      </c>
    </row>
    <row r="19" spans="1:8">
      <c r="A19" s="9" t="s">
        <v>1037</v>
      </c>
      <c r="B19" s="10" t="s">
        <v>1038</v>
      </c>
      <c r="C19" s="11" t="s">
        <v>1389</v>
      </c>
      <c r="D19" s="10" t="s">
        <v>1390</v>
      </c>
      <c r="E19" s="12">
        <f>SUMIF(统计辅助_勿改!$D$2:$D$2944,$C19,统计辅助_勿改!$E$2:$E$2944)</f>
        <v>55</v>
      </c>
      <c r="F19" s="12">
        <f>COUNTIF(检查点拆解!$F$2:$F$2944,$C19)</f>
        <v>55</v>
      </c>
      <c r="G19" s="13">
        <f>F19/覆盖概览!$B$5</f>
        <v>0.018688413183826</v>
      </c>
      <c r="H19" s="14" t="str">
        <f t="shared" si="0"/>
        <v>已覆盖</v>
      </c>
    </row>
    <row r="20" spans="1:8">
      <c r="A20" s="9" t="s">
        <v>1037</v>
      </c>
      <c r="B20" s="10" t="s">
        <v>1038</v>
      </c>
      <c r="C20" s="11" t="s">
        <v>1039</v>
      </c>
      <c r="D20" s="10" t="s">
        <v>1040</v>
      </c>
      <c r="E20" s="12">
        <f>SUMIF(统计辅助_勿改!$D$2:$D$2944,$C20,统计辅助_勿改!$E$2:$E$2944)</f>
        <v>47</v>
      </c>
      <c r="F20" s="12">
        <f>COUNTIF(检查点拆解!$F$2:$F$2944,$C20)</f>
        <v>47</v>
      </c>
      <c r="G20" s="13">
        <f>F20/覆盖概览!$B$5</f>
        <v>0.0159700985389059</v>
      </c>
      <c r="H20" s="14" t="str">
        <f t="shared" si="0"/>
        <v>已覆盖</v>
      </c>
    </row>
    <row r="21" spans="1:8">
      <c r="A21" s="9" t="s">
        <v>1306</v>
      </c>
      <c r="B21" s="10" t="s">
        <v>1307</v>
      </c>
      <c r="C21" s="11" t="s">
        <v>1442</v>
      </c>
      <c r="D21" s="10" t="s">
        <v>1443</v>
      </c>
      <c r="E21" s="12">
        <f>SUMIF(统计辅助_勿改!$D$2:$D$2944,$C21,统计辅助_勿改!$E$2:$E$2944)</f>
        <v>4</v>
      </c>
      <c r="F21" s="12">
        <f>COUNTIF(检查点拆解!$F$2:$F$2944,$C21)</f>
        <v>4</v>
      </c>
      <c r="G21" s="13">
        <f>F21/覆盖概览!$B$5</f>
        <v>0.00135915732246007</v>
      </c>
      <c r="H21" s="14" t="str">
        <f t="shared" si="0"/>
        <v>已覆盖</v>
      </c>
    </row>
    <row r="22" spans="1:8">
      <c r="A22" s="9" t="s">
        <v>1306</v>
      </c>
      <c r="B22" s="10" t="s">
        <v>1307</v>
      </c>
      <c r="C22" s="11" t="s">
        <v>3397</v>
      </c>
      <c r="D22" s="10" t="s">
        <v>3398</v>
      </c>
      <c r="E22" s="12">
        <f>SUMIF(统计辅助_勿改!$D$2:$D$2944,$C22,统计辅助_勿改!$E$2:$E$2944)</f>
        <v>2</v>
      </c>
      <c r="F22" s="12">
        <f>COUNTIF(检查点拆解!$F$2:$F$2944,$C22)</f>
        <v>2</v>
      </c>
      <c r="G22" s="13">
        <f>F22/覆盖概览!$B$5</f>
        <v>0.000679578661230037</v>
      </c>
      <c r="H22" s="14" t="str">
        <f t="shared" si="0"/>
        <v>已覆盖</v>
      </c>
    </row>
    <row r="23" spans="1:8">
      <c r="A23" s="9" t="s">
        <v>1306</v>
      </c>
      <c r="B23" s="10" t="s">
        <v>1307</v>
      </c>
      <c r="C23" s="11" t="s">
        <v>1308</v>
      </c>
      <c r="D23" s="10" t="s">
        <v>1309</v>
      </c>
      <c r="E23" s="12">
        <f>SUMIF(统计辅助_勿改!$D$2:$D$2944,$C23,统计辅助_勿改!$E$2:$E$2944)</f>
        <v>2</v>
      </c>
      <c r="F23" s="12">
        <f>COUNTIF(检查点拆解!$F$2:$F$2944,$C23)</f>
        <v>2</v>
      </c>
      <c r="G23" s="13">
        <f>F23/覆盖概览!$B$5</f>
        <v>0.000679578661230037</v>
      </c>
      <c r="H23" s="14" t="str">
        <f t="shared" si="0"/>
        <v>已覆盖</v>
      </c>
    </row>
    <row r="24" spans="1:8">
      <c r="A24" s="9" t="s">
        <v>1118</v>
      </c>
      <c r="B24" s="10" t="s">
        <v>1119</v>
      </c>
      <c r="C24" s="11" t="s">
        <v>1197</v>
      </c>
      <c r="D24" s="10" t="s">
        <v>1198</v>
      </c>
      <c r="E24" s="12">
        <f>SUMIF(统计辅助_勿改!$D$2:$D$2944,$C24,统计辅助_勿改!$E$2:$E$2944)</f>
        <v>43</v>
      </c>
      <c r="F24" s="12">
        <f>COUNTIF(检查点拆解!$F$2:$F$2944,$C24)</f>
        <v>43</v>
      </c>
      <c r="G24" s="13">
        <f>F24/覆盖概览!$B$5</f>
        <v>0.0146109412164458</v>
      </c>
      <c r="H24" s="14" t="str">
        <f t="shared" si="0"/>
        <v>已覆盖</v>
      </c>
    </row>
    <row r="25" spans="1:8">
      <c r="A25" s="9" t="s">
        <v>1118</v>
      </c>
      <c r="B25" s="10" t="s">
        <v>1119</v>
      </c>
      <c r="C25" s="11" t="s">
        <v>1236</v>
      </c>
      <c r="D25" s="10" t="s">
        <v>1237</v>
      </c>
      <c r="E25" s="12">
        <f>SUMIF(统计辅助_勿改!$D$2:$D$2944,$C25,统计辅助_勿改!$E$2:$E$2944)</f>
        <v>12</v>
      </c>
      <c r="F25" s="12">
        <f>COUNTIF(检查点拆解!$F$2:$F$2944,$C25)</f>
        <v>12</v>
      </c>
      <c r="G25" s="13">
        <f>F25/覆盖概览!$B$5</f>
        <v>0.00407747196738022</v>
      </c>
      <c r="H25" s="14" t="str">
        <f t="shared" si="0"/>
        <v>已覆盖</v>
      </c>
    </row>
    <row r="26" spans="1:8">
      <c r="A26" s="9" t="s">
        <v>1118</v>
      </c>
      <c r="B26" s="10" t="s">
        <v>1119</v>
      </c>
      <c r="C26" s="11" t="s">
        <v>1120</v>
      </c>
      <c r="D26" s="10" t="s">
        <v>1121</v>
      </c>
      <c r="E26" s="12">
        <f>SUMIF(统计辅助_勿改!$D$2:$D$2944,$C26,统计辅助_勿改!$E$2:$E$2944)</f>
        <v>29</v>
      </c>
      <c r="F26" s="12">
        <f>COUNTIF(检查点拆解!$F$2:$F$2944,$C26)</f>
        <v>29</v>
      </c>
      <c r="G26" s="13">
        <f>F26/覆盖概览!$B$5</f>
        <v>0.00985389058783554</v>
      </c>
      <c r="H26" s="14" t="str">
        <f t="shared" si="0"/>
        <v>已覆盖</v>
      </c>
    </row>
    <row r="27" spans="1:8">
      <c r="A27" s="9" t="s">
        <v>1118</v>
      </c>
      <c r="B27" s="10" t="s">
        <v>1119</v>
      </c>
      <c r="C27" s="11" t="s">
        <v>1639</v>
      </c>
      <c r="D27" s="10" t="s">
        <v>1640</v>
      </c>
      <c r="E27" s="12">
        <f>SUMIF(统计辅助_勿改!$D$2:$D$2944,$C27,统计辅助_勿改!$E$2:$E$2944)</f>
        <v>12</v>
      </c>
      <c r="F27" s="12">
        <f>COUNTIF(检查点拆解!$F$2:$F$2944,$C27)</f>
        <v>12</v>
      </c>
      <c r="G27" s="13">
        <f>F27/覆盖概览!$B$5</f>
        <v>0.00407747196738022</v>
      </c>
      <c r="H27" s="14" t="str">
        <f t="shared" si="0"/>
        <v>已覆盖</v>
      </c>
    </row>
    <row r="28" spans="1:8">
      <c r="A28" s="9" t="s">
        <v>1278</v>
      </c>
      <c r="B28" s="10" t="s">
        <v>1279</v>
      </c>
      <c r="C28" s="11" t="s">
        <v>1326</v>
      </c>
      <c r="D28" s="10" t="s">
        <v>1327</v>
      </c>
      <c r="E28" s="12">
        <f>SUMIF(统计辅助_勿改!$D$2:$D$2944,$C28,统计辅助_勿改!$E$2:$E$2944)</f>
        <v>3</v>
      </c>
      <c r="F28" s="12">
        <f>COUNTIF(检查点拆解!$F$2:$F$2944,$C28)</f>
        <v>3</v>
      </c>
      <c r="G28" s="13">
        <f>F28/覆盖概览!$B$5</f>
        <v>0.00101936799184506</v>
      </c>
      <c r="H28" s="14" t="str">
        <f t="shared" si="0"/>
        <v>已覆盖</v>
      </c>
    </row>
    <row r="29" spans="1:8">
      <c r="A29" s="9" t="s">
        <v>1278</v>
      </c>
      <c r="B29" s="10" t="s">
        <v>1279</v>
      </c>
      <c r="C29" s="11" t="s">
        <v>1280</v>
      </c>
      <c r="D29" s="10" t="s">
        <v>1281</v>
      </c>
      <c r="E29" s="12">
        <f>SUMIF(统计辅助_勿改!$D$2:$D$2944,$C29,统计辅助_勿改!$E$2:$E$2944)</f>
        <v>21</v>
      </c>
      <c r="F29" s="12">
        <f>COUNTIF(检查点拆解!$F$2:$F$2944,$C29)</f>
        <v>21</v>
      </c>
      <c r="G29" s="13">
        <f>F29/覆盖概览!$B$5</f>
        <v>0.00713557594291539</v>
      </c>
      <c r="H29" s="14" t="str">
        <f t="shared" si="0"/>
        <v>已覆盖</v>
      </c>
    </row>
    <row r="30" spans="1:8">
      <c r="A30" s="9" t="s">
        <v>1506</v>
      </c>
      <c r="B30" s="10" t="s">
        <v>1507</v>
      </c>
      <c r="C30" s="11" t="s">
        <v>1508</v>
      </c>
      <c r="D30" s="10" t="s">
        <v>1507</v>
      </c>
      <c r="E30" s="12">
        <f>SUMIF(统计辅助_勿改!$D$2:$D$2944,$C30,统计辅助_勿改!$E$2:$E$2944)</f>
        <v>10</v>
      </c>
      <c r="F30" s="12">
        <f>COUNTIF(检查点拆解!$F$2:$F$2944,$C30)</f>
        <v>10</v>
      </c>
      <c r="G30" s="13">
        <f>F30/覆盖概览!$B$5</f>
        <v>0.00339789330615019</v>
      </c>
      <c r="H30" s="14" t="str">
        <f t="shared" si="0"/>
        <v>已覆盖</v>
      </c>
    </row>
    <row r="31" spans="1:8">
      <c r="A31" s="9" t="s">
        <v>1422</v>
      </c>
      <c r="B31" s="10" t="s">
        <v>1423</v>
      </c>
      <c r="C31" s="11" t="s">
        <v>1424</v>
      </c>
      <c r="D31" s="10" t="s">
        <v>1423</v>
      </c>
      <c r="E31" s="12">
        <f>SUMIF(统计辅助_勿改!$D$2:$D$2944,$C31,统计辅助_勿改!$E$2:$E$2944)</f>
        <v>42</v>
      </c>
      <c r="F31" s="12">
        <f>COUNTIF(检查点拆解!$F$2:$F$2944,$C31)</f>
        <v>42</v>
      </c>
      <c r="G31" s="13">
        <f>F31/覆盖概览!$B$5</f>
        <v>0.0142711518858308</v>
      </c>
      <c r="H31" s="14" t="str">
        <f t="shared" si="0"/>
        <v>已覆盖</v>
      </c>
    </row>
    <row r="32" spans="1:8">
      <c r="A32" s="9" t="s">
        <v>1029</v>
      </c>
      <c r="B32" s="10" t="s">
        <v>1030</v>
      </c>
      <c r="C32" s="11" t="s">
        <v>2075</v>
      </c>
      <c r="D32" s="10" t="s">
        <v>2076</v>
      </c>
      <c r="E32" s="12">
        <f>SUMIF(统计辅助_勿改!$D$2:$D$2944,$C32,统计辅助_勿改!$E$2:$E$2944)</f>
        <v>17</v>
      </c>
      <c r="F32" s="12">
        <f>COUNTIF(检查点拆解!$F$2:$F$2944,$C32)</f>
        <v>17</v>
      </c>
      <c r="G32" s="13">
        <f>F32/覆盖概览!$B$5</f>
        <v>0.00577641862045532</v>
      </c>
      <c r="H32" s="14" t="str">
        <f t="shared" si="0"/>
        <v>已覆盖</v>
      </c>
    </row>
    <row r="33" spans="1:8">
      <c r="A33" s="9" t="s">
        <v>1029</v>
      </c>
      <c r="B33" s="10" t="s">
        <v>1030</v>
      </c>
      <c r="C33" s="11" t="s">
        <v>1031</v>
      </c>
      <c r="D33" s="10" t="s">
        <v>1032</v>
      </c>
      <c r="E33" s="12">
        <f>SUMIF(统计辅助_勿改!$D$2:$D$2944,$C33,统计辅助_勿改!$E$2:$E$2944)</f>
        <v>13</v>
      </c>
      <c r="F33" s="12">
        <f>COUNTIF(检查点拆解!$F$2:$F$2944,$C33)</f>
        <v>13</v>
      </c>
      <c r="G33" s="13">
        <f>F33/覆盖概览!$B$5</f>
        <v>0.00441726129799524</v>
      </c>
      <c r="H33" s="14" t="str">
        <f t="shared" si="0"/>
        <v>已覆盖</v>
      </c>
    </row>
    <row r="34" spans="1:8">
      <c r="A34" s="9" t="s">
        <v>1430</v>
      </c>
      <c r="B34" s="10" t="s">
        <v>1431</v>
      </c>
      <c r="C34" s="11" t="s">
        <v>1432</v>
      </c>
      <c r="D34" s="10" t="s">
        <v>1433</v>
      </c>
      <c r="E34" s="12">
        <f>SUMIF(统计辅助_勿改!$D$2:$D$2944,$C34,统计辅助_勿改!$E$2:$E$2944)</f>
        <v>8</v>
      </c>
      <c r="F34" s="12">
        <f>COUNTIF(检查点拆解!$F$2:$F$2944,$C34)</f>
        <v>8</v>
      </c>
      <c r="G34" s="13">
        <f>F34/覆盖概览!$B$5</f>
        <v>0.00271831464492015</v>
      </c>
      <c r="H34" s="14" t="str">
        <f t="shared" si="0"/>
        <v>已覆盖</v>
      </c>
    </row>
    <row r="35" spans="1:8">
      <c r="A35" s="9" t="s">
        <v>993</v>
      </c>
      <c r="B35" s="10" t="s">
        <v>994</v>
      </c>
      <c r="C35" s="11" t="s">
        <v>1217</v>
      </c>
      <c r="D35" s="10" t="s">
        <v>1218</v>
      </c>
      <c r="E35" s="12">
        <f>SUMIF(统计辅助_勿改!$D$2:$D$2944,$C35,统计辅助_勿改!$E$2:$E$2944)</f>
        <v>38</v>
      </c>
      <c r="F35" s="12">
        <f>COUNTIF(检查点拆解!$F$2:$F$2944,$C35)</f>
        <v>38</v>
      </c>
      <c r="G35" s="13">
        <f>F35/覆盖概览!$B$5</f>
        <v>0.0129119945633707</v>
      </c>
      <c r="H35" s="14" t="str">
        <f t="shared" si="0"/>
        <v>已覆盖</v>
      </c>
    </row>
    <row r="36" spans="1:8">
      <c r="A36" s="9" t="s">
        <v>993</v>
      </c>
      <c r="B36" s="10" t="s">
        <v>994</v>
      </c>
      <c r="C36" s="11" t="s">
        <v>4421</v>
      </c>
      <c r="D36" s="10" t="s">
        <v>4422</v>
      </c>
      <c r="E36" s="12">
        <f>SUMIF(统计辅助_勿改!$D$2:$D$2944,$C36,统计辅助_勿改!$E$2:$E$2944)</f>
        <v>0</v>
      </c>
      <c r="F36" s="12">
        <f>COUNTIF(检查点拆解!$F$2:$F$2944,$C36)</f>
        <v>0</v>
      </c>
      <c r="G36" s="13">
        <f>F36/覆盖概览!$B$5</f>
        <v>0</v>
      </c>
      <c r="H36" s="14" t="str">
        <f t="shared" si="0"/>
        <v>未覆盖</v>
      </c>
    </row>
    <row r="37" spans="1:8">
      <c r="A37" s="9" t="s">
        <v>993</v>
      </c>
      <c r="B37" s="10" t="s">
        <v>994</v>
      </c>
      <c r="C37" s="11" t="s">
        <v>1132</v>
      </c>
      <c r="D37" s="10" t="s">
        <v>1133</v>
      </c>
      <c r="E37" s="12">
        <f>SUMIF(统计辅助_勿改!$D$2:$D$2944,$C37,统计辅助_勿改!$E$2:$E$2944)</f>
        <v>16</v>
      </c>
      <c r="F37" s="12">
        <f>COUNTIF(检查点拆解!$F$2:$F$2944,$C37)</f>
        <v>16</v>
      </c>
      <c r="G37" s="13">
        <f>F37/覆盖概览!$B$5</f>
        <v>0.0054366292898403</v>
      </c>
      <c r="H37" s="14" t="str">
        <f t="shared" si="0"/>
        <v>已覆盖</v>
      </c>
    </row>
    <row r="38" spans="1:8">
      <c r="A38" s="9" t="s">
        <v>1059</v>
      </c>
      <c r="B38" s="10" t="s">
        <v>1060</v>
      </c>
      <c r="C38" s="11" t="s">
        <v>1126</v>
      </c>
      <c r="D38" s="10" t="s">
        <v>1127</v>
      </c>
      <c r="E38" s="12">
        <f>SUMIF(统计辅助_勿改!$D$2:$D$2944,$C38,统计辅助_勿改!$E$2:$E$2944)</f>
        <v>11</v>
      </c>
      <c r="F38" s="12">
        <f>COUNTIF(检查点拆解!$F$2:$F$2944,$C38)</f>
        <v>11</v>
      </c>
      <c r="G38" s="13">
        <f>F38/覆盖概览!$B$5</f>
        <v>0.00373768263676521</v>
      </c>
      <c r="H38" s="14" t="str">
        <f t="shared" si="0"/>
        <v>已覆盖</v>
      </c>
    </row>
    <row r="39" spans="1:8">
      <c r="A39" s="9" t="s">
        <v>1059</v>
      </c>
      <c r="B39" s="10" t="s">
        <v>1060</v>
      </c>
      <c r="C39" s="11" t="s">
        <v>1061</v>
      </c>
      <c r="D39" s="10" t="s">
        <v>1062</v>
      </c>
      <c r="E39" s="12">
        <f>SUMIF(统计辅助_勿改!$D$2:$D$2944,$C39,统计辅助_勿改!$E$2:$E$2944)</f>
        <v>25</v>
      </c>
      <c r="F39" s="12">
        <f>COUNTIF(检查点拆解!$F$2:$F$2944,$C39)</f>
        <v>25</v>
      </c>
      <c r="G39" s="13">
        <f>F39/覆盖概览!$B$5</f>
        <v>0.00849473326537547</v>
      </c>
      <c r="H39" s="14" t="str">
        <f t="shared" si="0"/>
        <v>已覆盖</v>
      </c>
    </row>
    <row r="40" spans="1:8">
      <c r="A40" s="9" t="s">
        <v>1059</v>
      </c>
      <c r="B40" s="10" t="s">
        <v>1060</v>
      </c>
      <c r="C40" s="11" t="s">
        <v>1363</v>
      </c>
      <c r="D40" s="10" t="s">
        <v>1364</v>
      </c>
      <c r="E40" s="12">
        <f>SUMIF(统计辅助_勿改!$D$2:$D$2944,$C40,统计辅助_勿改!$E$2:$E$2944)</f>
        <v>20</v>
      </c>
      <c r="F40" s="12">
        <f>COUNTIF(检查点拆解!$F$2:$F$2944,$C40)</f>
        <v>20</v>
      </c>
      <c r="G40" s="13">
        <f>F40/覆盖概览!$B$5</f>
        <v>0.00679578661230037</v>
      </c>
      <c r="H40" s="14" t="str">
        <f t="shared" si="0"/>
        <v>已覆盖</v>
      </c>
    </row>
    <row r="41" spans="1:8">
      <c r="A41" s="9" t="s">
        <v>1719</v>
      </c>
      <c r="B41" s="10" t="s">
        <v>1720</v>
      </c>
      <c r="C41" s="11" t="s">
        <v>1721</v>
      </c>
      <c r="D41" s="10" t="s">
        <v>1722</v>
      </c>
      <c r="E41" s="12">
        <f>SUMIF(统计辅助_勿改!$D$2:$D$2944,$C41,统计辅助_勿改!$E$2:$E$2944)</f>
        <v>13</v>
      </c>
      <c r="F41" s="12">
        <f>COUNTIF(检查点拆解!$F$2:$F$2944,$C41)</f>
        <v>13</v>
      </c>
      <c r="G41" s="13">
        <f>F41/覆盖概览!$B$5</f>
        <v>0.00441726129799524</v>
      </c>
      <c r="H41" s="14" t="str">
        <f t="shared" si="0"/>
        <v>已覆盖</v>
      </c>
    </row>
    <row r="42" spans="1:8">
      <c r="A42" s="9" t="s">
        <v>1082</v>
      </c>
      <c r="B42" s="10" t="s">
        <v>1083</v>
      </c>
      <c r="C42" s="11" t="s">
        <v>1667</v>
      </c>
      <c r="D42" s="10" t="s">
        <v>1668</v>
      </c>
      <c r="E42" s="12">
        <f>SUMIF(统计辅助_勿改!$D$2:$D$2944,$C42,统计辅助_勿改!$E$2:$E$2944)</f>
        <v>17</v>
      </c>
      <c r="F42" s="12">
        <f>COUNTIF(检查点拆解!$F$2:$F$2944,$C42)</f>
        <v>17</v>
      </c>
      <c r="G42" s="13">
        <f>F42/覆盖概览!$B$5</f>
        <v>0.00577641862045532</v>
      </c>
      <c r="H42" s="14" t="str">
        <f t="shared" si="0"/>
        <v>已覆盖</v>
      </c>
    </row>
    <row r="43" spans="1:8">
      <c r="A43" s="9" t="s">
        <v>1082</v>
      </c>
      <c r="B43" s="10" t="s">
        <v>1083</v>
      </c>
      <c r="C43" s="11" t="s">
        <v>1349</v>
      </c>
      <c r="D43" s="10" t="s">
        <v>1350</v>
      </c>
      <c r="E43" s="12">
        <f>SUMIF(统计辅助_勿改!$D$2:$D$2944,$C43,统计辅助_勿改!$E$2:$E$2944)</f>
        <v>9</v>
      </c>
      <c r="F43" s="12">
        <f>COUNTIF(检查点拆解!$F$2:$F$2944,$C43)</f>
        <v>9</v>
      </c>
      <c r="G43" s="13">
        <f>F43/覆盖概览!$B$5</f>
        <v>0.00305810397553517</v>
      </c>
      <c r="H43" s="14" t="str">
        <f t="shared" si="0"/>
        <v>已覆盖</v>
      </c>
    </row>
    <row r="44" spans="1:8">
      <c r="A44" s="9" t="s">
        <v>1082</v>
      </c>
      <c r="B44" s="10" t="s">
        <v>1083</v>
      </c>
      <c r="C44" s="11" t="s">
        <v>1369</v>
      </c>
      <c r="D44" s="10" t="s">
        <v>1370</v>
      </c>
      <c r="E44" s="12">
        <f>SUMIF(统计辅助_勿改!$D$2:$D$2944,$C44,统计辅助_勿改!$E$2:$E$2944)</f>
        <v>6</v>
      </c>
      <c r="F44" s="12">
        <f>COUNTIF(检查点拆解!$F$2:$F$2944,$C44)</f>
        <v>6</v>
      </c>
      <c r="G44" s="13">
        <f>F44/覆盖概览!$B$5</f>
        <v>0.00203873598369011</v>
      </c>
      <c r="H44" s="14" t="str">
        <f t="shared" si="0"/>
        <v>已覆盖</v>
      </c>
    </row>
    <row r="45" spans="1:8">
      <c r="A45" s="9" t="s">
        <v>1082</v>
      </c>
      <c r="B45" s="10" t="s">
        <v>1083</v>
      </c>
      <c r="C45" s="11" t="s">
        <v>1652</v>
      </c>
      <c r="D45" s="10" t="s">
        <v>1653</v>
      </c>
      <c r="E45" s="12">
        <f>SUMIF(统计辅助_勿改!$D$2:$D$2944,$C45,统计辅助_勿改!$E$2:$E$2944)</f>
        <v>6</v>
      </c>
      <c r="F45" s="12">
        <f>COUNTIF(检查点拆解!$F$2:$F$2944,$C45)</f>
        <v>6</v>
      </c>
      <c r="G45" s="13">
        <f>F45/覆盖概览!$B$5</f>
        <v>0.00203873598369011</v>
      </c>
      <c r="H45" s="14" t="str">
        <f t="shared" si="0"/>
        <v>已覆盖</v>
      </c>
    </row>
    <row r="46" spans="1:8">
      <c r="A46" s="9" t="s">
        <v>1082</v>
      </c>
      <c r="B46" s="10" t="s">
        <v>1083</v>
      </c>
      <c r="C46" s="11" t="s">
        <v>1084</v>
      </c>
      <c r="D46" s="10" t="s">
        <v>1085</v>
      </c>
      <c r="E46" s="12">
        <f>SUMIF(统计辅助_勿改!$D$2:$D$2944,$C46,统计辅助_勿改!$E$2:$E$2944)</f>
        <v>42</v>
      </c>
      <c r="F46" s="12">
        <f>COUNTIF(检查点拆解!$F$2:$F$2944,$C46)</f>
        <v>42</v>
      </c>
      <c r="G46" s="13">
        <f>F46/覆盖概览!$B$5</f>
        <v>0.0142711518858308</v>
      </c>
      <c r="H46" s="14" t="str">
        <f t="shared" si="0"/>
        <v>已覆盖</v>
      </c>
    </row>
    <row r="47" spans="1:8">
      <c r="A47" s="9" t="s">
        <v>1082</v>
      </c>
      <c r="B47" s="10" t="s">
        <v>1083</v>
      </c>
      <c r="C47" s="11" t="s">
        <v>1357</v>
      </c>
      <c r="D47" s="10" t="s">
        <v>1358</v>
      </c>
      <c r="E47" s="12">
        <f>SUMIF(统计辅助_勿改!$D$2:$D$2944,$C47,统计辅助_勿改!$E$2:$E$2944)</f>
        <v>18</v>
      </c>
      <c r="F47" s="12">
        <f>COUNTIF(检查点拆解!$F$2:$F$2944,$C47)</f>
        <v>18</v>
      </c>
      <c r="G47" s="13">
        <f>F47/覆盖概览!$B$5</f>
        <v>0.00611620795107034</v>
      </c>
      <c r="H47" s="14" t="str">
        <f t="shared" si="0"/>
        <v>已覆盖</v>
      </c>
    </row>
    <row r="48" spans="1:8">
      <c r="A48" s="9" t="s">
        <v>943</v>
      </c>
      <c r="B48" s="10" t="s">
        <v>944</v>
      </c>
      <c r="C48" s="11" t="s">
        <v>1590</v>
      </c>
      <c r="D48" s="10" t="s">
        <v>1591</v>
      </c>
      <c r="E48" s="12">
        <f>SUMIF(统计辅助_勿改!$D$2:$D$2944,$C48,统计辅助_勿改!$E$2:$E$2944)</f>
        <v>18</v>
      </c>
      <c r="F48" s="12">
        <f>COUNTIF(检查点拆解!$F$2:$F$2944,$C48)</f>
        <v>18</v>
      </c>
      <c r="G48" s="13">
        <f>F48/覆盖概览!$B$5</f>
        <v>0.00611620795107034</v>
      </c>
      <c r="H48" s="14" t="str">
        <f t="shared" si="0"/>
        <v>已覆盖</v>
      </c>
    </row>
    <row r="49" spans="1:8">
      <c r="A49" s="9" t="s">
        <v>943</v>
      </c>
      <c r="B49" s="10" t="s">
        <v>944</v>
      </c>
      <c r="C49" s="11" t="s">
        <v>945</v>
      </c>
      <c r="D49" s="10" t="s">
        <v>946</v>
      </c>
      <c r="E49" s="12">
        <f>SUMIF(统计辅助_勿改!$D$2:$D$2944,$C49,统计辅助_勿改!$E$2:$E$2944)</f>
        <v>27</v>
      </c>
      <c r="F49" s="12">
        <f>COUNTIF(检查点拆解!$F$2:$F$2944,$C49)</f>
        <v>27</v>
      </c>
      <c r="G49" s="13">
        <f>F49/覆盖概览!$B$5</f>
        <v>0.00917431192660551</v>
      </c>
      <c r="H49" s="14" t="str">
        <f t="shared" si="0"/>
        <v>已覆盖</v>
      </c>
    </row>
    <row r="50" spans="1:8">
      <c r="A50" s="9" t="s">
        <v>943</v>
      </c>
      <c r="B50" s="10" t="s">
        <v>944</v>
      </c>
      <c r="C50" s="11" t="s">
        <v>1154</v>
      </c>
      <c r="D50" s="10" t="s">
        <v>1155</v>
      </c>
      <c r="E50" s="12">
        <f>SUMIF(统计辅助_勿改!$D$2:$D$2944,$C50,统计辅助_勿改!$E$2:$E$2944)</f>
        <v>12</v>
      </c>
      <c r="F50" s="12">
        <f>COUNTIF(检查点拆解!$F$2:$F$2944,$C50)</f>
        <v>12</v>
      </c>
      <c r="G50" s="13">
        <f>F50/覆盖概览!$B$5</f>
        <v>0.00407747196738022</v>
      </c>
      <c r="H50" s="14" t="str">
        <f t="shared" si="0"/>
        <v>已覆盖</v>
      </c>
    </row>
    <row r="51" spans="1:8">
      <c r="A51" s="9" t="s">
        <v>943</v>
      </c>
      <c r="B51" s="10" t="s">
        <v>944</v>
      </c>
      <c r="C51" s="11" t="s">
        <v>1682</v>
      </c>
      <c r="D51" s="10" t="s">
        <v>1683</v>
      </c>
      <c r="E51" s="12">
        <f>SUMIF(统计辅助_勿改!$D$2:$D$2944,$C51,统计辅助_勿改!$E$2:$E$2944)</f>
        <v>9</v>
      </c>
      <c r="F51" s="12">
        <f>COUNTIF(检查点拆解!$F$2:$F$2944,$C51)</f>
        <v>9</v>
      </c>
      <c r="G51" s="13">
        <f>F51/覆盖概览!$B$5</f>
        <v>0.00305810397553517</v>
      </c>
      <c r="H51" s="14" t="str">
        <f t="shared" si="0"/>
        <v>已覆盖</v>
      </c>
    </row>
    <row r="52" spans="1:8">
      <c r="A52" s="9" t="s">
        <v>1184</v>
      </c>
      <c r="B52" s="10" t="s">
        <v>1185</v>
      </c>
      <c r="C52" s="11" t="s">
        <v>1186</v>
      </c>
      <c r="D52" s="10" t="s">
        <v>1187</v>
      </c>
      <c r="E52" s="12">
        <f>SUMIF(统计辅助_勿改!$D$2:$D$2944,$C52,统计辅助_勿改!$E$2:$E$2944)</f>
        <v>3</v>
      </c>
      <c r="F52" s="12">
        <f>COUNTIF(检查点拆解!$F$2:$F$2944,$C52)</f>
        <v>3</v>
      </c>
      <c r="G52" s="13">
        <f>F52/覆盖概览!$B$5</f>
        <v>0.00101936799184506</v>
      </c>
      <c r="H52" s="14" t="str">
        <f t="shared" si="0"/>
        <v>已覆盖</v>
      </c>
    </row>
    <row r="53" spans="1:8">
      <c r="A53" s="9" t="s">
        <v>1184</v>
      </c>
      <c r="B53" s="10" t="s">
        <v>1185</v>
      </c>
      <c r="C53" s="11" t="s">
        <v>1602</v>
      </c>
      <c r="D53" s="10" t="s">
        <v>1603</v>
      </c>
      <c r="E53" s="12">
        <f>SUMIF(统计辅助_勿改!$D$2:$D$2944,$C53,统计辅助_勿改!$E$2:$E$2944)</f>
        <v>8</v>
      </c>
      <c r="F53" s="12">
        <f>COUNTIF(检查点拆解!$F$2:$F$2944,$C53)</f>
        <v>8</v>
      </c>
      <c r="G53" s="13">
        <f>F53/覆盖概览!$B$5</f>
        <v>0.00271831464492015</v>
      </c>
      <c r="H53" s="14" t="str">
        <f t="shared" si="0"/>
        <v>已覆盖</v>
      </c>
    </row>
    <row r="54" spans="1:8">
      <c r="A54" s="9" t="s">
        <v>1184</v>
      </c>
      <c r="B54" s="10" t="s">
        <v>1185</v>
      </c>
      <c r="C54" s="11" t="s">
        <v>1935</v>
      </c>
      <c r="D54" s="10" t="s">
        <v>1936</v>
      </c>
      <c r="E54" s="12">
        <f>SUMIF(统计辅助_勿改!$D$2:$D$2944,$C54,统计辅助_勿改!$E$2:$E$2944)</f>
        <v>9</v>
      </c>
      <c r="F54" s="12">
        <f>COUNTIF(检查点拆解!$F$2:$F$2944,$C54)</f>
        <v>9</v>
      </c>
      <c r="G54" s="13">
        <f>F54/覆盖概览!$B$5</f>
        <v>0.00305810397553517</v>
      </c>
      <c r="H54" s="14" t="str">
        <f t="shared" si="0"/>
        <v>已覆盖</v>
      </c>
    </row>
    <row r="55" spans="1:8">
      <c r="A55" s="9" t="s">
        <v>986</v>
      </c>
      <c r="B55" s="10" t="s">
        <v>987</v>
      </c>
      <c r="C55" s="11" t="s">
        <v>988</v>
      </c>
      <c r="D55" s="10" t="s">
        <v>987</v>
      </c>
      <c r="E55" s="12">
        <f>SUMIF(统计辅助_勿改!$D$2:$D$2944,$C55,统计辅助_勿改!$E$2:$E$2944)</f>
        <v>21</v>
      </c>
      <c r="F55" s="12">
        <f>COUNTIF(检查点拆解!$F$2:$F$2944,$C55)</f>
        <v>21</v>
      </c>
      <c r="G55" s="13">
        <f>F55/覆盖概览!$B$5</f>
        <v>0.00713557594291539</v>
      </c>
      <c r="H55" s="14" t="str">
        <f t="shared" si="0"/>
        <v>已覆盖</v>
      </c>
    </row>
    <row r="56" spans="1:8">
      <c r="A56" s="9" t="s">
        <v>1045</v>
      </c>
      <c r="B56" s="10" t="s">
        <v>1046</v>
      </c>
      <c r="C56" s="11" t="s">
        <v>1047</v>
      </c>
      <c r="D56" s="10" t="s">
        <v>1048</v>
      </c>
      <c r="E56" s="12">
        <f>SUMIF(统计辅助_勿改!$D$2:$D$2944,$C56,统计辅助_勿改!$E$2:$E$2944)</f>
        <v>15</v>
      </c>
      <c r="F56" s="12">
        <f>COUNTIF(检查点拆解!$F$2:$F$2944,$C56)</f>
        <v>15</v>
      </c>
      <c r="G56" s="13">
        <f>F56/覆盖概览!$B$5</f>
        <v>0.00509683995922528</v>
      </c>
      <c r="H56" s="14" t="str">
        <f t="shared" si="0"/>
        <v>已覆盖</v>
      </c>
    </row>
    <row r="57" spans="1:8">
      <c r="A57" s="9" t="s">
        <v>993</v>
      </c>
      <c r="B57" s="10" t="s">
        <v>994</v>
      </c>
      <c r="C57" s="11" t="s">
        <v>995</v>
      </c>
      <c r="D57" s="10" t="s">
        <v>996</v>
      </c>
      <c r="E57" s="12">
        <f>SUMIF(统计辅助_勿改!$D$2:$D$2944,$C57,统计辅助_勿改!$E$2:$E$2944)</f>
        <v>21</v>
      </c>
      <c r="F57" s="12">
        <f>COUNTIF(检查点拆解!$F$2:$F$2944,$C57)</f>
        <v>21</v>
      </c>
      <c r="G57" s="13">
        <f>F57/覆盖概览!$B$5</f>
        <v>0.00713557594291539</v>
      </c>
      <c r="H57" s="14" t="str">
        <f t="shared" si="0"/>
        <v>已覆盖</v>
      </c>
    </row>
    <row r="58" spans="1:8">
      <c r="A58" s="9" t="s">
        <v>1719</v>
      </c>
      <c r="B58" s="10" t="s">
        <v>1720</v>
      </c>
      <c r="C58" s="11" t="s">
        <v>4445</v>
      </c>
      <c r="D58" s="10" t="s">
        <v>4446</v>
      </c>
      <c r="E58" s="12">
        <f>SUMIF(统计辅助_勿改!$D$2:$D$2944,$C58,统计辅助_勿改!$E$2:$E$2944)</f>
        <v>0</v>
      </c>
      <c r="F58" s="12">
        <f>COUNTIF(检查点拆解!$F$2:$F$2944,$C58)</f>
        <v>0</v>
      </c>
      <c r="G58" s="13">
        <f>F58/覆盖概览!$B$5</f>
        <v>0</v>
      </c>
      <c r="H58" s="14" t="str">
        <f t="shared" si="0"/>
        <v>未覆盖</v>
      </c>
    </row>
    <row r="59" spans="1:8">
      <c r="A59" s="9" t="s">
        <v>1719</v>
      </c>
      <c r="B59" s="10" t="s">
        <v>1720</v>
      </c>
      <c r="C59" s="11" t="s">
        <v>4448</v>
      </c>
      <c r="D59" s="10" t="s">
        <v>4449</v>
      </c>
      <c r="E59" s="12">
        <f>SUMIF(统计辅助_勿改!$D$2:$D$2944,$C59,统计辅助_勿改!$E$2:$E$2944)</f>
        <v>0</v>
      </c>
      <c r="F59" s="12">
        <f>COUNTIF(检查点拆解!$F$2:$F$2944,$C59)</f>
        <v>0</v>
      </c>
      <c r="G59" s="13">
        <f>F59/覆盖概览!$B$5</f>
        <v>0</v>
      </c>
      <c r="H59" s="14" t="str">
        <f t="shared" si="0"/>
        <v>未覆盖</v>
      </c>
    </row>
    <row r="60" spans="1:8">
      <c r="A60" s="9" t="s">
        <v>1719</v>
      </c>
      <c r="B60" s="10" t="s">
        <v>1720</v>
      </c>
      <c r="C60" s="11" t="s">
        <v>4451</v>
      </c>
      <c r="D60" s="10" t="s">
        <v>4452</v>
      </c>
      <c r="E60" s="12">
        <f>SUMIF(统计辅助_勿改!$D$2:$D$2944,$C60,统计辅助_勿改!$E$2:$E$2944)</f>
        <v>0</v>
      </c>
      <c r="F60" s="12">
        <f>COUNTIF(检查点拆解!$F$2:$F$2944,$C60)</f>
        <v>0</v>
      </c>
      <c r="G60" s="13">
        <f>F60/覆盖概览!$B$5</f>
        <v>0</v>
      </c>
      <c r="H60" s="14" t="str">
        <f t="shared" si="0"/>
        <v>未覆盖</v>
      </c>
    </row>
    <row r="61" spans="1:8">
      <c r="A61" s="9" t="s">
        <v>4456</v>
      </c>
      <c r="B61" s="10" t="s">
        <v>4457</v>
      </c>
      <c r="C61" s="11" t="s">
        <v>4454</v>
      </c>
      <c r="D61" s="10" t="s">
        <v>4455</v>
      </c>
      <c r="E61" s="12">
        <f>SUMIF(统计辅助_勿改!$D$2:$D$2944,$C61,统计辅助_勿改!$E$2:$E$2944)</f>
        <v>0</v>
      </c>
      <c r="F61" s="12">
        <f>COUNTIF(检查点拆解!$F$2:$F$2944,$C61)</f>
        <v>0</v>
      </c>
      <c r="G61" s="13">
        <f>F61/覆盖概览!$B$5</f>
        <v>0</v>
      </c>
      <c r="H61" s="14" t="str">
        <f t="shared" si="0"/>
        <v>未覆盖</v>
      </c>
    </row>
    <row r="62" spans="1:8">
      <c r="A62" s="9" t="s">
        <v>4456</v>
      </c>
      <c r="B62" s="10" t="s">
        <v>4457</v>
      </c>
      <c r="C62" s="11" t="s">
        <v>4459</v>
      </c>
      <c r="D62" s="10" t="s">
        <v>4460</v>
      </c>
      <c r="E62" s="12">
        <f>SUMIF(统计辅助_勿改!$D$2:$D$2944,$C62,统计辅助_勿改!$E$2:$E$2944)</f>
        <v>0</v>
      </c>
      <c r="F62" s="12">
        <f>COUNTIF(检查点拆解!$F$2:$F$2944,$C62)</f>
        <v>0</v>
      </c>
      <c r="G62" s="13">
        <f>F62/覆盖概览!$B$5</f>
        <v>0</v>
      </c>
      <c r="H62" s="14" t="str">
        <f t="shared" si="0"/>
        <v>未覆盖</v>
      </c>
    </row>
    <row r="63" spans="1:8">
      <c r="A63" s="9" t="s">
        <v>1001</v>
      </c>
      <c r="B63" s="10" t="s">
        <v>1002</v>
      </c>
      <c r="C63" s="11" t="s">
        <v>1253</v>
      </c>
      <c r="D63" s="10" t="s">
        <v>1254</v>
      </c>
      <c r="E63" s="12">
        <f>SUMIF(统计辅助_勿改!$D$2:$D$2944,$C63,统计辅助_勿改!$E$2:$E$2944)</f>
        <v>43</v>
      </c>
      <c r="F63" s="12">
        <f>COUNTIF(检查点拆解!$F$2:$F$2944,$C63)</f>
        <v>43</v>
      </c>
      <c r="G63" s="13">
        <f>F63/覆盖概览!$B$5</f>
        <v>0.0146109412164458</v>
      </c>
      <c r="H63" s="14" t="str">
        <f t="shared" si="0"/>
        <v>已覆盖</v>
      </c>
    </row>
    <row r="64" spans="1:8">
      <c r="A64" s="9" t="s">
        <v>1001</v>
      </c>
      <c r="B64" s="10" t="s">
        <v>1002</v>
      </c>
      <c r="C64" s="11" t="s">
        <v>1003</v>
      </c>
      <c r="D64" s="10" t="s">
        <v>1004</v>
      </c>
      <c r="E64" s="12">
        <f>SUMIF(统计辅助_勿改!$D$2:$D$2944,$C64,统计辅助_勿改!$E$2:$E$2944)</f>
        <v>22</v>
      </c>
      <c r="F64" s="12">
        <f>COUNTIF(检查点拆解!$F$2:$F$2944,$C64)</f>
        <v>22</v>
      </c>
      <c r="G64" s="13">
        <f>F64/覆盖概览!$B$5</f>
        <v>0.00747536527353041</v>
      </c>
      <c r="H64" s="14" t="str">
        <f t="shared" si="0"/>
        <v>已覆盖</v>
      </c>
    </row>
    <row r="65" spans="1:8">
      <c r="A65" s="9" t="s">
        <v>1001</v>
      </c>
      <c r="B65" s="10" t="s">
        <v>1002</v>
      </c>
      <c r="C65" s="11" t="s">
        <v>1481</v>
      </c>
      <c r="D65" s="10" t="s">
        <v>1482</v>
      </c>
      <c r="E65" s="12">
        <f>SUMIF(统计辅助_勿改!$D$2:$D$2944,$C65,统计辅助_勿改!$E$2:$E$2944)</f>
        <v>43</v>
      </c>
      <c r="F65" s="12">
        <f>COUNTIF(检查点拆解!$F$2:$F$2944,$C65)</f>
        <v>43</v>
      </c>
      <c r="G65" s="13">
        <f>F65/覆盖概览!$B$5</f>
        <v>0.0146109412164458</v>
      </c>
      <c r="H65" s="14" t="str">
        <f t="shared" si="0"/>
        <v>已覆盖</v>
      </c>
    </row>
    <row r="66" spans="1:8">
      <c r="A66" s="9" t="s">
        <v>1009</v>
      </c>
      <c r="B66" s="10" t="s">
        <v>1010</v>
      </c>
      <c r="C66" s="11" t="s">
        <v>1298</v>
      </c>
      <c r="D66" s="10" t="s">
        <v>1299</v>
      </c>
      <c r="E66" s="12">
        <f>SUMIF(统计辅助_勿改!$D$2:$D$2944,$C66,统计辅助_勿改!$E$2:$E$2944)</f>
        <v>15</v>
      </c>
      <c r="F66" s="12">
        <f>COUNTIF(检查点拆解!$F$2:$F$2944,$C66)</f>
        <v>15</v>
      </c>
      <c r="G66" s="13">
        <f>F66/覆盖概览!$B$5</f>
        <v>0.00509683995922528</v>
      </c>
      <c r="H66" s="14" t="str">
        <f t="shared" ref="H66:H101" si="1">IF(F66=0,"未覆盖","已覆盖")</f>
        <v>已覆盖</v>
      </c>
    </row>
    <row r="67" spans="1:8">
      <c r="A67" s="9" t="s">
        <v>1009</v>
      </c>
      <c r="B67" s="10" t="s">
        <v>1010</v>
      </c>
      <c r="C67" s="11" t="s">
        <v>1011</v>
      </c>
      <c r="D67" s="10" t="s">
        <v>1012</v>
      </c>
      <c r="E67" s="12">
        <f>SUMIF(统计辅助_勿改!$D$2:$D$2944,$C67,统计辅助_勿改!$E$2:$E$2944)</f>
        <v>65</v>
      </c>
      <c r="F67" s="12">
        <f>COUNTIF(检查点拆解!$F$2:$F$2944,$C67)</f>
        <v>65</v>
      </c>
      <c r="G67" s="13">
        <f>F67/覆盖概览!$B$5</f>
        <v>0.0220863064899762</v>
      </c>
      <c r="H67" s="14" t="str">
        <f t="shared" si="1"/>
        <v>已覆盖</v>
      </c>
    </row>
    <row r="68" spans="1:8">
      <c r="A68" s="9" t="s">
        <v>1009</v>
      </c>
      <c r="B68" s="10" t="s">
        <v>1010</v>
      </c>
      <c r="C68" s="11" t="s">
        <v>1053</v>
      </c>
      <c r="D68" s="10" t="s">
        <v>1054</v>
      </c>
      <c r="E68" s="12">
        <f>SUMIF(统计辅助_勿改!$D$2:$D$2944,$C68,统计辅助_勿改!$E$2:$E$2944)</f>
        <v>74</v>
      </c>
      <c r="F68" s="12">
        <f>COUNTIF(检查点拆解!$F$2:$F$2944,$C68)</f>
        <v>74</v>
      </c>
      <c r="G68" s="13">
        <f>F68/覆盖概览!$B$5</f>
        <v>0.0251444104655114</v>
      </c>
      <c r="H68" s="14" t="str">
        <f t="shared" si="1"/>
        <v>已覆盖</v>
      </c>
    </row>
    <row r="69" spans="1:8">
      <c r="A69" s="9" t="s">
        <v>1009</v>
      </c>
      <c r="B69" s="10" t="s">
        <v>1010</v>
      </c>
      <c r="C69" s="11" t="s">
        <v>1976</v>
      </c>
      <c r="D69" s="10" t="s">
        <v>1977</v>
      </c>
      <c r="E69" s="12">
        <f>SUMIF(统计辅助_勿改!$D$2:$D$2944,$C69,统计辅助_勿改!$E$2:$E$2944)</f>
        <v>14</v>
      </c>
      <c r="F69" s="12">
        <f>COUNTIF(检查点拆解!$F$2:$F$2944,$C69)</f>
        <v>14</v>
      </c>
      <c r="G69" s="13">
        <f>F69/覆盖概览!$B$5</f>
        <v>0.00475705062861026</v>
      </c>
      <c r="H69" s="14" t="str">
        <f t="shared" si="1"/>
        <v>已覆盖</v>
      </c>
    </row>
    <row r="70" spans="1:8">
      <c r="A70" s="9" t="s">
        <v>1009</v>
      </c>
      <c r="B70" s="10" t="s">
        <v>1010</v>
      </c>
      <c r="C70" s="11" t="s">
        <v>1338</v>
      </c>
      <c r="D70" s="10" t="s">
        <v>1339</v>
      </c>
      <c r="E70" s="12">
        <f>SUMIF(统计辅助_勿改!$D$2:$D$2944,$C70,统计辅助_勿改!$E$2:$E$2944)</f>
        <v>17</v>
      </c>
      <c r="F70" s="12">
        <f>COUNTIF(检查点拆解!$F$2:$F$2944,$C70)</f>
        <v>17</v>
      </c>
      <c r="G70" s="13">
        <f>F70/覆盖概览!$B$5</f>
        <v>0.00577641862045532</v>
      </c>
      <c r="H70" s="14" t="str">
        <f t="shared" si="1"/>
        <v>已覆盖</v>
      </c>
    </row>
    <row r="71" spans="1:8">
      <c r="A71" s="9" t="s">
        <v>1009</v>
      </c>
      <c r="B71" s="10" t="s">
        <v>1010</v>
      </c>
      <c r="C71" s="11" t="s">
        <v>1106</v>
      </c>
      <c r="D71" s="10" t="s">
        <v>1107</v>
      </c>
      <c r="E71" s="12">
        <f>SUMIF(统计辅助_勿改!$D$2:$D$2944,$C71,统计辅助_勿改!$E$2:$E$2944)</f>
        <v>84</v>
      </c>
      <c r="F71" s="12">
        <f>COUNTIF(检查点拆解!$F$2:$F$2944,$C71)</f>
        <v>84</v>
      </c>
      <c r="G71" s="13">
        <f>F71/覆盖概览!$B$5</f>
        <v>0.0285423037716616</v>
      </c>
      <c r="H71" s="14" t="str">
        <f t="shared" si="1"/>
        <v>已覆盖</v>
      </c>
    </row>
    <row r="72" spans="1:8">
      <c r="A72" s="9" t="s">
        <v>1098</v>
      </c>
      <c r="B72" s="10" t="s">
        <v>1099</v>
      </c>
      <c r="C72" s="11" t="s">
        <v>1100</v>
      </c>
      <c r="D72" s="10" t="s">
        <v>1101</v>
      </c>
      <c r="E72" s="12">
        <f>SUMIF(统计辅助_勿改!$D$2:$D$2944,$C72,统计辅助_勿改!$E$2:$E$2944)</f>
        <v>179</v>
      </c>
      <c r="F72" s="12">
        <f>COUNTIF(检查点拆解!$F$2:$F$2944,$C72)</f>
        <v>179</v>
      </c>
      <c r="G72" s="13">
        <f>F72/覆盖概览!$B$5</f>
        <v>0.0608222901800883</v>
      </c>
      <c r="H72" s="14" t="str">
        <f t="shared" si="1"/>
        <v>已覆盖</v>
      </c>
    </row>
    <row r="73" spans="1:8">
      <c r="A73" s="9" t="s">
        <v>1098</v>
      </c>
      <c r="B73" s="10" t="s">
        <v>1099</v>
      </c>
      <c r="C73" s="11" t="s">
        <v>1611</v>
      </c>
      <c r="D73" s="10" t="s">
        <v>1612</v>
      </c>
      <c r="E73" s="12">
        <f>SUMIF(统计辅助_勿改!$D$2:$D$2944,$C73,统计辅助_勿改!$E$2:$E$2944)</f>
        <v>11</v>
      </c>
      <c r="F73" s="12">
        <f>COUNTIF(检查点拆解!$F$2:$F$2944,$C73)</f>
        <v>11</v>
      </c>
      <c r="G73" s="13">
        <f>F73/覆盖概览!$B$5</f>
        <v>0.00373768263676521</v>
      </c>
      <c r="H73" s="14" t="str">
        <f t="shared" si="1"/>
        <v>已覆盖</v>
      </c>
    </row>
    <row r="74" spans="1:8">
      <c r="A74" s="9" t="s">
        <v>1098</v>
      </c>
      <c r="B74" s="10" t="s">
        <v>1099</v>
      </c>
      <c r="C74" s="11" t="s">
        <v>1573</v>
      </c>
      <c r="D74" s="10" t="s">
        <v>1574</v>
      </c>
      <c r="E74" s="12">
        <f>SUMIF(统计辅助_勿改!$D$2:$D$2944,$C74,统计辅助_勿改!$E$2:$E$2944)</f>
        <v>13</v>
      </c>
      <c r="F74" s="12">
        <f>COUNTIF(检查点拆解!$F$2:$F$2944,$C74)</f>
        <v>13</v>
      </c>
      <c r="G74" s="13">
        <f>F74/覆盖概览!$B$5</f>
        <v>0.00441726129799524</v>
      </c>
      <c r="H74" s="14" t="str">
        <f t="shared" si="1"/>
        <v>已覆盖</v>
      </c>
    </row>
    <row r="75" spans="1:8">
      <c r="A75" s="9" t="s">
        <v>1098</v>
      </c>
      <c r="B75" s="10" t="s">
        <v>1099</v>
      </c>
      <c r="C75" s="11" t="s">
        <v>1376</v>
      </c>
      <c r="D75" s="10" t="s">
        <v>1377</v>
      </c>
      <c r="E75" s="12">
        <f>SUMIF(统计辅助_勿改!$D$2:$D$2944,$C75,统计辅助_勿改!$E$2:$E$2944)</f>
        <v>30</v>
      </c>
      <c r="F75" s="12">
        <f>COUNTIF(检查点拆解!$F$2:$F$2944,$C75)</f>
        <v>30</v>
      </c>
      <c r="G75" s="13">
        <f>F75/覆盖概览!$B$5</f>
        <v>0.0101936799184506</v>
      </c>
      <c r="H75" s="14" t="str">
        <f t="shared" si="1"/>
        <v>已覆盖</v>
      </c>
    </row>
    <row r="76" spans="1:8">
      <c r="A76" s="9" t="s">
        <v>1138</v>
      </c>
      <c r="B76" s="10" t="s">
        <v>1139</v>
      </c>
      <c r="C76" s="11" t="s">
        <v>1140</v>
      </c>
      <c r="D76" s="10" t="s">
        <v>1141</v>
      </c>
      <c r="E76" s="12">
        <f>SUMIF(统计辅助_勿改!$D$2:$D$2944,$C76,统计辅助_勿改!$E$2:$E$2944)</f>
        <v>113</v>
      </c>
      <c r="F76" s="12">
        <f>COUNTIF(检查点拆解!$F$2:$F$2944,$C76)</f>
        <v>113</v>
      </c>
      <c r="G76" s="13">
        <f>F76/覆盖概览!$B$5</f>
        <v>0.0383961943594971</v>
      </c>
      <c r="H76" s="14" t="str">
        <f t="shared" si="1"/>
        <v>已覆盖</v>
      </c>
    </row>
    <row r="77" spans="1:8">
      <c r="A77" s="9" t="s">
        <v>1138</v>
      </c>
      <c r="B77" s="10" t="s">
        <v>1139</v>
      </c>
      <c r="C77" s="11" t="s">
        <v>1546</v>
      </c>
      <c r="D77" s="10" t="s">
        <v>1547</v>
      </c>
      <c r="E77" s="12">
        <f>SUMIF(统计辅助_勿改!$D$2:$D$2944,$C77,统计辅助_勿改!$E$2:$E$2944)</f>
        <v>15</v>
      </c>
      <c r="F77" s="12">
        <f>COUNTIF(检查点拆解!$F$2:$F$2944,$C77)</f>
        <v>15</v>
      </c>
      <c r="G77" s="13">
        <f>F77/覆盖概览!$B$5</f>
        <v>0.00509683995922528</v>
      </c>
      <c r="H77" s="14" t="str">
        <f t="shared" si="1"/>
        <v>已覆盖</v>
      </c>
    </row>
    <row r="78" spans="1:8">
      <c r="A78" s="9" t="s">
        <v>957</v>
      </c>
      <c r="B78" s="10" t="s">
        <v>958</v>
      </c>
      <c r="C78" s="11" t="s">
        <v>1269</v>
      </c>
      <c r="D78" s="10" t="s">
        <v>1270</v>
      </c>
      <c r="E78" s="12">
        <f>SUMIF(统计辅助_勿改!$D$2:$D$2944,$C78,统计辅助_勿改!$E$2:$E$2944)</f>
        <v>25</v>
      </c>
      <c r="F78" s="12">
        <f>COUNTIF(检查点拆解!$F$2:$F$2944,$C78)</f>
        <v>25</v>
      </c>
      <c r="G78" s="13">
        <f>F78/覆盖概览!$B$5</f>
        <v>0.00849473326537547</v>
      </c>
      <c r="H78" s="14" t="str">
        <f t="shared" si="1"/>
        <v>已覆盖</v>
      </c>
    </row>
    <row r="79" spans="1:8">
      <c r="A79" s="9" t="s">
        <v>957</v>
      </c>
      <c r="B79" s="10" t="s">
        <v>958</v>
      </c>
      <c r="C79" s="11" t="s">
        <v>959</v>
      </c>
      <c r="D79" s="10" t="s">
        <v>960</v>
      </c>
      <c r="E79" s="12">
        <f>SUMIF(统计辅助_勿改!$D$2:$D$2944,$C79,统计辅助_勿改!$E$2:$E$2944)</f>
        <v>109</v>
      </c>
      <c r="F79" s="12">
        <f>COUNTIF(检查点拆解!$F$2:$F$2944,$C79)</f>
        <v>109</v>
      </c>
      <c r="G79" s="13">
        <f>F79/覆盖概览!$B$5</f>
        <v>0.037037037037037</v>
      </c>
      <c r="H79" s="14" t="str">
        <f t="shared" si="1"/>
        <v>已覆盖</v>
      </c>
    </row>
    <row r="80" spans="1:8">
      <c r="A80" s="9" t="s">
        <v>957</v>
      </c>
      <c r="B80" s="10" t="s">
        <v>958</v>
      </c>
      <c r="C80" s="11" t="s">
        <v>1768</v>
      </c>
      <c r="D80" s="10" t="s">
        <v>1769</v>
      </c>
      <c r="E80" s="12">
        <f>SUMIF(统计辅助_勿改!$D$2:$D$2944,$C80,统计辅助_勿改!$E$2:$E$2944)</f>
        <v>39</v>
      </c>
      <c r="F80" s="12">
        <f>COUNTIF(检查点拆解!$F$2:$F$2944,$C80)</f>
        <v>39</v>
      </c>
      <c r="G80" s="13">
        <f>F80/覆盖概览!$B$5</f>
        <v>0.0132517838939857</v>
      </c>
      <c r="H80" s="14" t="str">
        <f t="shared" si="1"/>
        <v>已覆盖</v>
      </c>
    </row>
    <row r="81" spans="1:8">
      <c r="A81" s="9" t="s">
        <v>957</v>
      </c>
      <c r="B81" s="10" t="s">
        <v>958</v>
      </c>
      <c r="C81" s="11" t="s">
        <v>1023</v>
      </c>
      <c r="D81" s="10" t="s">
        <v>1024</v>
      </c>
      <c r="E81" s="12">
        <f>SUMIF(统计辅助_勿改!$D$2:$D$2944,$C81,统计辅助_勿改!$E$2:$E$2944)</f>
        <v>78</v>
      </c>
      <c r="F81" s="12">
        <f>COUNTIF(检查点拆解!$F$2:$F$2944,$C81)</f>
        <v>78</v>
      </c>
      <c r="G81" s="13">
        <f>F81/覆盖概览!$B$5</f>
        <v>0.0265035677879715</v>
      </c>
      <c r="H81" s="14" t="str">
        <f t="shared" si="1"/>
        <v>已覆盖</v>
      </c>
    </row>
    <row r="82" spans="1:8">
      <c r="A82" s="9" t="s">
        <v>957</v>
      </c>
      <c r="B82" s="10" t="s">
        <v>958</v>
      </c>
      <c r="C82" s="11" t="s">
        <v>1460</v>
      </c>
      <c r="D82" s="10" t="s">
        <v>1461</v>
      </c>
      <c r="E82" s="12">
        <f>SUMIF(统计辅助_勿改!$D$2:$D$2944,$C82,统计辅助_勿改!$E$2:$E$2944)</f>
        <v>27</v>
      </c>
      <c r="F82" s="12">
        <f>COUNTIF(检查点拆解!$F$2:$F$2944,$C82)</f>
        <v>27</v>
      </c>
      <c r="G82" s="13">
        <f>F82/覆盖概览!$B$5</f>
        <v>0.00917431192660551</v>
      </c>
      <c r="H82" s="14" t="str">
        <f t="shared" si="1"/>
        <v>已覆盖</v>
      </c>
    </row>
    <row r="83" spans="1:8">
      <c r="A83" s="9" t="s">
        <v>957</v>
      </c>
      <c r="B83" s="10" t="s">
        <v>958</v>
      </c>
      <c r="C83" s="11" t="s">
        <v>1090</v>
      </c>
      <c r="D83" s="10" t="s">
        <v>1091</v>
      </c>
      <c r="E83" s="12">
        <f>SUMIF(统计辅助_勿改!$D$2:$D$2944,$C83,统计辅助_勿改!$E$2:$E$2944)</f>
        <v>61</v>
      </c>
      <c r="F83" s="12">
        <f>COUNTIF(检查点拆解!$F$2:$F$2944,$C83)</f>
        <v>61</v>
      </c>
      <c r="G83" s="13">
        <f>F83/覆盖概览!$B$5</f>
        <v>0.0207271491675161</v>
      </c>
      <c r="H83" s="14" t="str">
        <f t="shared" si="1"/>
        <v>已覆盖</v>
      </c>
    </row>
    <row r="84" spans="1:8">
      <c r="A84" s="9" t="s">
        <v>957</v>
      </c>
      <c r="B84" s="10" t="s">
        <v>958</v>
      </c>
      <c r="C84" s="11" t="s">
        <v>1470</v>
      </c>
      <c r="D84" s="10" t="s">
        <v>1471</v>
      </c>
      <c r="E84" s="12">
        <f>SUMIF(统计辅助_勿改!$D$2:$D$2944,$C84,统计辅助_勿改!$E$2:$E$2944)</f>
        <v>6</v>
      </c>
      <c r="F84" s="12">
        <f>COUNTIF(检查点拆解!$F$2:$F$2944,$C84)</f>
        <v>6</v>
      </c>
      <c r="G84" s="13">
        <f>F84/覆盖概览!$B$5</f>
        <v>0.00203873598369011</v>
      </c>
      <c r="H84" s="14" t="str">
        <f t="shared" si="1"/>
        <v>已覆盖</v>
      </c>
    </row>
    <row r="85" spans="1:8">
      <c r="A85" s="9" t="s">
        <v>965</v>
      </c>
      <c r="B85" s="10" t="s">
        <v>966</v>
      </c>
      <c r="C85" s="11" t="s">
        <v>972</v>
      </c>
      <c r="D85" s="10" t="s">
        <v>973</v>
      </c>
      <c r="E85" s="12">
        <f>SUMIF(统计辅助_勿改!$D$2:$D$2944,$C85,统计辅助_勿改!$E$2:$E$2944)</f>
        <v>142</v>
      </c>
      <c r="F85" s="12">
        <f>COUNTIF(检查点拆解!$F$2:$F$2944,$C85)</f>
        <v>142</v>
      </c>
      <c r="G85" s="13">
        <f>F85/覆盖概览!$B$5</f>
        <v>0.0482500849473327</v>
      </c>
      <c r="H85" s="14" t="str">
        <f t="shared" si="1"/>
        <v>已覆盖</v>
      </c>
    </row>
    <row r="86" spans="1:8">
      <c r="A86" s="9" t="s">
        <v>965</v>
      </c>
      <c r="B86" s="10" t="s">
        <v>966</v>
      </c>
      <c r="C86" s="11" t="s">
        <v>1292</v>
      </c>
      <c r="D86" s="10" t="s">
        <v>1293</v>
      </c>
      <c r="E86" s="12">
        <f>SUMIF(统计辅助_勿改!$D$2:$D$2944,$C86,统计辅助_勿改!$E$2:$E$2944)</f>
        <v>82</v>
      </c>
      <c r="F86" s="12">
        <f>COUNTIF(检查点拆解!$F$2:$F$2944,$C86)</f>
        <v>82</v>
      </c>
      <c r="G86" s="13">
        <f>F86/覆盖概览!$B$5</f>
        <v>0.0278627251104315</v>
      </c>
      <c r="H86" s="14" t="str">
        <f t="shared" si="1"/>
        <v>已覆盖</v>
      </c>
    </row>
    <row r="87" spans="1:8">
      <c r="A87" s="9" t="s">
        <v>965</v>
      </c>
      <c r="B87" s="10" t="s">
        <v>966</v>
      </c>
      <c r="C87" s="11" t="s">
        <v>1751</v>
      </c>
      <c r="D87" s="10" t="s">
        <v>1752</v>
      </c>
      <c r="E87" s="12">
        <f>SUMIF(统计辅助_勿改!$D$2:$D$2944,$C87,统计辅助_勿改!$E$2:$E$2944)</f>
        <v>8</v>
      </c>
      <c r="F87" s="12">
        <f>COUNTIF(检查点拆解!$F$2:$F$2944,$C87)</f>
        <v>8</v>
      </c>
      <c r="G87" s="13">
        <f>F87/覆盖概览!$B$5</f>
        <v>0.00271831464492015</v>
      </c>
      <c r="H87" s="14" t="str">
        <f t="shared" si="1"/>
        <v>已覆盖</v>
      </c>
    </row>
    <row r="88" spans="1:8">
      <c r="A88" s="9" t="s">
        <v>965</v>
      </c>
      <c r="B88" s="10" t="s">
        <v>966</v>
      </c>
      <c r="C88" s="11" t="s">
        <v>1112</v>
      </c>
      <c r="D88" s="10" t="s">
        <v>1113</v>
      </c>
      <c r="E88" s="12">
        <f>SUMIF(统计辅助_勿改!$D$2:$D$2944,$C88,统计辅助_勿改!$E$2:$E$2944)</f>
        <v>72</v>
      </c>
      <c r="F88" s="12">
        <f>COUNTIF(检查点拆解!$F$2:$F$2944,$C88)</f>
        <v>72</v>
      </c>
      <c r="G88" s="13">
        <f>F88/覆盖概览!$B$5</f>
        <v>0.0244648318042813</v>
      </c>
      <c r="H88" s="14" t="str">
        <f t="shared" si="1"/>
        <v>已覆盖</v>
      </c>
    </row>
    <row r="89" spans="1:8">
      <c r="A89" s="9" t="s">
        <v>965</v>
      </c>
      <c r="B89" s="10" t="s">
        <v>966</v>
      </c>
      <c r="C89" s="11" t="s">
        <v>1286</v>
      </c>
      <c r="D89" s="10" t="s">
        <v>1287</v>
      </c>
      <c r="E89" s="12">
        <f>SUMIF(统计辅助_勿改!$D$2:$D$2944,$C89,统计辅助_勿改!$E$2:$E$2944)</f>
        <v>37</v>
      </c>
      <c r="F89" s="12">
        <f>COUNTIF(检查点拆解!$F$2:$F$2944,$C89)</f>
        <v>37</v>
      </c>
      <c r="G89" s="13">
        <f>F89/覆盖概览!$B$5</f>
        <v>0.0125722052327557</v>
      </c>
      <c r="H89" s="14" t="str">
        <f t="shared" si="1"/>
        <v>已覆盖</v>
      </c>
    </row>
    <row r="90" spans="1:8">
      <c r="A90" s="9" t="s">
        <v>965</v>
      </c>
      <c r="B90" s="10" t="s">
        <v>966</v>
      </c>
      <c r="C90" s="11" t="s">
        <v>1212</v>
      </c>
      <c r="D90" s="10" t="s">
        <v>1213</v>
      </c>
      <c r="E90" s="12">
        <f>SUMIF(统计辅助_勿改!$D$2:$D$2944,$C90,统计辅助_勿改!$E$2:$E$2944)</f>
        <v>43</v>
      </c>
      <c r="F90" s="12">
        <f>COUNTIF(检查点拆解!$F$2:$F$2944,$C90)</f>
        <v>43</v>
      </c>
      <c r="G90" s="13">
        <f>F90/覆盖概览!$B$5</f>
        <v>0.0146109412164458</v>
      </c>
      <c r="H90" s="14" t="str">
        <f t="shared" si="1"/>
        <v>已覆盖</v>
      </c>
    </row>
    <row r="91" spans="1:8">
      <c r="A91" s="9" t="s">
        <v>965</v>
      </c>
      <c r="B91" s="10" t="s">
        <v>966</v>
      </c>
      <c r="C91" s="11" t="s">
        <v>1968</v>
      </c>
      <c r="D91" s="10" t="s">
        <v>1969</v>
      </c>
      <c r="E91" s="12">
        <f>SUMIF(统计辅助_勿改!$D$2:$D$2944,$C91,统计辅助_勿改!$E$2:$E$2944)</f>
        <v>16</v>
      </c>
      <c r="F91" s="12">
        <f>COUNTIF(检查点拆解!$F$2:$F$2944,$C91)</f>
        <v>16</v>
      </c>
      <c r="G91" s="13">
        <f>F91/覆盖概览!$B$5</f>
        <v>0.0054366292898403</v>
      </c>
      <c r="H91" s="14" t="str">
        <f t="shared" si="1"/>
        <v>已覆盖</v>
      </c>
    </row>
    <row r="92" spans="1:8">
      <c r="A92" s="9" t="s">
        <v>965</v>
      </c>
      <c r="B92" s="10" t="s">
        <v>966</v>
      </c>
      <c r="C92" s="11" t="s">
        <v>967</v>
      </c>
      <c r="D92" s="10" t="s">
        <v>968</v>
      </c>
      <c r="E92" s="12">
        <f>SUMIF(统计辅助_勿改!$D$2:$D$2944,$C92,统计辅助_勿改!$E$2:$E$2944)</f>
        <v>10</v>
      </c>
      <c r="F92" s="12">
        <f>COUNTIF(检查点拆解!$F$2:$F$2944,$C92)</f>
        <v>10</v>
      </c>
      <c r="G92" s="13">
        <f>F92/覆盖概览!$B$5</f>
        <v>0.00339789330615019</v>
      </c>
      <c r="H92" s="14" t="str">
        <f t="shared" si="1"/>
        <v>已覆盖</v>
      </c>
    </row>
    <row r="93" spans="1:8">
      <c r="A93" s="9" t="s">
        <v>965</v>
      </c>
      <c r="B93" s="10" t="s">
        <v>966</v>
      </c>
      <c r="C93" s="11" t="s">
        <v>1227</v>
      </c>
      <c r="D93" s="10" t="s">
        <v>1228</v>
      </c>
      <c r="E93" s="12">
        <f>SUMIF(统计辅助_勿改!$D$2:$D$2944,$C93,统计辅助_勿改!$E$2:$E$2944)</f>
        <v>16</v>
      </c>
      <c r="F93" s="12">
        <f>COUNTIF(检查点拆解!$F$2:$F$2944,$C93)</f>
        <v>16</v>
      </c>
      <c r="G93" s="13">
        <f>F93/覆盖概览!$B$5</f>
        <v>0.0054366292898403</v>
      </c>
      <c r="H93" s="14" t="str">
        <f t="shared" si="1"/>
        <v>已覆盖</v>
      </c>
    </row>
    <row r="94" spans="1:8">
      <c r="A94" s="9" t="s">
        <v>1073</v>
      </c>
      <c r="B94" s="10" t="s">
        <v>1074</v>
      </c>
      <c r="C94" s="11" t="s">
        <v>1517</v>
      </c>
      <c r="D94" s="10" t="s">
        <v>1518</v>
      </c>
      <c r="E94" s="12">
        <f>SUMIF(统计辅助_勿改!$D$2:$D$2944,$C94,统计辅助_勿改!$E$2:$E$2944)</f>
        <v>18</v>
      </c>
      <c r="F94" s="12">
        <f>COUNTIF(检查点拆解!$F$2:$F$2944,$C94)</f>
        <v>18</v>
      </c>
      <c r="G94" s="13">
        <f>F94/覆盖概览!$B$5</f>
        <v>0.00611620795107034</v>
      </c>
      <c r="H94" s="14" t="str">
        <f t="shared" si="1"/>
        <v>已覆盖</v>
      </c>
    </row>
    <row r="95" spans="1:8">
      <c r="A95" s="9" t="s">
        <v>1073</v>
      </c>
      <c r="B95" s="10" t="s">
        <v>1074</v>
      </c>
      <c r="C95" s="11" t="s">
        <v>2798</v>
      </c>
      <c r="D95" s="10" t="s">
        <v>2799</v>
      </c>
      <c r="E95" s="12">
        <f>SUMIF(统计辅助_勿改!$D$2:$D$2944,$C95,统计辅助_勿改!$E$2:$E$2944)</f>
        <v>10</v>
      </c>
      <c r="F95" s="12">
        <f>COUNTIF(检查点拆解!$F$2:$F$2944,$C95)</f>
        <v>10</v>
      </c>
      <c r="G95" s="13">
        <f>F95/覆盖概览!$B$5</f>
        <v>0.00339789330615019</v>
      </c>
      <c r="H95" s="14" t="str">
        <f t="shared" si="1"/>
        <v>已覆盖</v>
      </c>
    </row>
    <row r="96" spans="1:8">
      <c r="A96" s="9" t="s">
        <v>1073</v>
      </c>
      <c r="B96" s="10" t="s">
        <v>1074</v>
      </c>
      <c r="C96" s="11" t="s">
        <v>1075</v>
      </c>
      <c r="D96" s="10" t="s">
        <v>1076</v>
      </c>
      <c r="E96" s="12">
        <f>SUMIF(统计辅助_勿改!$D$2:$D$2944,$C96,统计辅助_勿改!$E$2:$E$2944)</f>
        <v>37</v>
      </c>
      <c r="F96" s="12">
        <f>COUNTIF(检查点拆解!$F$2:$F$2944,$C96)</f>
        <v>37</v>
      </c>
      <c r="G96" s="13">
        <f>F96/覆盖概览!$B$5</f>
        <v>0.0125722052327557</v>
      </c>
      <c r="H96" s="14" t="str">
        <f t="shared" si="1"/>
        <v>已覆盖</v>
      </c>
    </row>
    <row r="97" spans="1:8">
      <c r="A97" s="9" t="s">
        <v>935</v>
      </c>
      <c r="B97" s="10" t="s">
        <v>936</v>
      </c>
      <c r="C97" s="11" t="s">
        <v>1535</v>
      </c>
      <c r="D97" s="10" t="s">
        <v>1536</v>
      </c>
      <c r="E97" s="12">
        <f>SUMIF(统计辅助_勿改!$D$2:$D$2944,$C97,统计辅助_勿改!$E$2:$E$2944)</f>
        <v>14</v>
      </c>
      <c r="F97" s="12">
        <f>COUNTIF(检查点拆解!$F$2:$F$2944,$C97)</f>
        <v>14</v>
      </c>
      <c r="G97" s="13">
        <f>F97/覆盖概览!$B$5</f>
        <v>0.00475705062861026</v>
      </c>
      <c r="H97" s="14" t="str">
        <f t="shared" si="1"/>
        <v>已覆盖</v>
      </c>
    </row>
    <row r="98" spans="1:8">
      <c r="A98" s="9" t="s">
        <v>935</v>
      </c>
      <c r="B98" s="10" t="s">
        <v>936</v>
      </c>
      <c r="C98" s="11" t="s">
        <v>937</v>
      </c>
      <c r="D98" s="10" t="s">
        <v>938</v>
      </c>
      <c r="E98" s="12">
        <f>SUMIF(统计辅助_勿改!$D$2:$D$2944,$C98,统计辅助_勿改!$E$2:$E$2944)</f>
        <v>105</v>
      </c>
      <c r="F98" s="12">
        <f>COUNTIF(检查点拆解!$F$2:$F$2944,$C98)</f>
        <v>105</v>
      </c>
      <c r="G98" s="13">
        <f>F98/覆盖概览!$B$5</f>
        <v>0.035677879714577</v>
      </c>
      <c r="H98" s="14" t="str">
        <f t="shared" si="1"/>
        <v>已覆盖</v>
      </c>
    </row>
    <row r="99" spans="1:8">
      <c r="A99" s="9" t="s">
        <v>935</v>
      </c>
      <c r="B99" s="10" t="s">
        <v>936</v>
      </c>
      <c r="C99" s="11" t="s">
        <v>951</v>
      </c>
      <c r="D99" s="10" t="s">
        <v>952</v>
      </c>
      <c r="E99" s="12">
        <f>SUMIF(统计辅助_勿改!$D$2:$D$2944,$C99,统计辅助_勿改!$E$2:$E$2944)</f>
        <v>62</v>
      </c>
      <c r="F99" s="12">
        <f>COUNTIF(检查点拆解!$F$2:$F$2944,$C99)</f>
        <v>62</v>
      </c>
      <c r="G99" s="13">
        <f>F99/覆盖概览!$B$5</f>
        <v>0.0210669384981312</v>
      </c>
      <c r="H99" s="14" t="str">
        <f t="shared" si="1"/>
        <v>已覆盖</v>
      </c>
    </row>
    <row r="100" spans="1:8">
      <c r="A100" s="9" t="s">
        <v>935</v>
      </c>
      <c r="B100" s="10" t="s">
        <v>936</v>
      </c>
      <c r="C100" s="11" t="s">
        <v>1067</v>
      </c>
      <c r="D100" s="10" t="s">
        <v>1068</v>
      </c>
      <c r="E100" s="12">
        <f>SUMIF(统计辅助_勿改!$D$2:$D$2944,$C100,统计辅助_勿改!$E$2:$E$2944)</f>
        <v>76</v>
      </c>
      <c r="F100" s="12">
        <f>COUNTIF(检查点拆解!$F$2:$F$2944,$C100)</f>
        <v>76</v>
      </c>
      <c r="G100" s="13">
        <f>F100/覆盖概览!$B$5</f>
        <v>0.0258239891267414</v>
      </c>
      <c r="H100" s="14" t="str">
        <f t="shared" si="1"/>
        <v>已覆盖</v>
      </c>
    </row>
    <row r="101" spans="1:8">
      <c r="A101" s="15" t="s">
        <v>935</v>
      </c>
      <c r="B101" s="16" t="s">
        <v>936</v>
      </c>
      <c r="C101" s="17" t="s">
        <v>1017</v>
      </c>
      <c r="D101" s="16" t="s">
        <v>1018</v>
      </c>
      <c r="E101" s="18">
        <f>SUMIF(统计辅助_勿改!$D$2:$D$2944,$C101,统计辅助_勿改!$E$2:$E$2944)</f>
        <v>26</v>
      </c>
      <c r="F101" s="18">
        <f>COUNTIF(检查点拆解!$F$2:$F$2944,$C101)</f>
        <v>26</v>
      </c>
      <c r="G101" s="19">
        <f>F101/覆盖概览!$B$5</f>
        <v>0.00883452259599049</v>
      </c>
      <c r="H101" s="20" t="str">
        <f t="shared" si="1"/>
        <v>已覆盖</v>
      </c>
    </row>
  </sheetData>
  <sheetProtection formatCells="0" insertHyperlinks="0" autoFilter="0"/>
  <conditionalFormatting sqref="G2:G101">
    <cfRule type="dataBar" priority="2">
      <dataBar>
        <cfvo type="min"/>
        <cfvo type="max"/>
        <color rgb="FF5B9BD5"/>
      </dataBar>
      <extLst>
        <ext uri="{B025F937-C7B1-47D3-B67F-A62EFF666E3E}">
          <x14:id>{26347b98-85bd-436f-bf5d-7be6a8eb356a}</x14:id>
        </ext>
      </extLst>
    </cfRule>
  </conditionalFormatting>
  <conditionalFormatting sqref="H2:H101">
    <cfRule type="containsText" dxfId="3" priority="3" operator="between" text="未覆盖">
      <formula>NOT(ISERROR(SEARCH("未覆盖",H2)))</formula>
    </cfRule>
    <cfRule type="containsText" dxfId="4" priority="4" operator="between" text="已覆盖">
      <formula>NOT(ISERROR(SEARCH("已覆盖",H2)))</formula>
    </cfRule>
  </conditionalFormatting>
  <conditionalFormatting sqref="A2:H101">
    <cfRule type="expression" dxfId="2" priority="1">
      <formula>MOD(ROW(),2)=0</formula>
    </cfRule>
  </conditionalFormatting>
  <pageMargins left="0.7" right="0.7" top="0.75" bottom="0.75" header="0.3" footer="0.3"/>
  <headerFooter/>
  <picture r:id="cco-watermark"/>
  <tableParts count="1">
    <tablePart r:id="rId1"/>
  </tableParts>
  <extLst>
    <ext uri="{78C0D931-6437-407d-A8EE-F0AAD7539E65}">
      <x14:conditionalFormattings>
        <x14:conditionalFormatting xmlns:xm="http://schemas.microsoft.com/office/excel/2006/main">
          <x14:cfRule type="dataBar" id="{26347b98-85bd-436f-bf5d-7be6a8eb356a}">
            <x14:dataBar minLength="10" maxLength="90" negativeBarColorSameAsPositive="1">
              <x14:cfvo type="min"/>
              <x14:cfvo type="max"/>
              <x14:axisColor indexed="65"/>
            </x14:dataBar>
          </x14:cfRule>
          <xm:sqref>G2:G101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44"/>
  <sheetViews>
    <sheetView showGridLines="0" workbookViewId="0">
      <selection activeCell="A1" sqref="A1"/>
    </sheetView>
  </sheetViews>
  <sheetFormatPr defaultColWidth="9" defaultRowHeight="14.25" outlineLevelCol="4"/>
  <cols>
    <col min="1" max="2" customWidth="true" width="14.0" collapsed="false"/>
    <col min="3" max="3" customWidth="true" width="22.0" collapsed="false"/>
    <col min="4" max="4" customWidth="true" width="16.0" collapsed="false"/>
    <col min="5" max="5" customWidth="true" width="22.0" collapsed="false"/>
  </cols>
  <sheetData>
    <row r="1" spans="1:5">
      <c r="A1" s="1" t="s">
        <v>18</v>
      </c>
      <c r="B1" s="1" t="s">
        <v>927</v>
      </c>
      <c r="C1" s="1" t="s">
        <v>4523</v>
      </c>
      <c r="D1" s="1" t="s">
        <v>929</v>
      </c>
      <c r="E1" s="1" t="s">
        <v>4524</v>
      </c>
    </row>
    <row r="2" spans="1:5">
      <c r="A2" t="str">
        <f>检查点拆解!A2</f>
        <v>Q0001</v>
      </c>
      <c r="B2" t="str">
        <f>检查点拆解!D2</f>
        <v>C30</v>
      </c>
      <c r="C2" s="2">
        <f>--(COUNTIFS($A$2:A2,A2,$B$2:B2,B2)=1)</f>
        <v>1</v>
      </c>
      <c r="D2" t="str">
        <f>检查点拆解!F2</f>
        <v>D15.01.02</v>
      </c>
      <c r="E2" s="2">
        <f>--(COUNTIFS($A$2:A2,A2,$D$2:D2,D2)=1)</f>
        <v>1</v>
      </c>
    </row>
    <row r="3" spans="1:5">
      <c r="A3" t="str">
        <f>检查点拆解!A3</f>
        <v>Q0001</v>
      </c>
      <c r="B3" t="str">
        <f>检查点拆解!D3</f>
        <v>C18</v>
      </c>
      <c r="C3" s="2">
        <f>--(COUNTIFS($A$2:A3,A3,$B$2:B3,B3)=1)</f>
        <v>1</v>
      </c>
      <c r="D3" t="str">
        <f>检查点拆解!F3</f>
        <v>D07.01.02</v>
      </c>
      <c r="E3" s="2">
        <f>--(COUNTIFS($A$2:A3,A3,$D$2:D3,D3)=1)</f>
        <v>1</v>
      </c>
    </row>
    <row r="4" spans="1:5">
      <c r="A4" t="str">
        <f>检查点拆解!A4</f>
        <v>Q0001</v>
      </c>
      <c r="B4" t="str">
        <f>检查点拆解!D4</f>
        <v>C30</v>
      </c>
      <c r="C4" s="2">
        <f>--(COUNTIFS($A$2:A4,A4,$B$2:B4,B4)=1)</f>
        <v>0</v>
      </c>
      <c r="D4" t="str">
        <f>检查点拆解!F4</f>
        <v>D15.01.03</v>
      </c>
      <c r="E4" s="2">
        <f>--(COUNTIFS($A$2:A4,A4,$D$2:D4,D4)=1)</f>
        <v>1</v>
      </c>
    </row>
    <row r="5" spans="1:5">
      <c r="A5" t="str">
        <f>检查点拆解!A5</f>
        <v>Q0001</v>
      </c>
      <c r="B5" t="str">
        <f>检查点拆解!D5</f>
        <v>C27</v>
      </c>
      <c r="C5" s="2">
        <f>--(COUNTIFS($A$2:A5,A5,$B$2:B5,B5)=1)</f>
        <v>1</v>
      </c>
      <c r="D5" t="str">
        <f>检查点拆解!F5</f>
        <v>D11.01.02</v>
      </c>
      <c r="E5" s="2">
        <f>--(COUNTIFS($A$2:A5,A5,$D$2:D5,D5)=1)</f>
        <v>1</v>
      </c>
    </row>
    <row r="6" spans="1:5">
      <c r="A6" t="str">
        <f>检查点拆解!A6</f>
        <v>Q0001</v>
      </c>
      <c r="B6" t="str">
        <f>检查点拆解!D6</f>
        <v>C28</v>
      </c>
      <c r="C6" s="2">
        <f>--(COUNTIFS($A$2:A6,A6,$B$2:B6,B6)=1)</f>
        <v>1</v>
      </c>
      <c r="D6" t="str">
        <f>检查点拆解!F6</f>
        <v>D13.02.01</v>
      </c>
      <c r="E6" s="2">
        <f>--(COUNTIFS($A$2:A6,A6,$D$2:D6,D6)=1)</f>
        <v>1</v>
      </c>
    </row>
    <row r="7" spans="1:5">
      <c r="A7" t="str">
        <f>检查点拆解!A7</f>
        <v>Q0001</v>
      </c>
      <c r="B7" t="str">
        <f>检查点拆解!D7</f>
        <v>C28</v>
      </c>
      <c r="C7" s="2">
        <f>--(COUNTIFS($A$2:A7,A7,$B$2:B7,B7)=1)</f>
        <v>0</v>
      </c>
      <c r="D7" t="str">
        <f>检查点拆解!F7</f>
        <v>D12.01.01</v>
      </c>
      <c r="E7" s="2">
        <f>--(COUNTIFS($A$2:A7,A7,$D$2:D7,D7)=1)</f>
        <v>1</v>
      </c>
    </row>
    <row r="8" spans="1:5">
      <c r="A8" t="str">
        <f>检查点拆解!A8</f>
        <v>Q0001</v>
      </c>
      <c r="B8" t="str">
        <f>检查点拆解!D8</f>
        <v>C04</v>
      </c>
      <c r="C8" s="2">
        <f>--(COUNTIFS($A$2:A8,A8,$B$2:B8,B8)=1)</f>
        <v>1</v>
      </c>
      <c r="D8" t="str">
        <f>检查点拆解!F8</f>
        <v>D02.02.01</v>
      </c>
      <c r="E8" s="2">
        <f>--(COUNTIFS($A$2:A8,A8,$D$2:D8,D8)=1)</f>
        <v>1</v>
      </c>
    </row>
    <row r="9" spans="1:5">
      <c r="A9" t="str">
        <f>检查点拆解!A9</f>
        <v>Q0002</v>
      </c>
      <c r="B9" t="str">
        <f>检查点拆解!D9</f>
        <v>C20</v>
      </c>
      <c r="C9" s="2">
        <f>--(COUNTIFS($A$2:A9,A9,$B$2:B9,B9)=1)</f>
        <v>1</v>
      </c>
      <c r="D9" t="str">
        <f>检查点拆解!F9</f>
        <v>D07.02.04</v>
      </c>
      <c r="E9" s="2">
        <f>--(COUNTIFS($A$2:A9,A9,$D$2:D9,D9)=1)</f>
        <v>1</v>
      </c>
    </row>
    <row r="10" spans="1:5">
      <c r="A10" t="str">
        <f>检查点拆解!A10</f>
        <v>Q0002</v>
      </c>
      <c r="B10" t="str">
        <f>检查点拆解!D10</f>
        <v>C14</v>
      </c>
      <c r="C10" s="2">
        <f>--(COUNTIFS($A$2:A10,A10,$B$2:B10,B10)=1)</f>
        <v>1</v>
      </c>
      <c r="D10" t="str">
        <f>检查点拆解!F10</f>
        <v>D08.01.01</v>
      </c>
      <c r="E10" s="2">
        <f>--(COUNTIFS($A$2:A10,A10,$D$2:D10,D10)=1)</f>
        <v>1</v>
      </c>
    </row>
    <row r="11" spans="1:5">
      <c r="A11" t="str">
        <f>检查点拆解!A11</f>
        <v>Q0002</v>
      </c>
      <c r="B11" t="str">
        <f>检查点拆解!D11</f>
        <v>C23</v>
      </c>
      <c r="C11" s="2">
        <f>--(COUNTIFS($A$2:A11,A11,$B$2:B11,B11)=1)</f>
        <v>1</v>
      </c>
      <c r="D11" t="str">
        <f>检查点拆解!F11</f>
        <v>D09.01.02</v>
      </c>
      <c r="E11" s="2">
        <f>--(COUNTIFS($A$2:A11,A11,$D$2:D11,D11)=1)</f>
        <v>1</v>
      </c>
    </row>
    <row r="12" spans="1:5">
      <c r="A12" t="str">
        <f>检查点拆解!A12</f>
        <v>Q0002</v>
      </c>
      <c r="B12" t="str">
        <f>检查点拆解!D12</f>
        <v>C24</v>
      </c>
      <c r="C12" s="2">
        <f>--(COUNTIFS($A$2:A12,A12,$B$2:B12,B12)=1)</f>
        <v>1</v>
      </c>
      <c r="D12" t="str">
        <f>检查点拆解!F12</f>
        <v>D09.02.02</v>
      </c>
      <c r="E12" s="2">
        <f>--(COUNTIFS($A$2:A12,A12,$D$2:D12,D12)=1)</f>
        <v>1</v>
      </c>
    </row>
    <row r="13" spans="1:5">
      <c r="A13" t="str">
        <f>检查点拆解!A13</f>
        <v>Q0002</v>
      </c>
      <c r="B13" t="str">
        <f>检查点拆解!D13</f>
        <v>C30</v>
      </c>
      <c r="C13" s="2">
        <f>--(COUNTIFS($A$2:A13,A13,$B$2:B13,B13)=1)</f>
        <v>1</v>
      </c>
      <c r="D13" t="str">
        <f>检查点拆解!F13</f>
        <v>D15.02.01</v>
      </c>
      <c r="E13" s="2">
        <f>--(COUNTIFS($A$2:A13,A13,$D$2:D13,D13)=1)</f>
        <v>1</v>
      </c>
    </row>
    <row r="14" spans="1:5">
      <c r="A14" t="str">
        <f>检查点拆解!A14</f>
        <v>Q0002</v>
      </c>
      <c r="B14" t="str">
        <f>检查点拆解!D14</f>
        <v>C27</v>
      </c>
      <c r="C14" s="2">
        <f>--(COUNTIFS($A$2:A14,A14,$B$2:B14,B14)=1)</f>
        <v>1</v>
      </c>
      <c r="D14" t="str">
        <f>检查点拆解!F14</f>
        <v>D11.02.01</v>
      </c>
      <c r="E14" s="2">
        <f>--(COUNTIFS($A$2:A14,A14,$D$2:D14,D14)=1)</f>
        <v>1</v>
      </c>
    </row>
    <row r="15" spans="1:5">
      <c r="A15" t="str">
        <f>检查点拆解!A15</f>
        <v>Q0002</v>
      </c>
      <c r="B15" t="str">
        <f>检查点拆解!D15</f>
        <v>C12</v>
      </c>
      <c r="C15" s="2">
        <f>--(COUNTIFS($A$2:A15,A15,$B$2:B15,B15)=1)</f>
        <v>1</v>
      </c>
      <c r="D15" t="str">
        <f>检查点拆解!F15</f>
        <v>D04.03.04</v>
      </c>
      <c r="E15" s="2">
        <f>--(COUNTIFS($A$2:A15,A15,$D$2:D15,D15)=1)</f>
        <v>1</v>
      </c>
    </row>
    <row r="16" spans="1:5">
      <c r="A16" t="str">
        <f>检查点拆解!A16</f>
        <v>Q0002</v>
      </c>
      <c r="B16" t="str">
        <f>检查点拆解!D16</f>
        <v>C06</v>
      </c>
      <c r="C16" s="2">
        <f>--(COUNTIFS($A$2:A16,A16,$B$2:B16,B16)=1)</f>
        <v>1</v>
      </c>
      <c r="D16" t="str">
        <f>检查点拆解!F16</f>
        <v>D03.01.03</v>
      </c>
      <c r="E16" s="2">
        <f>--(COUNTIFS($A$2:A16,A16,$D$2:D16,D16)=1)</f>
        <v>1</v>
      </c>
    </row>
    <row r="17" spans="1:5">
      <c r="A17" t="str">
        <f>检查点拆解!A17</f>
        <v>Q0002</v>
      </c>
      <c r="B17" t="str">
        <f>检查点拆解!D17</f>
        <v>C21</v>
      </c>
      <c r="C17" s="2">
        <f>--(COUNTIFS($A$2:A17,A17,$B$2:B17,B17)=1)</f>
        <v>1</v>
      </c>
      <c r="D17" t="str">
        <f>检查点拆解!F17</f>
        <v>D07.03.01</v>
      </c>
      <c r="E17" s="2">
        <f>--(COUNTIFS($A$2:A17,A17,$D$2:D17,D17)=1)</f>
        <v>1</v>
      </c>
    </row>
    <row r="18" spans="1:5">
      <c r="A18" t="str">
        <f>检查点拆解!A18</f>
        <v>Q0002</v>
      </c>
      <c r="B18" t="str">
        <f>检查点拆解!D18</f>
        <v>C24</v>
      </c>
      <c r="C18" s="2">
        <f>--(COUNTIFS($A$2:A18,A18,$B$2:B18,B18)=1)</f>
        <v>0</v>
      </c>
      <c r="D18" t="str">
        <f>检查点拆解!F18</f>
        <v>D09.02.03</v>
      </c>
      <c r="E18" s="2">
        <f>--(COUNTIFS($A$2:A18,A18,$D$2:D18,D18)=1)</f>
        <v>1</v>
      </c>
    </row>
    <row r="19" spans="1:5">
      <c r="A19" t="str">
        <f>检查点拆解!A19</f>
        <v>Q0002</v>
      </c>
      <c r="B19" t="str">
        <f>检查点拆解!D19</f>
        <v>C15</v>
      </c>
      <c r="C19" s="2">
        <f>--(COUNTIFS($A$2:A19,A19,$B$2:B19,B19)=1)</f>
        <v>1</v>
      </c>
      <c r="D19" t="str">
        <f>检查点拆解!F19</f>
        <v>D05.02.02</v>
      </c>
      <c r="E19" s="2">
        <f>--(COUNTIFS($A$2:A19,A19,$D$2:D19,D19)=1)</f>
        <v>1</v>
      </c>
    </row>
    <row r="20" spans="1:5">
      <c r="A20" t="str">
        <f>检查点拆解!A20</f>
        <v>Q0002</v>
      </c>
      <c r="B20" t="str">
        <f>检查点拆解!D20</f>
        <v>C30</v>
      </c>
      <c r="C20" s="2">
        <f>--(COUNTIFS($A$2:A20,A20,$B$2:B20,B20)=1)</f>
        <v>0</v>
      </c>
      <c r="D20" t="str">
        <f>检查点拆解!F20</f>
        <v>D15.01.04</v>
      </c>
      <c r="E20" s="2">
        <f>--(COUNTIFS($A$2:A20,A20,$D$2:D20,D20)=1)</f>
        <v>1</v>
      </c>
    </row>
    <row r="21" spans="1:5">
      <c r="A21" t="str">
        <f>检查点拆解!A21</f>
        <v>Q0003</v>
      </c>
      <c r="B21" t="str">
        <f>检查点拆解!D21</f>
        <v>C30</v>
      </c>
      <c r="C21" s="2">
        <f>--(COUNTIFS($A$2:A21,A21,$B$2:B21,B21)=1)</f>
        <v>1</v>
      </c>
      <c r="D21" t="str">
        <f>检查点拆解!F21</f>
        <v>D15.01.02</v>
      </c>
      <c r="E21" s="2">
        <f>--(COUNTIFS($A$2:A21,A21,$D$2:D21,D21)=1)</f>
        <v>1</v>
      </c>
    </row>
    <row r="22" spans="1:5">
      <c r="A22" t="str">
        <f>检查点拆解!A22</f>
        <v>Q0003</v>
      </c>
      <c r="B22" t="str">
        <f>检查点拆解!D22</f>
        <v>C29</v>
      </c>
      <c r="C22" s="2">
        <f>--(COUNTIFS($A$2:A22,A22,$B$2:B22,B22)=1)</f>
        <v>1</v>
      </c>
      <c r="D22" t="str">
        <f>检查点拆解!F22</f>
        <v>D14.02.01</v>
      </c>
      <c r="E22" s="2">
        <f>--(COUNTIFS($A$2:A22,A22,$D$2:D22,D22)=1)</f>
        <v>1</v>
      </c>
    </row>
    <row r="23" spans="1:5">
      <c r="A23" t="str">
        <f>检查点拆解!A23</f>
        <v>Q0003</v>
      </c>
      <c r="B23" t="str">
        <f>检查点拆解!D23</f>
        <v>C30</v>
      </c>
      <c r="C23" s="2">
        <f>--(COUNTIFS($A$2:A23,A23,$B$2:B23,B23)=1)</f>
        <v>0</v>
      </c>
      <c r="D23" t="str">
        <f>检查点拆解!F23</f>
        <v>D15.02.01</v>
      </c>
      <c r="E23" s="2">
        <f>--(COUNTIFS($A$2:A23,A23,$D$2:D23,D23)=1)</f>
        <v>1</v>
      </c>
    </row>
    <row r="24" spans="1:5">
      <c r="A24" t="str">
        <f>检查点拆解!A24</f>
        <v>Q0003</v>
      </c>
      <c r="B24" t="str">
        <f>检查点拆解!D24</f>
        <v>C17</v>
      </c>
      <c r="C24" s="2">
        <f>--(COUNTIFS($A$2:A24,A24,$B$2:B24,B24)=1)</f>
        <v>1</v>
      </c>
      <c r="D24" t="str">
        <f>检查点拆解!F24</f>
        <v>D06.03.01</v>
      </c>
      <c r="E24" s="2">
        <f>--(COUNTIFS($A$2:A24,A24,$D$2:D24,D24)=1)</f>
        <v>1</v>
      </c>
    </row>
    <row r="25" spans="1:5">
      <c r="A25" t="str">
        <f>检查点拆解!A25</f>
        <v>Q0003</v>
      </c>
      <c r="B25" t="str">
        <f>检查点拆解!D25</f>
        <v>C27</v>
      </c>
      <c r="C25" s="2">
        <f>--(COUNTIFS($A$2:A25,A25,$B$2:B25,B25)=1)</f>
        <v>1</v>
      </c>
      <c r="D25" t="str">
        <f>检查点拆解!F25</f>
        <v>D11.02.03</v>
      </c>
      <c r="E25" s="2">
        <f>--(COUNTIFS($A$2:A25,A25,$D$2:D25,D25)=1)</f>
        <v>1</v>
      </c>
    </row>
    <row r="26" spans="1:5">
      <c r="A26" t="str">
        <f>检查点拆解!A26</f>
        <v>Q0003</v>
      </c>
      <c r="B26" t="str">
        <f>检查点拆解!D26</f>
        <v>C30</v>
      </c>
      <c r="C26" s="2">
        <f>--(COUNTIFS($A$2:A26,A26,$B$2:B26,B26)=1)</f>
        <v>0</v>
      </c>
      <c r="D26" t="str">
        <f>检查点拆解!F26</f>
        <v>D15.01.03</v>
      </c>
      <c r="E26" s="2">
        <f>--(COUNTIFS($A$2:A26,A26,$D$2:D26,D26)=1)</f>
        <v>1</v>
      </c>
    </row>
    <row r="27" spans="1:5">
      <c r="A27" t="str">
        <f>检查点拆解!A27</f>
        <v>Q0003</v>
      </c>
      <c r="B27" t="str">
        <f>检查点拆解!D27</f>
        <v>C15</v>
      </c>
      <c r="C27" s="2">
        <f>--(COUNTIFS($A$2:A27,A27,$B$2:B27,B27)=1)</f>
        <v>1</v>
      </c>
      <c r="D27" t="str">
        <f>检查点拆解!F27</f>
        <v>D05.02.02</v>
      </c>
      <c r="E27" s="2">
        <f>--(COUNTIFS($A$2:A27,A27,$D$2:D27,D27)=1)</f>
        <v>1</v>
      </c>
    </row>
    <row r="28" spans="1:5">
      <c r="A28" t="str">
        <f>检查点拆解!A28</f>
        <v>Q0003</v>
      </c>
      <c r="B28" t="str">
        <f>检查点拆解!D28</f>
        <v>C25</v>
      </c>
      <c r="C28" s="2">
        <f>--(COUNTIFS($A$2:A28,A28,$B$2:B28,B28)=1)</f>
        <v>1</v>
      </c>
      <c r="D28" t="str">
        <f>检查点拆解!F28</f>
        <v>D10.01.01</v>
      </c>
      <c r="E28" s="2">
        <f>--(COUNTIFS($A$2:A28,A28,$D$2:D28,D28)=1)</f>
        <v>1</v>
      </c>
    </row>
    <row r="29" spans="1:5">
      <c r="A29" t="str">
        <f>检查点拆解!A29</f>
        <v>Q0004</v>
      </c>
      <c r="B29" t="str">
        <f>检查点拆解!D29</f>
        <v>C24</v>
      </c>
      <c r="C29" s="2">
        <f>--(COUNTIFS($A$2:A29,A29,$B$2:B29,B29)=1)</f>
        <v>1</v>
      </c>
      <c r="D29" t="str">
        <f>检查点拆解!F29</f>
        <v>D09.03.03</v>
      </c>
      <c r="E29" s="2">
        <f>--(COUNTIFS($A$2:A29,A29,$D$2:D29,D29)=1)</f>
        <v>1</v>
      </c>
    </row>
    <row r="30" spans="1:5">
      <c r="A30" t="str">
        <f>检查点拆解!A30</f>
        <v>Q0004</v>
      </c>
      <c r="B30" t="str">
        <f>检查点拆解!D30</f>
        <v>C28</v>
      </c>
      <c r="C30" s="2">
        <f>--(COUNTIFS($A$2:A30,A30,$B$2:B30,B30)=1)</f>
        <v>1</v>
      </c>
      <c r="D30" t="str">
        <f>检查点拆解!F30</f>
        <v>D12.02.01</v>
      </c>
      <c r="E30" s="2">
        <f>--(COUNTIFS($A$2:A30,A30,$D$2:D30,D30)=1)</f>
        <v>1</v>
      </c>
    </row>
    <row r="31" spans="1:5">
      <c r="A31" t="str">
        <f>检查点拆解!A31</f>
        <v>Q0004</v>
      </c>
      <c r="B31" t="str">
        <f>检查点拆解!D31</f>
        <v>C08</v>
      </c>
      <c r="C31" s="2">
        <f>--(COUNTIFS($A$2:A31,A31,$B$2:B31,B31)=1)</f>
        <v>1</v>
      </c>
      <c r="D31" t="str">
        <f>检查点拆解!F31</f>
        <v>D04.01.02</v>
      </c>
      <c r="E31" s="2">
        <f>--(COUNTIFS($A$2:A31,A31,$D$2:D31,D31)=1)</f>
        <v>1</v>
      </c>
    </row>
    <row r="32" spans="1:5">
      <c r="A32" t="str">
        <f>检查点拆解!A32</f>
        <v>Q0004</v>
      </c>
      <c r="B32" t="str">
        <f>检查点拆解!D32</f>
        <v>C15</v>
      </c>
      <c r="C32" s="2">
        <f>--(COUNTIFS($A$2:A32,A32,$B$2:B32,B32)=1)</f>
        <v>1</v>
      </c>
      <c r="D32" t="str">
        <f>检查点拆解!F32</f>
        <v>D05.02.01</v>
      </c>
      <c r="E32" s="2">
        <f>--(COUNTIFS($A$2:A32,A32,$D$2:D32,D32)=1)</f>
        <v>1</v>
      </c>
    </row>
    <row r="33" spans="1:5">
      <c r="A33" t="str">
        <f>检查点拆解!A33</f>
        <v>Q0004</v>
      </c>
      <c r="B33" t="str">
        <f>检查点拆解!D33</f>
        <v>C14</v>
      </c>
      <c r="C33" s="2">
        <f>--(COUNTIFS($A$2:A33,A33,$B$2:B33,B33)=1)</f>
        <v>1</v>
      </c>
      <c r="D33" t="str">
        <f>检查点拆解!F33</f>
        <v>D05.01.03</v>
      </c>
      <c r="E33" s="2">
        <f>--(COUNTIFS($A$2:A33,A33,$D$2:D33,D33)=1)</f>
        <v>1</v>
      </c>
    </row>
    <row r="34" spans="1:5">
      <c r="A34" t="str">
        <f>检查点拆解!A34</f>
        <v>Q0004</v>
      </c>
      <c r="B34" t="str">
        <f>检查点拆解!D34</f>
        <v>C26</v>
      </c>
      <c r="C34" s="2">
        <f>--(COUNTIFS($A$2:A34,A34,$B$2:B34,B34)=1)</f>
        <v>1</v>
      </c>
      <c r="D34" t="str">
        <f>检查点拆解!F34</f>
        <v>D10.02.01</v>
      </c>
      <c r="E34" s="2">
        <f>--(COUNTIFS($A$2:A34,A34,$D$2:D34,D34)=1)</f>
        <v>1</v>
      </c>
    </row>
    <row r="35" spans="1:5">
      <c r="A35" t="str">
        <f>检查点拆解!A35</f>
        <v>Q0004</v>
      </c>
      <c r="B35" t="str">
        <f>检查点拆解!D35</f>
        <v>C28</v>
      </c>
      <c r="C35" s="2">
        <f>--(COUNTIFS($A$2:A35,A35,$B$2:B35,B35)=1)</f>
        <v>0</v>
      </c>
      <c r="D35" t="str">
        <f>检查点拆解!F35</f>
        <v>D12.01.01</v>
      </c>
      <c r="E35" s="2">
        <f>--(COUNTIFS($A$2:A35,A35,$D$2:D35,D35)=1)</f>
        <v>1</v>
      </c>
    </row>
    <row r="36" spans="1:5">
      <c r="A36" t="str">
        <f>检查点拆解!A36</f>
        <v>Q0004</v>
      </c>
      <c r="B36" t="str">
        <f>检查点拆解!D36</f>
        <v>C03</v>
      </c>
      <c r="C36" s="2">
        <f>--(COUNTIFS($A$2:A36,A36,$B$2:B36,B36)=1)</f>
        <v>1</v>
      </c>
      <c r="D36" t="str">
        <f>检查点拆解!F36</f>
        <v>D02.01.01</v>
      </c>
      <c r="E36" s="2">
        <f>--(COUNTIFS($A$2:A36,A36,$D$2:D36,D36)=1)</f>
        <v>1</v>
      </c>
    </row>
    <row r="37" spans="1:5">
      <c r="A37" t="str">
        <f>检查点拆解!A37</f>
        <v>Q0005</v>
      </c>
      <c r="B37" t="str">
        <f>检查点拆解!D37</f>
        <v>C18</v>
      </c>
      <c r="C37" s="2">
        <f>--(COUNTIFS($A$2:A37,A37,$B$2:B37,B37)=1)</f>
        <v>1</v>
      </c>
      <c r="D37" t="str">
        <f>检查点拆解!F37</f>
        <v>D07.01.03</v>
      </c>
      <c r="E37" s="2">
        <f>--(COUNTIFS($A$2:A37,A37,$D$2:D37,D37)=1)</f>
        <v>1</v>
      </c>
    </row>
    <row r="38" spans="1:5">
      <c r="A38" t="str">
        <f>检查点拆解!A38</f>
        <v>Q0005</v>
      </c>
      <c r="B38" t="str">
        <f>检查点拆解!D38</f>
        <v>C03</v>
      </c>
      <c r="C38" s="2">
        <f>--(COUNTIFS($A$2:A38,A38,$B$2:B38,B38)=1)</f>
        <v>1</v>
      </c>
      <c r="D38" t="str">
        <f>检查点拆解!F38</f>
        <v>D02.01.03</v>
      </c>
      <c r="E38" s="2">
        <f>--(COUNTIFS($A$2:A38,A38,$D$2:D38,D38)=1)</f>
        <v>1</v>
      </c>
    </row>
    <row r="39" spans="1:5">
      <c r="A39" t="str">
        <f>检查点拆解!A39</f>
        <v>Q0005</v>
      </c>
      <c r="B39" t="str">
        <f>检查点拆解!D39</f>
        <v>C04</v>
      </c>
      <c r="C39" s="2">
        <f>--(COUNTIFS($A$2:A39,A39,$B$2:B39,B39)=1)</f>
        <v>1</v>
      </c>
      <c r="D39" t="str">
        <f>检查点拆解!F39</f>
        <v>D02.02.02</v>
      </c>
      <c r="E39" s="2">
        <f>--(COUNTIFS($A$2:A39,A39,$D$2:D39,D39)=1)</f>
        <v>1</v>
      </c>
    </row>
    <row r="40" spans="1:5">
      <c r="A40" t="str">
        <f>检查点拆解!A40</f>
        <v>Q0005</v>
      </c>
      <c r="B40" t="str">
        <f>检查点拆解!D40</f>
        <v>C05</v>
      </c>
      <c r="C40" s="2">
        <f>--(COUNTIFS($A$2:A40,A40,$B$2:B40,B40)=1)</f>
        <v>1</v>
      </c>
      <c r="D40" t="str">
        <f>检查点拆解!F40</f>
        <v>D02.03.01</v>
      </c>
      <c r="E40" s="2">
        <f>--(COUNTIFS($A$2:A40,A40,$D$2:D40,D40)=1)</f>
        <v>1</v>
      </c>
    </row>
    <row r="41" spans="1:5">
      <c r="A41" t="str">
        <f>检查点拆解!A41</f>
        <v>Q0006</v>
      </c>
      <c r="B41" t="str">
        <f>检查点拆解!D41</f>
        <v>C18</v>
      </c>
      <c r="C41" s="2">
        <f>--(COUNTIFS($A$2:A41,A41,$B$2:B41,B41)=1)</f>
        <v>1</v>
      </c>
      <c r="D41" t="str">
        <f>检查点拆解!F41</f>
        <v>D07.01.03</v>
      </c>
      <c r="E41" s="2">
        <f>--(COUNTIFS($A$2:A41,A41,$D$2:D41,D41)=1)</f>
        <v>1</v>
      </c>
    </row>
    <row r="42" spans="1:5">
      <c r="A42" t="str">
        <f>检查点拆解!A42</f>
        <v>Q0006</v>
      </c>
      <c r="B42" t="str">
        <f>检查点拆解!D42</f>
        <v>C29</v>
      </c>
      <c r="C42" s="2">
        <f>--(COUNTIFS($A$2:A42,A42,$B$2:B42,B42)=1)</f>
        <v>1</v>
      </c>
      <c r="D42" t="str">
        <f>检查点拆解!F42</f>
        <v>D14.02.01</v>
      </c>
      <c r="E42" s="2">
        <f>--(COUNTIFS($A$2:A42,A42,$D$2:D42,D42)=1)</f>
        <v>1</v>
      </c>
    </row>
    <row r="43" spans="1:5">
      <c r="A43" t="str">
        <f>检查点拆解!A43</f>
        <v>Q0006</v>
      </c>
      <c r="B43" t="str">
        <f>检查点拆解!D43</f>
        <v>C30</v>
      </c>
      <c r="C43" s="2">
        <f>--(COUNTIFS($A$2:A43,A43,$B$2:B43,B43)=1)</f>
        <v>1</v>
      </c>
      <c r="D43" t="str">
        <f>检查点拆解!F43</f>
        <v>D15.02.01</v>
      </c>
      <c r="E43" s="2">
        <f>--(COUNTIFS($A$2:A43,A43,$D$2:D43,D43)=1)</f>
        <v>1</v>
      </c>
    </row>
    <row r="44" spans="1:5">
      <c r="A44" t="str">
        <f>检查点拆解!A44</f>
        <v>Q0006</v>
      </c>
      <c r="B44" t="str">
        <f>检查点拆解!D44</f>
        <v>C06</v>
      </c>
      <c r="C44" s="2">
        <f>--(COUNTIFS($A$2:A44,A44,$B$2:B44,B44)=1)</f>
        <v>1</v>
      </c>
      <c r="D44" t="str">
        <f>检查点拆解!F44</f>
        <v>D03.01.03</v>
      </c>
      <c r="E44" s="2">
        <f>--(COUNTIFS($A$2:A44,A44,$D$2:D44,D44)=1)</f>
        <v>1</v>
      </c>
    </row>
    <row r="45" spans="1:5">
      <c r="A45" t="str">
        <f>检查点拆解!A45</f>
        <v>Q0006</v>
      </c>
      <c r="B45" t="str">
        <f>检查点拆解!D45</f>
        <v>C21</v>
      </c>
      <c r="C45" s="2">
        <f>--(COUNTIFS($A$2:A45,A45,$B$2:B45,B45)=1)</f>
        <v>1</v>
      </c>
      <c r="D45" t="str">
        <f>检查点拆解!F45</f>
        <v>D07.03.01</v>
      </c>
      <c r="E45" s="2">
        <f>--(COUNTIFS($A$2:A45,A45,$D$2:D45,D45)=1)</f>
        <v>1</v>
      </c>
    </row>
    <row r="46" spans="1:5">
      <c r="A46" t="str">
        <f>检查点拆解!A46</f>
        <v>Q0006</v>
      </c>
      <c r="B46" t="str">
        <f>检查点拆解!D46</f>
        <v>C19</v>
      </c>
      <c r="C46" s="2">
        <f>--(COUNTIFS($A$2:A46,A46,$B$2:B46,B46)=1)</f>
        <v>1</v>
      </c>
      <c r="D46" t="str">
        <f>检查点拆解!F46</f>
        <v>D07.02.01</v>
      </c>
      <c r="E46" s="2">
        <f>--(COUNTIFS($A$2:A46,A46,$D$2:D46,D46)=1)</f>
        <v>1</v>
      </c>
    </row>
    <row r="47" spans="1:5">
      <c r="A47" t="str">
        <f>检查点拆解!A47</f>
        <v>Q0006</v>
      </c>
      <c r="B47" t="str">
        <f>检查点拆解!D47</f>
        <v>C25</v>
      </c>
      <c r="C47" s="2">
        <f>--(COUNTIFS($A$2:A47,A47,$B$2:B47,B47)=1)</f>
        <v>1</v>
      </c>
      <c r="D47" t="str">
        <f>检查点拆解!F47</f>
        <v>D10.01.01</v>
      </c>
      <c r="E47" s="2">
        <f>--(COUNTIFS($A$2:A47,A47,$D$2:D47,D47)=1)</f>
        <v>1</v>
      </c>
    </row>
    <row r="48" spans="1:5">
      <c r="A48" t="str">
        <f>检查点拆解!A48</f>
        <v>Q0006</v>
      </c>
      <c r="B48" t="str">
        <f>检查点拆解!D48</f>
        <v>C28</v>
      </c>
      <c r="C48" s="2">
        <f>--(COUNTIFS($A$2:A48,A48,$B$2:B48,B48)=1)</f>
        <v>1</v>
      </c>
      <c r="D48" t="str">
        <f>检查点拆解!F48</f>
        <v>D12.02.01</v>
      </c>
      <c r="E48" s="2">
        <f>--(COUNTIFS($A$2:A48,A48,$D$2:D48,D48)=1)</f>
        <v>1</v>
      </c>
    </row>
    <row r="49" spans="1:5">
      <c r="A49" t="str">
        <f>检查点拆解!A49</f>
        <v>Q0006</v>
      </c>
      <c r="B49" t="str">
        <f>检查点拆解!D49</f>
        <v>C26</v>
      </c>
      <c r="C49" s="2">
        <f>--(COUNTIFS($A$2:A49,A49,$B$2:B49,B49)=1)</f>
        <v>1</v>
      </c>
      <c r="D49" t="str">
        <f>检查点拆解!F49</f>
        <v>D10.02.01</v>
      </c>
      <c r="E49" s="2">
        <f>--(COUNTIFS($A$2:A49,A49,$D$2:D49,D49)=1)</f>
        <v>1</v>
      </c>
    </row>
    <row r="50" spans="1:5">
      <c r="A50" t="str">
        <f>检查点拆解!A50</f>
        <v>Q0006</v>
      </c>
      <c r="B50" t="str">
        <f>检查点拆解!D50</f>
        <v>C03</v>
      </c>
      <c r="C50" s="2">
        <f>--(COUNTIFS($A$2:A50,A50,$B$2:B50,B50)=1)</f>
        <v>1</v>
      </c>
      <c r="D50" t="str">
        <f>检查点拆解!F50</f>
        <v>D02.01.01</v>
      </c>
      <c r="E50" s="2">
        <f>--(COUNTIFS($A$2:A50,A50,$D$2:D50,D50)=1)</f>
        <v>1</v>
      </c>
    </row>
    <row r="51" spans="1:5">
      <c r="A51" t="str">
        <f>检查点拆解!A51</f>
        <v>Q0006</v>
      </c>
      <c r="B51" t="str">
        <f>检查点拆解!D51</f>
        <v>C05</v>
      </c>
      <c r="C51" s="2">
        <f>--(COUNTIFS($A$2:A51,A51,$B$2:B51,B51)=1)</f>
        <v>1</v>
      </c>
      <c r="D51" t="str">
        <f>检查点拆解!F51</f>
        <v>D02.03.01</v>
      </c>
      <c r="E51" s="2">
        <f>--(COUNTIFS($A$2:A51,A51,$D$2:D51,D51)=1)</f>
        <v>1</v>
      </c>
    </row>
    <row r="52" spans="1:5">
      <c r="A52" t="str">
        <f>检查点拆解!A52</f>
        <v>Q0006</v>
      </c>
      <c r="B52" t="str">
        <f>检查点拆解!D52</f>
        <v>C08</v>
      </c>
      <c r="C52" s="2">
        <f>--(COUNTIFS($A$2:A52,A52,$B$2:B52,B52)=1)</f>
        <v>1</v>
      </c>
      <c r="D52" t="str">
        <f>检查点拆解!F52</f>
        <v>D03.03.01</v>
      </c>
      <c r="E52" s="2">
        <f>--(COUNTIFS($A$2:A52,A52,$D$2:D52,D52)=1)</f>
        <v>1</v>
      </c>
    </row>
    <row r="53" spans="1:5">
      <c r="A53" t="str">
        <f>检查点拆解!A53</f>
        <v>Q0007</v>
      </c>
      <c r="B53" t="str">
        <f>检查点拆解!D53</f>
        <v>C27</v>
      </c>
      <c r="C53" s="2">
        <f>--(COUNTIFS($A$2:A53,A53,$B$2:B53,B53)=1)</f>
        <v>1</v>
      </c>
      <c r="D53" t="str">
        <f>检查点拆解!F53</f>
        <v>D11.02.01</v>
      </c>
      <c r="E53" s="2">
        <f>--(COUNTIFS($A$2:A53,A53,$D$2:D53,D53)=1)</f>
        <v>1</v>
      </c>
    </row>
    <row r="54" spans="1:5">
      <c r="A54" t="str">
        <f>检查点拆解!A54</f>
        <v>Q0007</v>
      </c>
      <c r="B54" t="str">
        <f>检查点拆解!D54</f>
        <v>C25</v>
      </c>
      <c r="C54" s="2">
        <f>--(COUNTIFS($A$2:A54,A54,$B$2:B54,B54)=1)</f>
        <v>1</v>
      </c>
      <c r="D54" t="str">
        <f>检查点拆解!F54</f>
        <v>D10.01.01</v>
      </c>
      <c r="E54" s="2">
        <f>--(COUNTIFS($A$2:A54,A54,$D$2:D54,D54)=1)</f>
        <v>1</v>
      </c>
    </row>
    <row r="55" spans="1:5">
      <c r="A55" t="str">
        <f>检查点拆解!A55</f>
        <v>Q0007</v>
      </c>
      <c r="B55" t="str">
        <f>检查点拆解!D55</f>
        <v>C28</v>
      </c>
      <c r="C55" s="2">
        <f>--(COUNTIFS($A$2:A55,A55,$B$2:B55,B55)=1)</f>
        <v>1</v>
      </c>
      <c r="D55" t="str">
        <f>检查点拆解!F55</f>
        <v>D12.01.01</v>
      </c>
      <c r="E55" s="2">
        <f>--(COUNTIFS($A$2:A55,A55,$D$2:D55,D55)=1)</f>
        <v>1</v>
      </c>
    </row>
    <row r="56" spans="1:5">
      <c r="A56" t="str">
        <f>检查点拆解!A56</f>
        <v>Q0007</v>
      </c>
      <c r="B56" t="str">
        <f>检查点拆解!D56</f>
        <v>C04</v>
      </c>
      <c r="C56" s="2">
        <f>--(COUNTIFS($A$2:A56,A56,$B$2:B56,B56)=1)</f>
        <v>1</v>
      </c>
      <c r="D56" t="str">
        <f>检查点拆解!F56</f>
        <v>D02.02.03</v>
      </c>
      <c r="E56" s="2">
        <f>--(COUNTIFS($A$2:A56,A56,$D$2:D56,D56)=1)</f>
        <v>1</v>
      </c>
    </row>
    <row r="57" spans="1:5">
      <c r="A57" t="str">
        <f>检查点拆解!A57</f>
        <v>Q0007</v>
      </c>
      <c r="B57" t="str">
        <f>检查点拆解!D57</f>
        <v>C28</v>
      </c>
      <c r="C57" s="2">
        <f>--(COUNTIFS($A$2:A57,A57,$B$2:B57,B57)=1)</f>
        <v>0</v>
      </c>
      <c r="D57" t="str">
        <f>检查点拆解!F57</f>
        <v>D13.01.01</v>
      </c>
      <c r="E57" s="2">
        <f>--(COUNTIFS($A$2:A57,A57,$D$2:D57,D57)=1)</f>
        <v>1</v>
      </c>
    </row>
    <row r="58" spans="1:5">
      <c r="A58" t="str">
        <f>检查点拆解!A58</f>
        <v>Q0007</v>
      </c>
      <c r="B58" t="str">
        <f>检查点拆解!D58</f>
        <v>C14</v>
      </c>
      <c r="C58" s="2">
        <f>--(COUNTIFS($A$2:A58,A58,$B$2:B58,B58)=1)</f>
        <v>1</v>
      </c>
      <c r="D58" t="str">
        <f>检查点拆解!F58</f>
        <v>D05.01.01</v>
      </c>
      <c r="E58" s="2">
        <f>--(COUNTIFS($A$2:A58,A58,$D$2:D58,D58)=1)</f>
        <v>1</v>
      </c>
    </row>
    <row r="59" spans="1:5">
      <c r="A59" t="str">
        <f>检查点拆解!A59</f>
        <v>Q0007</v>
      </c>
      <c r="B59" t="str">
        <f>检查点拆解!D59</f>
        <v>C03</v>
      </c>
      <c r="C59" s="2">
        <f>--(COUNTIFS($A$2:A59,A59,$B$2:B59,B59)=1)</f>
        <v>1</v>
      </c>
      <c r="D59" t="str">
        <f>检查点拆解!F59</f>
        <v>D02.01.01</v>
      </c>
      <c r="E59" s="2">
        <f>--(COUNTIFS($A$2:A59,A59,$D$2:D59,D59)=1)</f>
        <v>1</v>
      </c>
    </row>
    <row r="60" spans="1:5">
      <c r="A60" t="str">
        <f>检查点拆解!A60</f>
        <v>Q0007</v>
      </c>
      <c r="B60" t="str">
        <f>检查点拆解!D60</f>
        <v>C08</v>
      </c>
      <c r="C60" s="2">
        <f>--(COUNTIFS($A$2:A60,A60,$B$2:B60,B60)=1)</f>
        <v>1</v>
      </c>
      <c r="D60" t="str">
        <f>检查点拆解!F60</f>
        <v>D03.03.01</v>
      </c>
      <c r="E60" s="2">
        <f>--(COUNTIFS($A$2:A60,A60,$D$2:D60,D60)=1)</f>
        <v>1</v>
      </c>
    </row>
    <row r="61" spans="1:5">
      <c r="A61" t="str">
        <f>检查点拆解!A61</f>
        <v>Q0008</v>
      </c>
      <c r="B61" t="str">
        <f>检查点拆解!D61</f>
        <v>C17</v>
      </c>
      <c r="C61" s="2">
        <f>--(COUNTIFS($A$2:A61,A61,$B$2:B61,B61)=1)</f>
        <v>1</v>
      </c>
      <c r="D61" t="str">
        <f>检查点拆解!F61</f>
        <v>D06.03.01</v>
      </c>
      <c r="E61" s="2">
        <f>--(COUNTIFS($A$2:A61,A61,$D$2:D61,D61)=1)</f>
        <v>1</v>
      </c>
    </row>
    <row r="62" spans="1:5">
      <c r="A62" t="str">
        <f>检查点拆解!A62</f>
        <v>Q0008</v>
      </c>
      <c r="B62" t="str">
        <f>检查点拆解!D62</f>
        <v>C25</v>
      </c>
      <c r="C62" s="2">
        <f>--(COUNTIFS($A$2:A62,A62,$B$2:B62,B62)=1)</f>
        <v>1</v>
      </c>
      <c r="D62" t="str">
        <f>检查点拆解!F62</f>
        <v>D10.01.01</v>
      </c>
      <c r="E62" s="2">
        <f>--(COUNTIFS($A$2:A62,A62,$D$2:D62,D62)=1)</f>
        <v>1</v>
      </c>
    </row>
    <row r="63" spans="1:5">
      <c r="A63" t="str">
        <f>检查点拆解!A63</f>
        <v>Q0008</v>
      </c>
      <c r="B63" t="str">
        <f>检查点拆解!D63</f>
        <v>C28</v>
      </c>
      <c r="C63" s="2">
        <f>--(COUNTIFS($A$2:A63,A63,$B$2:B63,B63)=1)</f>
        <v>1</v>
      </c>
      <c r="D63" t="str">
        <f>检查点拆解!F63</f>
        <v>D13.02.02</v>
      </c>
      <c r="E63" s="2">
        <f>--(COUNTIFS($A$2:A63,A63,$D$2:D63,D63)=1)</f>
        <v>1</v>
      </c>
    </row>
    <row r="64" spans="1:5">
      <c r="A64" t="str">
        <f>检查点拆解!A64</f>
        <v>Q0008</v>
      </c>
      <c r="B64" t="str">
        <f>检查点拆解!D64</f>
        <v>C26</v>
      </c>
      <c r="C64" s="2">
        <f>--(COUNTIFS($A$2:A64,A64,$B$2:B64,B64)=1)</f>
        <v>1</v>
      </c>
      <c r="D64" t="str">
        <f>检查点拆解!F64</f>
        <v>D10.02.01</v>
      </c>
      <c r="E64" s="2">
        <f>--(COUNTIFS($A$2:A64,A64,$D$2:D64,D64)=1)</f>
        <v>1</v>
      </c>
    </row>
    <row r="65" spans="1:5">
      <c r="A65" t="str">
        <f>检查点拆解!A65</f>
        <v>Q0008</v>
      </c>
      <c r="B65" t="str">
        <f>检查点拆解!D65</f>
        <v>C28</v>
      </c>
      <c r="C65" s="2">
        <f>--(COUNTIFS($A$2:A65,A65,$B$2:B65,B65)=1)</f>
        <v>0</v>
      </c>
      <c r="D65" t="str">
        <f>检查点拆解!F65</f>
        <v>D12.01.01</v>
      </c>
      <c r="E65" s="2">
        <f>--(COUNTIFS($A$2:A65,A65,$D$2:D65,D65)=1)</f>
        <v>1</v>
      </c>
    </row>
    <row r="66" spans="1:5">
      <c r="A66" t="str">
        <f>检查点拆解!A66</f>
        <v>Q0008</v>
      </c>
      <c r="B66" t="str">
        <f>检查点拆解!D66</f>
        <v>C04</v>
      </c>
      <c r="C66" s="2">
        <f>--(COUNTIFS($A$2:A66,A66,$B$2:B66,B66)=1)</f>
        <v>1</v>
      </c>
      <c r="D66" t="str">
        <f>检查点拆解!F66</f>
        <v>D02.02.03</v>
      </c>
      <c r="E66" s="2">
        <f>--(COUNTIFS($A$2:A66,A66,$D$2:D66,D66)=1)</f>
        <v>1</v>
      </c>
    </row>
    <row r="67" spans="1:5">
      <c r="A67" t="str">
        <f>检查点拆解!A67</f>
        <v>Q0008</v>
      </c>
      <c r="B67" t="str">
        <f>检查点拆解!D67</f>
        <v>C28</v>
      </c>
      <c r="C67" s="2">
        <f>--(COUNTIFS($A$2:A67,A67,$B$2:B67,B67)=1)</f>
        <v>0</v>
      </c>
      <c r="D67" t="str">
        <f>检查点拆解!F67</f>
        <v>D13.01.01</v>
      </c>
      <c r="E67" s="2">
        <f>--(COUNTIFS($A$2:A67,A67,$D$2:D67,D67)=1)</f>
        <v>1</v>
      </c>
    </row>
    <row r="68" spans="1:5">
      <c r="A68" t="str">
        <f>检查点拆解!A68</f>
        <v>Q0008</v>
      </c>
      <c r="B68" t="str">
        <f>检查点拆解!D68</f>
        <v>C08</v>
      </c>
      <c r="C68" s="2">
        <f>--(COUNTIFS($A$2:A68,A68,$B$2:B68,B68)=1)</f>
        <v>1</v>
      </c>
      <c r="D68" t="str">
        <f>检查点拆解!F68</f>
        <v>D04.01.01</v>
      </c>
      <c r="E68" s="2">
        <f>--(COUNTIFS($A$2:A68,A68,$D$2:D68,D68)=1)</f>
        <v>1</v>
      </c>
    </row>
    <row r="69" spans="1:5">
      <c r="A69" t="str">
        <f>检查点拆解!A69</f>
        <v>Q0009</v>
      </c>
      <c r="B69" t="str">
        <f>检查点拆解!D69</f>
        <v>C30</v>
      </c>
      <c r="C69" s="2">
        <f>--(COUNTIFS($A$2:A69,A69,$B$2:B69,B69)=1)</f>
        <v>1</v>
      </c>
      <c r="D69" t="str">
        <f>检查点拆解!F69</f>
        <v>D15.01.02</v>
      </c>
      <c r="E69" s="2">
        <f>--(COUNTIFS($A$2:A69,A69,$D$2:D69,D69)=1)</f>
        <v>1</v>
      </c>
    </row>
    <row r="70" spans="1:5">
      <c r="A70" t="str">
        <f>检查点拆解!A70</f>
        <v>Q0009</v>
      </c>
      <c r="B70" t="str">
        <f>检查点拆解!D70</f>
        <v>C30</v>
      </c>
      <c r="C70" s="2">
        <f>--(COUNTIFS($A$2:A70,A70,$B$2:B70,B70)=1)</f>
        <v>0</v>
      </c>
      <c r="D70" t="str">
        <f>检查点拆解!F70</f>
        <v>D15.02.01</v>
      </c>
      <c r="E70" s="2">
        <f>--(COUNTIFS($A$2:A70,A70,$D$2:D70,D70)=1)</f>
        <v>1</v>
      </c>
    </row>
    <row r="71" spans="1:5">
      <c r="A71" t="str">
        <f>检查点拆解!A71</f>
        <v>Q0009</v>
      </c>
      <c r="B71" t="str">
        <f>检查点拆解!D71</f>
        <v>C30</v>
      </c>
      <c r="C71" s="2">
        <f>--(COUNTIFS($A$2:A71,A71,$B$2:B71,B71)=1)</f>
        <v>0</v>
      </c>
      <c r="D71" t="str">
        <f>检查点拆解!F71</f>
        <v>D15.01.03</v>
      </c>
      <c r="E71" s="2">
        <f>--(COUNTIFS($A$2:A71,A71,$D$2:D71,D71)=1)</f>
        <v>1</v>
      </c>
    </row>
    <row r="72" spans="1:5">
      <c r="A72" t="str">
        <f>检查点拆解!A72</f>
        <v>Q0009</v>
      </c>
      <c r="B72" t="str">
        <f>检查点拆解!D72</f>
        <v>C25</v>
      </c>
      <c r="C72" s="2">
        <f>--(COUNTIFS($A$2:A72,A72,$B$2:B72,B72)=1)</f>
        <v>1</v>
      </c>
      <c r="D72" t="str">
        <f>检查点拆解!F72</f>
        <v>D10.01.01</v>
      </c>
      <c r="E72" s="2">
        <f>--(COUNTIFS($A$2:A72,A72,$D$2:D72,D72)=1)</f>
        <v>1</v>
      </c>
    </row>
    <row r="73" spans="1:5">
      <c r="A73" t="str">
        <f>检查点拆解!A73</f>
        <v>Q0009</v>
      </c>
      <c r="B73" t="str">
        <f>检查点拆解!D73</f>
        <v>C05</v>
      </c>
      <c r="C73" s="2">
        <f>--(COUNTIFS($A$2:A73,A73,$B$2:B73,B73)=1)</f>
        <v>1</v>
      </c>
      <c r="D73" t="str">
        <f>检查点拆解!F73</f>
        <v>D02.03.02</v>
      </c>
      <c r="E73" s="2">
        <f>--(COUNTIFS($A$2:A73,A73,$D$2:D73,D73)=1)</f>
        <v>1</v>
      </c>
    </row>
    <row r="74" spans="1:5">
      <c r="A74" t="str">
        <f>检查点拆解!A74</f>
        <v>Q0010</v>
      </c>
      <c r="B74" t="str">
        <f>检查点拆解!D74</f>
        <v>C24</v>
      </c>
      <c r="C74" s="2">
        <f>--(COUNTIFS($A$2:A74,A74,$B$2:B74,B74)=1)</f>
        <v>1</v>
      </c>
      <c r="D74" t="str">
        <f>检查点拆解!F74</f>
        <v>D09.02.02</v>
      </c>
      <c r="E74" s="2">
        <f>--(COUNTIFS($A$2:A74,A74,$D$2:D74,D74)=1)</f>
        <v>1</v>
      </c>
    </row>
    <row r="75" spans="1:5">
      <c r="A75" t="str">
        <f>检查点拆解!A75</f>
        <v>Q0010</v>
      </c>
      <c r="B75" t="str">
        <f>检查点拆解!D75</f>
        <v>C25</v>
      </c>
      <c r="C75" s="2">
        <f>--(COUNTIFS($A$2:A75,A75,$B$2:B75,B75)=1)</f>
        <v>1</v>
      </c>
      <c r="D75" t="str">
        <f>检查点拆解!F75</f>
        <v>D10.01.01</v>
      </c>
      <c r="E75" s="2">
        <f>--(COUNTIFS($A$2:A75,A75,$D$2:D75,D75)=1)</f>
        <v>1</v>
      </c>
    </row>
    <row r="76" spans="1:5">
      <c r="A76" t="str">
        <f>检查点拆解!A76</f>
        <v>Q0010</v>
      </c>
      <c r="B76" t="str">
        <f>检查点拆解!D76</f>
        <v>C23</v>
      </c>
      <c r="C76" s="2">
        <f>--(COUNTIFS($A$2:A76,A76,$B$2:B76,B76)=1)</f>
        <v>1</v>
      </c>
      <c r="D76" t="str">
        <f>检查点拆解!F76</f>
        <v>D09.01.01</v>
      </c>
      <c r="E76" s="2">
        <f>--(COUNTIFS($A$2:A76,A76,$D$2:D76,D76)=1)</f>
        <v>1</v>
      </c>
    </row>
    <row r="77" spans="1:5">
      <c r="A77" t="str">
        <f>检查点拆解!A77</f>
        <v>Q0010</v>
      </c>
      <c r="B77" t="str">
        <f>检查点拆解!D77</f>
        <v>C05</v>
      </c>
      <c r="C77" s="2">
        <f>--(COUNTIFS($A$2:A77,A77,$B$2:B77,B77)=1)</f>
        <v>1</v>
      </c>
      <c r="D77" t="str">
        <f>检查点拆解!F77</f>
        <v>D02.03.01</v>
      </c>
      <c r="E77" s="2">
        <f>--(COUNTIFS($A$2:A77,A77,$D$2:D77,D77)=1)</f>
        <v>1</v>
      </c>
    </row>
    <row r="78" spans="1:5">
      <c r="A78" t="str">
        <f>检查点拆解!A78</f>
        <v>Q0011</v>
      </c>
      <c r="B78" t="str">
        <f>检查点拆解!D78</f>
        <v>C30</v>
      </c>
      <c r="C78" s="2">
        <f>--(COUNTIFS($A$2:A78,A78,$B$2:B78,B78)=1)</f>
        <v>1</v>
      </c>
      <c r="D78" t="str">
        <f>检查点拆解!F78</f>
        <v>D15.01.02</v>
      </c>
      <c r="E78" s="2">
        <f>--(COUNTIFS($A$2:A78,A78,$D$2:D78,D78)=1)</f>
        <v>1</v>
      </c>
    </row>
    <row r="79" spans="1:5">
      <c r="A79" t="str">
        <f>检查点拆解!A79</f>
        <v>Q0011</v>
      </c>
      <c r="B79" t="str">
        <f>检查点拆解!D79</f>
        <v>C18</v>
      </c>
      <c r="C79" s="2">
        <f>--(COUNTIFS($A$2:A79,A79,$B$2:B79,B79)=1)</f>
        <v>1</v>
      </c>
      <c r="D79" t="str">
        <f>检查点拆解!F79</f>
        <v>D07.01.02</v>
      </c>
      <c r="E79" s="2">
        <f>--(COUNTIFS($A$2:A79,A79,$D$2:D79,D79)=1)</f>
        <v>1</v>
      </c>
    </row>
    <row r="80" spans="1:5">
      <c r="A80" t="str">
        <f>检查点拆解!A80</f>
        <v>Q0011</v>
      </c>
      <c r="B80" t="str">
        <f>检查点拆解!D80</f>
        <v>C27</v>
      </c>
      <c r="C80" s="2">
        <f>--(COUNTIFS($A$2:A80,A80,$B$2:B80,B80)=1)</f>
        <v>1</v>
      </c>
      <c r="D80" t="str">
        <f>检查点拆解!F80</f>
        <v>D11.02.01</v>
      </c>
      <c r="E80" s="2">
        <f>--(COUNTIFS($A$2:A80,A80,$D$2:D80,D80)=1)</f>
        <v>1</v>
      </c>
    </row>
    <row r="81" spans="1:5">
      <c r="A81" t="str">
        <f>检查点拆解!A81</f>
        <v>Q0011</v>
      </c>
      <c r="B81" t="str">
        <f>检查点拆解!D81</f>
        <v>C17</v>
      </c>
      <c r="C81" s="2">
        <f>--(COUNTIFS($A$2:A81,A81,$B$2:B81,B81)=1)</f>
        <v>1</v>
      </c>
      <c r="D81" t="str">
        <f>检查点拆解!F81</f>
        <v>D06.03.01</v>
      </c>
      <c r="E81" s="2">
        <f>--(COUNTIFS($A$2:A81,A81,$D$2:D81,D81)=1)</f>
        <v>1</v>
      </c>
    </row>
    <row r="82" spans="1:5">
      <c r="A82" t="str">
        <f>检查点拆解!A82</f>
        <v>Q0011</v>
      </c>
      <c r="B82" t="str">
        <f>检查点拆解!D82</f>
        <v>C30</v>
      </c>
      <c r="C82" s="2">
        <f>--(COUNTIFS($A$2:A82,A82,$B$2:B82,B82)=1)</f>
        <v>0</v>
      </c>
      <c r="D82" t="str">
        <f>检查点拆解!F82</f>
        <v>D15.01.03</v>
      </c>
      <c r="E82" s="2">
        <f>--(COUNTIFS($A$2:A82,A82,$D$2:D82,D82)=1)</f>
        <v>1</v>
      </c>
    </row>
    <row r="83" spans="1:5">
      <c r="A83" t="str">
        <f>检查点拆解!A83</f>
        <v>Q0011</v>
      </c>
      <c r="B83" t="str">
        <f>检查点拆解!D83</f>
        <v>C24</v>
      </c>
      <c r="C83" s="2">
        <f>--(COUNTIFS($A$2:A83,A83,$B$2:B83,B83)=1)</f>
        <v>1</v>
      </c>
      <c r="D83" t="str">
        <f>检查点拆解!F83</f>
        <v>D09.02.03</v>
      </c>
      <c r="E83" s="2">
        <f>--(COUNTIFS($A$2:A83,A83,$D$2:D83,D83)=1)</f>
        <v>1</v>
      </c>
    </row>
    <row r="84" spans="1:5">
      <c r="A84" t="str">
        <f>检查点拆解!A84</f>
        <v>Q0011</v>
      </c>
      <c r="B84" t="str">
        <f>检查点拆解!D84</f>
        <v>C15</v>
      </c>
      <c r="C84" s="2">
        <f>--(COUNTIFS($A$2:A84,A84,$B$2:B84,B84)=1)</f>
        <v>1</v>
      </c>
      <c r="D84" t="str">
        <f>检查点拆解!F84</f>
        <v>D05.02.02</v>
      </c>
      <c r="E84" s="2">
        <f>--(COUNTIFS($A$2:A84,A84,$D$2:D84,D84)=1)</f>
        <v>1</v>
      </c>
    </row>
    <row r="85" spans="1:5">
      <c r="A85" t="str">
        <f>检查点拆解!A85</f>
        <v>Q0011</v>
      </c>
      <c r="B85" t="str">
        <f>检查点拆解!D85</f>
        <v>C25</v>
      </c>
      <c r="C85" s="2">
        <f>--(COUNTIFS($A$2:A85,A85,$B$2:B85,B85)=1)</f>
        <v>1</v>
      </c>
      <c r="D85" t="str">
        <f>检查点拆解!F85</f>
        <v>D10.01.01</v>
      </c>
      <c r="E85" s="2">
        <f>--(COUNTIFS($A$2:A85,A85,$D$2:D85,D85)=1)</f>
        <v>1</v>
      </c>
    </row>
    <row r="86" spans="1:5">
      <c r="A86" t="str">
        <f>检查点拆解!A86</f>
        <v>Q0012</v>
      </c>
      <c r="B86" t="str">
        <f>检查点拆解!D86</f>
        <v>C18</v>
      </c>
      <c r="C86" s="2">
        <f>--(COUNTIFS($A$2:A86,A86,$B$2:B86,B86)=1)</f>
        <v>1</v>
      </c>
      <c r="D86" t="str">
        <f>检查点拆解!F86</f>
        <v>D07.01.02</v>
      </c>
      <c r="E86" s="2">
        <f>--(COUNTIFS($A$2:A86,A86,$D$2:D86,D86)=1)</f>
        <v>1</v>
      </c>
    </row>
    <row r="87" spans="1:5">
      <c r="A87" t="str">
        <f>检查点拆解!A87</f>
        <v>Q0012</v>
      </c>
      <c r="B87" t="str">
        <f>检查点拆解!D87</f>
        <v>C27</v>
      </c>
      <c r="C87" s="2">
        <f>--(COUNTIFS($A$2:A87,A87,$B$2:B87,B87)=1)</f>
        <v>1</v>
      </c>
      <c r="D87" t="str">
        <f>检查点拆解!F87</f>
        <v>D11.01.01</v>
      </c>
      <c r="E87" s="2">
        <f>--(COUNTIFS($A$2:A87,A87,$D$2:D87,D87)=1)</f>
        <v>1</v>
      </c>
    </row>
    <row r="88" spans="1:5">
      <c r="A88" t="str">
        <f>检查点拆解!A88</f>
        <v>Q0012</v>
      </c>
      <c r="B88" t="str">
        <f>检查点拆解!D88</f>
        <v>C06</v>
      </c>
      <c r="C88" s="2">
        <f>--(COUNTIFS($A$2:A88,A88,$B$2:B88,B88)=1)</f>
        <v>1</v>
      </c>
      <c r="D88" t="str">
        <f>检查点拆解!F88</f>
        <v>D03.01.03</v>
      </c>
      <c r="E88" s="2">
        <f>--(COUNTIFS($A$2:A88,A88,$D$2:D88,D88)=1)</f>
        <v>1</v>
      </c>
    </row>
    <row r="89" spans="1:5">
      <c r="A89" t="str">
        <f>检查点拆解!A89</f>
        <v>Q0012</v>
      </c>
      <c r="B89" t="str">
        <f>检查点拆解!D89</f>
        <v>C24</v>
      </c>
      <c r="C89" s="2">
        <f>--(COUNTIFS($A$2:A89,A89,$B$2:B89,B89)=1)</f>
        <v>1</v>
      </c>
      <c r="D89" t="str">
        <f>检查点拆解!F89</f>
        <v>D09.02.03</v>
      </c>
      <c r="E89" s="2">
        <f>--(COUNTIFS($A$2:A89,A89,$D$2:D89,D89)=1)</f>
        <v>1</v>
      </c>
    </row>
    <row r="90" spans="1:5">
      <c r="A90" t="str">
        <f>检查点拆解!A90</f>
        <v>Q0012</v>
      </c>
      <c r="B90" t="str">
        <f>检查点拆解!D90</f>
        <v>C25</v>
      </c>
      <c r="C90" s="2">
        <f>--(COUNTIFS($A$2:A90,A90,$B$2:B90,B90)=1)</f>
        <v>1</v>
      </c>
      <c r="D90" t="str">
        <f>检查点拆解!F90</f>
        <v>D10.01.01</v>
      </c>
      <c r="E90" s="2">
        <f>--(COUNTIFS($A$2:A90,A90,$D$2:D90,D90)=1)</f>
        <v>1</v>
      </c>
    </row>
    <row r="91" spans="1:5">
      <c r="A91" t="str">
        <f>检查点拆解!A91</f>
        <v>Q0012</v>
      </c>
      <c r="B91" t="str">
        <f>检查点拆解!D91</f>
        <v>C09</v>
      </c>
      <c r="C91" s="2">
        <f>--(COUNTIFS($A$2:A91,A91,$B$2:B91,B91)=1)</f>
        <v>1</v>
      </c>
      <c r="D91" t="str">
        <f>检查点拆解!F91</f>
        <v>D04.02.02</v>
      </c>
      <c r="E91" s="2">
        <f>--(COUNTIFS($A$2:A91,A91,$D$2:D91,D91)=1)</f>
        <v>1</v>
      </c>
    </row>
    <row r="92" spans="1:5">
      <c r="A92" t="str">
        <f>检查点拆解!A92</f>
        <v>Q0012</v>
      </c>
      <c r="B92" t="str">
        <f>检查点拆解!D92</f>
        <v>C28</v>
      </c>
      <c r="C92" s="2">
        <f>--(COUNTIFS($A$2:A92,A92,$B$2:B92,B92)=1)</f>
        <v>1</v>
      </c>
      <c r="D92" t="str">
        <f>检查点拆解!F92</f>
        <v>D12.02.02</v>
      </c>
      <c r="E92" s="2">
        <f>--(COUNTIFS($A$2:A92,A92,$D$2:D92,D92)=1)</f>
        <v>1</v>
      </c>
    </row>
    <row r="93" spans="1:5">
      <c r="A93" t="str">
        <f>检查点拆解!A93</f>
        <v>Q0012</v>
      </c>
      <c r="B93" t="str">
        <f>检查点拆解!D93</f>
        <v>C28</v>
      </c>
      <c r="C93" s="2">
        <f>--(COUNTIFS($A$2:A93,A93,$B$2:B93,B93)=1)</f>
        <v>0</v>
      </c>
      <c r="D93" t="str">
        <f>检查点拆解!F93</f>
        <v>D12.01.02</v>
      </c>
      <c r="E93" s="2">
        <f>--(COUNTIFS($A$2:A93,A93,$D$2:D93,D93)=1)</f>
        <v>1</v>
      </c>
    </row>
    <row r="94" spans="1:5">
      <c r="A94" t="str">
        <f>检查点拆解!A94</f>
        <v>Q0013</v>
      </c>
      <c r="B94" t="str">
        <f>检查点拆解!D94</f>
        <v>C24</v>
      </c>
      <c r="C94" s="2">
        <f>--(COUNTIFS($A$2:A94,A94,$B$2:B94,B94)=1)</f>
        <v>1</v>
      </c>
      <c r="D94" t="str">
        <f>检查点拆解!F94</f>
        <v>D09.02.01</v>
      </c>
      <c r="E94" s="2">
        <f>--(COUNTIFS($A$2:A94,A94,$D$2:D94,D94)=1)</f>
        <v>1</v>
      </c>
    </row>
    <row r="95" spans="1:5">
      <c r="A95" t="str">
        <f>检查点拆解!A95</f>
        <v>Q0013</v>
      </c>
      <c r="B95" t="str">
        <f>检查点拆解!D95</f>
        <v>C28</v>
      </c>
      <c r="C95" s="2">
        <f>--(COUNTIFS($A$2:A95,A95,$B$2:B95,B95)=1)</f>
        <v>1</v>
      </c>
      <c r="D95" t="str">
        <f>检查点拆解!F95</f>
        <v>D12.02.02</v>
      </c>
      <c r="E95" s="2">
        <f>--(COUNTIFS($A$2:A95,A95,$D$2:D95,D95)=1)</f>
        <v>1</v>
      </c>
    </row>
    <row r="96" spans="1:5">
      <c r="A96" t="str">
        <f>检查点拆解!A96</f>
        <v>Q0013</v>
      </c>
      <c r="B96" t="str">
        <f>检查点拆解!D96</f>
        <v>C28</v>
      </c>
      <c r="C96" s="2">
        <f>--(COUNTIFS($A$2:A96,A96,$B$2:B96,B96)=1)</f>
        <v>0</v>
      </c>
      <c r="D96" t="str">
        <f>检查点拆解!F96</f>
        <v>D12.01.01</v>
      </c>
      <c r="E96" s="2">
        <f>--(COUNTIFS($A$2:A96,A96,$D$2:D96,D96)=1)</f>
        <v>1</v>
      </c>
    </row>
    <row r="97" spans="1:5">
      <c r="A97" t="str">
        <f>检查点拆解!A97</f>
        <v>Q0013</v>
      </c>
      <c r="B97" t="str">
        <f>检查点拆解!D97</f>
        <v>C07</v>
      </c>
      <c r="C97" s="2">
        <f>--(COUNTIFS($A$2:A97,A97,$B$2:B97,B97)=1)</f>
        <v>1</v>
      </c>
      <c r="D97" t="str">
        <f>检查点拆解!F97</f>
        <v>D03.02.03</v>
      </c>
      <c r="E97" s="2">
        <f>--(COUNTIFS($A$2:A97,A97,$D$2:D97,D97)=1)</f>
        <v>1</v>
      </c>
    </row>
    <row r="98" spans="1:5">
      <c r="A98" t="str">
        <f>检查点拆解!A98</f>
        <v>Q0013</v>
      </c>
      <c r="B98" t="str">
        <f>检查点拆解!D98</f>
        <v>C06</v>
      </c>
      <c r="C98" s="2">
        <f>--(COUNTIFS($A$2:A98,A98,$B$2:B98,B98)=1)</f>
        <v>1</v>
      </c>
      <c r="D98" t="str">
        <f>检查点拆解!F98</f>
        <v>D03.01.01</v>
      </c>
      <c r="E98" s="2">
        <f>--(COUNTIFS($A$2:A98,A98,$D$2:D98,D98)=1)</f>
        <v>1</v>
      </c>
    </row>
    <row r="99" spans="1:5">
      <c r="A99" t="str">
        <f>检查点拆解!A99</f>
        <v>Q0013</v>
      </c>
      <c r="B99" t="str">
        <f>检查点拆解!D99</f>
        <v>C03</v>
      </c>
      <c r="C99" s="2">
        <f>--(COUNTIFS($A$2:A99,A99,$B$2:B99,B99)=1)</f>
        <v>1</v>
      </c>
      <c r="D99" t="str">
        <f>检查点拆解!F99</f>
        <v>D02.01.01</v>
      </c>
      <c r="E99" s="2">
        <f>--(COUNTIFS($A$2:A99,A99,$D$2:D99,D99)=1)</f>
        <v>1</v>
      </c>
    </row>
    <row r="100" spans="1:5">
      <c r="A100" t="str">
        <f>检查点拆解!A100</f>
        <v>Q0013</v>
      </c>
      <c r="B100" t="str">
        <f>检查点拆解!D100</f>
        <v>C08</v>
      </c>
      <c r="C100" s="2">
        <f>--(COUNTIFS($A$2:A100,A100,$B$2:B100,B100)=1)</f>
        <v>1</v>
      </c>
      <c r="D100" t="str">
        <f>检查点拆解!F100</f>
        <v>D03.03.01</v>
      </c>
      <c r="E100" s="2">
        <f>--(COUNTIFS($A$2:A100,A100,$D$2:D100,D100)=1)</f>
        <v>1</v>
      </c>
    </row>
    <row r="101" spans="1:5">
      <c r="A101" t="str">
        <f>检查点拆解!A101</f>
        <v>Q0014</v>
      </c>
      <c r="B101" t="str">
        <f>检查点拆解!D101</f>
        <v>C18</v>
      </c>
      <c r="C101" s="2">
        <f>--(COUNTIFS($A$2:A101,A101,$B$2:B101,B101)=1)</f>
        <v>1</v>
      </c>
      <c r="D101" t="str">
        <f>检查点拆解!F101</f>
        <v>D07.01.02</v>
      </c>
      <c r="E101" s="2">
        <f>--(COUNTIFS($A$2:A101,A101,$D$2:D101,D101)=1)</f>
        <v>1</v>
      </c>
    </row>
    <row r="102" spans="1:5">
      <c r="A102" t="str">
        <f>检查点拆解!A102</f>
        <v>Q0014</v>
      </c>
      <c r="B102" t="str">
        <f>检查点拆解!D102</f>
        <v>C28</v>
      </c>
      <c r="C102" s="2">
        <f>--(COUNTIFS($A$2:A102,A102,$B$2:B102,B102)=1)</f>
        <v>1</v>
      </c>
      <c r="D102" t="str">
        <f>检查点拆解!F102</f>
        <v>D12.01.01</v>
      </c>
      <c r="E102" s="2">
        <f>--(COUNTIFS($A$2:A102,A102,$D$2:D102,D102)=1)</f>
        <v>1</v>
      </c>
    </row>
    <row r="103" spans="1:5">
      <c r="A103" t="str">
        <f>检查点拆解!A103</f>
        <v>Q0014</v>
      </c>
      <c r="B103" t="str">
        <f>检查点拆解!D103</f>
        <v>C03</v>
      </c>
      <c r="C103" s="2">
        <f>--(COUNTIFS($A$2:A103,A103,$B$2:B103,B103)=1)</f>
        <v>1</v>
      </c>
      <c r="D103" t="str">
        <f>检查点拆解!F103</f>
        <v>D02.01.01</v>
      </c>
      <c r="E103" s="2">
        <f>--(COUNTIFS($A$2:A103,A103,$D$2:D103,D103)=1)</f>
        <v>1</v>
      </c>
    </row>
    <row r="104" spans="1:5">
      <c r="A104" t="str">
        <f>检查点拆解!A104</f>
        <v>Q0014</v>
      </c>
      <c r="B104" t="str">
        <f>检查点拆解!D104</f>
        <v>C08</v>
      </c>
      <c r="C104" s="2">
        <f>--(COUNTIFS($A$2:A104,A104,$B$2:B104,B104)=1)</f>
        <v>1</v>
      </c>
      <c r="D104" t="str">
        <f>检查点拆解!F104</f>
        <v>D03.03.01</v>
      </c>
      <c r="E104" s="2">
        <f>--(COUNTIFS($A$2:A104,A104,$D$2:D104,D104)=1)</f>
        <v>1</v>
      </c>
    </row>
    <row r="105" spans="1:5">
      <c r="A105" t="str">
        <f>检查点拆解!A105</f>
        <v>Q0015</v>
      </c>
      <c r="B105" t="str">
        <f>检查点拆解!D105</f>
        <v>C09</v>
      </c>
      <c r="C105" s="2">
        <f>--(COUNTIFS($A$2:A105,A105,$B$2:B105,B105)=1)</f>
        <v>1</v>
      </c>
      <c r="D105" t="str">
        <f>检查点拆解!F105</f>
        <v>D04.02.01</v>
      </c>
      <c r="E105" s="2">
        <f>--(COUNTIFS($A$2:A105,A105,$D$2:D105,D105)=1)</f>
        <v>1</v>
      </c>
    </row>
    <row r="106" spans="1:5">
      <c r="A106" t="str">
        <f>检查点拆解!A106</f>
        <v>Q0015</v>
      </c>
      <c r="B106" t="str">
        <f>检查点拆解!D106</f>
        <v>C03</v>
      </c>
      <c r="C106" s="2">
        <f>--(COUNTIFS($A$2:A106,A106,$B$2:B106,B106)=1)</f>
        <v>1</v>
      </c>
      <c r="D106" t="str">
        <f>检查点拆解!F106</f>
        <v>D02.01.03</v>
      </c>
      <c r="E106" s="2">
        <f>--(COUNTIFS($A$2:A106,A106,$D$2:D106,D106)=1)</f>
        <v>1</v>
      </c>
    </row>
    <row r="107" spans="1:5">
      <c r="A107" t="str">
        <f>检查点拆解!A107</f>
        <v>Q0015</v>
      </c>
      <c r="B107" t="str">
        <f>检查点拆解!D107</f>
        <v>C14</v>
      </c>
      <c r="C107" s="2">
        <f>--(COUNTIFS($A$2:A107,A107,$B$2:B107,B107)=1)</f>
        <v>1</v>
      </c>
      <c r="D107" t="str">
        <f>检查点拆解!F107</f>
        <v>D05.01.01</v>
      </c>
      <c r="E107" s="2">
        <f>--(COUNTIFS($A$2:A107,A107,$D$2:D107,D107)=1)</f>
        <v>1</v>
      </c>
    </row>
    <row r="108" spans="1:5">
      <c r="A108" t="str">
        <f>检查点拆解!A108</f>
        <v>Q0015</v>
      </c>
      <c r="B108" t="str">
        <f>检查点拆解!D108</f>
        <v>C05</v>
      </c>
      <c r="C108" s="2">
        <f>--(COUNTIFS($A$2:A108,A108,$B$2:B108,B108)=1)</f>
        <v>1</v>
      </c>
      <c r="D108" t="str">
        <f>检查点拆解!F108</f>
        <v>D02.03.02</v>
      </c>
      <c r="E108" s="2">
        <f>--(COUNTIFS($A$2:A108,A108,$D$2:D108,D108)=1)</f>
        <v>1</v>
      </c>
    </row>
    <row r="109" spans="1:5">
      <c r="A109" t="str">
        <f>检查点拆解!A109</f>
        <v>Q0015</v>
      </c>
      <c r="B109" t="str">
        <f>检查点拆解!D109</f>
        <v>C08</v>
      </c>
      <c r="C109" s="2">
        <f>--(COUNTIFS($A$2:A109,A109,$B$2:B109,B109)=1)</f>
        <v>1</v>
      </c>
      <c r="D109" t="str">
        <f>检查点拆解!F109</f>
        <v>D03.03.01</v>
      </c>
      <c r="E109" s="2">
        <f>--(COUNTIFS($A$2:A109,A109,$D$2:D109,D109)=1)</f>
        <v>1</v>
      </c>
    </row>
    <row r="110" spans="1:5">
      <c r="A110" t="str">
        <f>检查点拆解!A110</f>
        <v>Q0016</v>
      </c>
      <c r="B110" t="str">
        <f>检查点拆解!D110</f>
        <v>C30</v>
      </c>
      <c r="C110" s="2">
        <f>--(COUNTIFS($A$2:A110,A110,$B$2:B110,B110)=1)</f>
        <v>1</v>
      </c>
      <c r="D110" t="str">
        <f>检查点拆解!F110</f>
        <v>D15.01.02</v>
      </c>
      <c r="E110" s="2">
        <f>--(COUNTIFS($A$2:A110,A110,$D$2:D110,D110)=1)</f>
        <v>1</v>
      </c>
    </row>
    <row r="111" spans="1:5">
      <c r="A111" t="str">
        <f>检查点拆解!A111</f>
        <v>Q0016</v>
      </c>
      <c r="B111" t="str">
        <f>检查点拆解!D111</f>
        <v>C24</v>
      </c>
      <c r="C111" s="2">
        <f>--(COUNTIFS($A$2:A111,A111,$B$2:B111,B111)=1)</f>
        <v>1</v>
      </c>
      <c r="D111" t="str">
        <f>检查点拆解!F111</f>
        <v>D09.02.02</v>
      </c>
      <c r="E111" s="2">
        <f>--(COUNTIFS($A$2:A111,A111,$D$2:D111,D111)=1)</f>
        <v>1</v>
      </c>
    </row>
    <row r="112" spans="1:5">
      <c r="A112" t="str">
        <f>检查点拆解!A112</f>
        <v>Q0016</v>
      </c>
      <c r="B112" t="str">
        <f>检查点拆解!D112</f>
        <v>C24</v>
      </c>
      <c r="C112" s="2">
        <f>--(COUNTIFS($A$2:A112,A112,$B$2:B112,B112)=1)</f>
        <v>0</v>
      </c>
      <c r="D112" t="str">
        <f>检查点拆解!F112</f>
        <v>D09.03.02</v>
      </c>
      <c r="E112" s="2">
        <f>--(COUNTIFS($A$2:A112,A112,$D$2:D112,D112)=1)</f>
        <v>1</v>
      </c>
    </row>
    <row r="113" spans="1:5">
      <c r="A113" t="str">
        <f>检查点拆解!A113</f>
        <v>Q0016</v>
      </c>
      <c r="B113" t="str">
        <f>检查点拆解!D113</f>
        <v>C27</v>
      </c>
      <c r="C113" s="2">
        <f>--(COUNTIFS($A$2:A113,A113,$B$2:B113,B113)=1)</f>
        <v>1</v>
      </c>
      <c r="D113" t="str">
        <f>检查点拆解!F113</f>
        <v>D11.02.03</v>
      </c>
      <c r="E113" s="2">
        <f>--(COUNTIFS($A$2:A113,A113,$D$2:D113,D113)=1)</f>
        <v>1</v>
      </c>
    </row>
    <row r="114" spans="1:5">
      <c r="A114" t="str">
        <f>检查点拆解!A114</f>
        <v>Q0016</v>
      </c>
      <c r="B114" t="str">
        <f>检查点拆解!D114</f>
        <v>C30</v>
      </c>
      <c r="C114" s="2">
        <f>--(COUNTIFS($A$2:A114,A114,$B$2:B114,B114)=1)</f>
        <v>0</v>
      </c>
      <c r="D114" t="str">
        <f>检查点拆解!F114</f>
        <v>D15.01.03</v>
      </c>
      <c r="E114" s="2">
        <f>--(COUNTIFS($A$2:A114,A114,$D$2:D114,D114)=1)</f>
        <v>1</v>
      </c>
    </row>
    <row r="115" spans="1:5">
      <c r="A115" t="str">
        <f>检查点拆解!A115</f>
        <v>Q0016</v>
      </c>
      <c r="B115" t="str">
        <f>检查点拆解!D115</f>
        <v>C27</v>
      </c>
      <c r="C115" s="2">
        <f>--(COUNTIFS($A$2:A115,A115,$B$2:B115,B115)=1)</f>
        <v>0</v>
      </c>
      <c r="D115" t="str">
        <f>检查点拆解!F115</f>
        <v>D11.01.02</v>
      </c>
      <c r="E115" s="2">
        <f>--(COUNTIFS($A$2:A115,A115,$D$2:D115,D115)=1)</f>
        <v>1</v>
      </c>
    </row>
    <row r="116" spans="1:5">
      <c r="A116" t="str">
        <f>检查点拆解!A116</f>
        <v>Q0016</v>
      </c>
      <c r="B116" t="str">
        <f>检查点拆解!D116</f>
        <v>C24</v>
      </c>
      <c r="C116" s="2">
        <f>--(COUNTIFS($A$2:A116,A116,$B$2:B116,B116)=1)</f>
        <v>0</v>
      </c>
      <c r="D116" t="str">
        <f>检查点拆解!F116</f>
        <v>D09.03.03</v>
      </c>
      <c r="E116" s="2">
        <f>--(COUNTIFS($A$2:A116,A116,$D$2:D116,D116)=1)</f>
        <v>1</v>
      </c>
    </row>
    <row r="117" spans="1:5">
      <c r="A117" t="str">
        <f>检查点拆解!A117</f>
        <v>Q0016</v>
      </c>
      <c r="B117" t="str">
        <f>检查点拆解!D117</f>
        <v>C24</v>
      </c>
      <c r="C117" s="2">
        <f>--(COUNTIFS($A$2:A117,A117,$B$2:B117,B117)=1)</f>
        <v>0</v>
      </c>
      <c r="D117" t="str">
        <f>检查点拆解!F117</f>
        <v>D09.02.03</v>
      </c>
      <c r="E117" s="2">
        <f>--(COUNTIFS($A$2:A117,A117,$D$2:D117,D117)=1)</f>
        <v>1</v>
      </c>
    </row>
    <row r="118" spans="1:5">
      <c r="A118" t="str">
        <f>检查点拆解!A118</f>
        <v>Q0016</v>
      </c>
      <c r="B118" t="str">
        <f>检查点拆解!D118</f>
        <v>C17</v>
      </c>
      <c r="C118" s="2">
        <f>--(COUNTIFS($A$2:A118,A118,$B$2:B118,B118)=1)</f>
        <v>1</v>
      </c>
      <c r="D118" t="str">
        <f>检查点拆解!F118</f>
        <v>D06.01.02</v>
      </c>
      <c r="E118" s="2">
        <f>--(COUNTIFS($A$2:A118,A118,$D$2:D118,D118)=1)</f>
        <v>1</v>
      </c>
    </row>
    <row r="119" spans="1:5">
      <c r="A119" t="str">
        <f>检查点拆解!A119</f>
        <v>Q0016</v>
      </c>
      <c r="B119" t="str">
        <f>检查点拆解!D119</f>
        <v>C25</v>
      </c>
      <c r="C119" s="2">
        <f>--(COUNTIFS($A$2:A119,A119,$B$2:B119,B119)=1)</f>
        <v>1</v>
      </c>
      <c r="D119" t="str">
        <f>检查点拆解!F119</f>
        <v>D10.01.01</v>
      </c>
      <c r="E119" s="2">
        <f>--(COUNTIFS($A$2:A119,A119,$D$2:D119,D119)=1)</f>
        <v>1</v>
      </c>
    </row>
    <row r="120" spans="1:5">
      <c r="A120" t="str">
        <f>检查点拆解!A120</f>
        <v>Q0016</v>
      </c>
      <c r="B120" t="str">
        <f>检查点拆解!D120</f>
        <v>C04</v>
      </c>
      <c r="C120" s="2">
        <f>--(COUNTIFS($A$2:A120,A120,$B$2:B120,B120)=1)</f>
        <v>1</v>
      </c>
      <c r="D120" t="str">
        <f>检查点拆解!F120</f>
        <v>D02.02.01</v>
      </c>
      <c r="E120" s="2">
        <f>--(COUNTIFS($A$2:A120,A120,$D$2:D120,D120)=1)</f>
        <v>1</v>
      </c>
    </row>
    <row r="121" spans="1:5">
      <c r="A121" t="str">
        <f>检查点拆解!A121</f>
        <v>Q0016</v>
      </c>
      <c r="B121" t="str">
        <f>检查点拆解!D121</f>
        <v>C17</v>
      </c>
      <c r="C121" s="2">
        <f>--(COUNTIFS($A$2:A121,A121,$B$2:B121,B121)=1)</f>
        <v>0</v>
      </c>
      <c r="D121" t="str">
        <f>检查点拆解!F121</f>
        <v>D06.03.02</v>
      </c>
      <c r="E121" s="2">
        <f>--(COUNTIFS($A$2:A121,A121,$D$2:D121,D121)=1)</f>
        <v>1</v>
      </c>
    </row>
    <row r="122" spans="1:5">
      <c r="A122" t="str">
        <f>检查点拆解!A122</f>
        <v>Q0017</v>
      </c>
      <c r="B122" t="str">
        <f>检查点拆解!D122</f>
        <v>C15</v>
      </c>
      <c r="C122" s="2">
        <f>--(COUNTIFS($A$2:A122,A122,$B$2:B122,B122)=1)</f>
        <v>1</v>
      </c>
      <c r="D122" t="str">
        <f>检查点拆解!F122</f>
        <v>D05.02.03</v>
      </c>
      <c r="E122" s="2">
        <f>--(COUNTIFS($A$2:A122,A122,$D$2:D122,D122)=1)</f>
        <v>1</v>
      </c>
    </row>
    <row r="123" spans="1:5">
      <c r="A123" t="str">
        <f>检查点拆解!A123</f>
        <v>Q0017</v>
      </c>
      <c r="B123" t="str">
        <f>检查点拆解!D123</f>
        <v>C17</v>
      </c>
      <c r="C123" s="2">
        <f>--(COUNTIFS($A$2:A123,A123,$B$2:B123,B123)=1)</f>
        <v>1</v>
      </c>
      <c r="D123" t="str">
        <f>检查点拆解!F123</f>
        <v>D06.01.03</v>
      </c>
      <c r="E123" s="2">
        <f>--(COUNTIFS($A$2:A123,A123,$D$2:D123,D123)=1)</f>
        <v>1</v>
      </c>
    </row>
    <row r="124" spans="1:5">
      <c r="A124" t="str">
        <f>检查点拆解!A124</f>
        <v>Q0017</v>
      </c>
      <c r="B124" t="str">
        <f>检查点拆解!D124</f>
        <v>C25</v>
      </c>
      <c r="C124" s="2">
        <f>--(COUNTIFS($A$2:A124,A124,$B$2:B124,B124)=1)</f>
        <v>1</v>
      </c>
      <c r="D124" t="str">
        <f>检查点拆解!F124</f>
        <v>D10.01.01</v>
      </c>
      <c r="E124" s="2">
        <f>--(COUNTIFS($A$2:A124,A124,$D$2:D124,D124)=1)</f>
        <v>1</v>
      </c>
    </row>
    <row r="125" spans="1:5">
      <c r="A125" t="str">
        <f>检查点拆解!A125</f>
        <v>Q0017</v>
      </c>
      <c r="B125" t="str">
        <f>检查点拆解!D125</f>
        <v>C25</v>
      </c>
      <c r="C125" s="2">
        <f>--(COUNTIFS($A$2:A125,A125,$B$2:B125,B125)=1)</f>
        <v>0</v>
      </c>
      <c r="D125" t="str">
        <f>检查点拆解!F125</f>
        <v>D10.01.04</v>
      </c>
      <c r="E125" s="2">
        <f>--(COUNTIFS($A$2:A125,A125,$D$2:D125,D125)=1)</f>
        <v>1</v>
      </c>
    </row>
    <row r="126" spans="1:5">
      <c r="A126" t="str">
        <f>检查点拆解!A126</f>
        <v>Q0017</v>
      </c>
      <c r="B126" t="str">
        <f>检查点拆解!D126</f>
        <v>C30</v>
      </c>
      <c r="C126" s="2">
        <f>--(COUNTIFS($A$2:A126,A126,$B$2:B126,B126)=1)</f>
        <v>1</v>
      </c>
      <c r="D126" t="str">
        <f>检查点拆解!F126</f>
        <v>D15.01.04</v>
      </c>
      <c r="E126" s="2">
        <f>--(COUNTIFS($A$2:A126,A126,$D$2:D126,D126)=1)</f>
        <v>1</v>
      </c>
    </row>
    <row r="127" spans="1:5">
      <c r="A127" t="str">
        <f>检查点拆解!A127</f>
        <v>Q0017</v>
      </c>
      <c r="B127" t="str">
        <f>检查点拆解!D127</f>
        <v>C28</v>
      </c>
      <c r="C127" s="2">
        <f>--(COUNTIFS($A$2:A127,A127,$B$2:B127,B127)=1)</f>
        <v>1</v>
      </c>
      <c r="D127" t="str">
        <f>检查点拆解!F127</f>
        <v>D12.02.01</v>
      </c>
      <c r="E127" s="2">
        <f>--(COUNTIFS($A$2:A127,A127,$D$2:D127,D127)=1)</f>
        <v>1</v>
      </c>
    </row>
    <row r="128" spans="1:5">
      <c r="A128" t="str">
        <f>检查点拆解!A128</f>
        <v>Q0017</v>
      </c>
      <c r="B128" t="str">
        <f>检查点拆解!D128</f>
        <v>C26</v>
      </c>
      <c r="C128" s="2">
        <f>--(COUNTIFS($A$2:A128,A128,$B$2:B128,B128)=1)</f>
        <v>1</v>
      </c>
      <c r="D128" t="str">
        <f>检查点拆解!F128</f>
        <v>D10.02.01</v>
      </c>
      <c r="E128" s="2">
        <f>--(COUNTIFS($A$2:A128,A128,$D$2:D128,D128)=1)</f>
        <v>1</v>
      </c>
    </row>
    <row r="129" spans="1:5">
      <c r="A129" t="str">
        <f>检查点拆解!A129</f>
        <v>Q0017</v>
      </c>
      <c r="B129" t="str">
        <f>检查点拆解!D129</f>
        <v>C04</v>
      </c>
      <c r="C129" s="2">
        <f>--(COUNTIFS($A$2:A129,A129,$B$2:B129,B129)=1)</f>
        <v>1</v>
      </c>
      <c r="D129" t="str">
        <f>检查点拆解!F129</f>
        <v>D02.02.01</v>
      </c>
      <c r="E129" s="2">
        <f>--(COUNTIFS($A$2:A129,A129,$D$2:D129,D129)=1)</f>
        <v>1</v>
      </c>
    </row>
    <row r="130" spans="1:5">
      <c r="A130" t="str">
        <f>检查点拆解!A130</f>
        <v>Q0018</v>
      </c>
      <c r="B130" t="str">
        <f>检查点拆解!D130</f>
        <v>C30</v>
      </c>
      <c r="C130" s="2">
        <f>--(COUNTIFS($A$2:A130,A130,$B$2:B130,B130)=1)</f>
        <v>1</v>
      </c>
      <c r="D130" t="str">
        <f>检查点拆解!F130</f>
        <v>D15.01.02</v>
      </c>
      <c r="E130" s="2">
        <f>--(COUNTIFS($A$2:A130,A130,$D$2:D130,D130)=1)</f>
        <v>1</v>
      </c>
    </row>
    <row r="131" spans="1:5">
      <c r="A131" t="str">
        <f>检查点拆解!A131</f>
        <v>Q0018</v>
      </c>
      <c r="B131" t="str">
        <f>检查点拆解!D131</f>
        <v>C17</v>
      </c>
      <c r="C131" s="2">
        <f>--(COUNTIFS($A$2:A131,A131,$B$2:B131,B131)=1)</f>
        <v>1</v>
      </c>
      <c r="D131" t="str">
        <f>检查点拆解!F131</f>
        <v>D06.01.02</v>
      </c>
      <c r="E131" s="2">
        <f>--(COUNTIFS($A$2:A131,A131,$D$2:D131,D131)=1)</f>
        <v>1</v>
      </c>
    </row>
    <row r="132" spans="1:5">
      <c r="A132" t="str">
        <f>检查点拆解!A132</f>
        <v>Q0018</v>
      </c>
      <c r="B132" t="str">
        <f>检查点拆解!D132</f>
        <v>C30</v>
      </c>
      <c r="C132" s="2">
        <f>--(COUNTIFS($A$2:A132,A132,$B$2:B132,B132)=1)</f>
        <v>0</v>
      </c>
      <c r="D132" t="str">
        <f>检查点拆解!F132</f>
        <v>D15.01.04</v>
      </c>
      <c r="E132" s="2">
        <f>--(COUNTIFS($A$2:A132,A132,$D$2:D132,D132)=1)</f>
        <v>1</v>
      </c>
    </row>
    <row r="133" spans="1:5">
      <c r="A133" t="str">
        <f>检查点拆解!A133</f>
        <v>Q0018</v>
      </c>
      <c r="B133" t="str">
        <f>检查点拆解!D133</f>
        <v>C06</v>
      </c>
      <c r="C133" s="2">
        <f>--(COUNTIFS($A$2:A133,A133,$B$2:B133,B133)=1)</f>
        <v>1</v>
      </c>
      <c r="D133" t="str">
        <f>检查点拆解!F133</f>
        <v>D03.01.02</v>
      </c>
      <c r="E133" s="2">
        <f>--(COUNTIFS($A$2:A133,A133,$D$2:D133,D133)=1)</f>
        <v>1</v>
      </c>
    </row>
    <row r="134" spans="1:5">
      <c r="A134" t="str">
        <f>检查点拆解!A134</f>
        <v>Q0018</v>
      </c>
      <c r="B134" t="str">
        <f>检查点拆解!D134</f>
        <v>C04</v>
      </c>
      <c r="C134" s="2">
        <f>--(COUNTIFS($A$2:A134,A134,$B$2:B134,B134)=1)</f>
        <v>1</v>
      </c>
      <c r="D134" t="str">
        <f>检查点拆解!F134</f>
        <v>D02.02.01</v>
      </c>
      <c r="E134" s="2">
        <f>--(COUNTIFS($A$2:A134,A134,$D$2:D134,D134)=1)</f>
        <v>1</v>
      </c>
    </row>
    <row r="135" spans="1:5">
      <c r="A135" t="str">
        <f>检查点拆解!A135</f>
        <v>Q0019</v>
      </c>
      <c r="B135" t="str">
        <f>检查点拆解!D135</f>
        <v>C30</v>
      </c>
      <c r="C135" s="2">
        <f>--(COUNTIFS($A$2:A135,A135,$B$2:B135,B135)=1)</f>
        <v>1</v>
      </c>
      <c r="D135" t="str">
        <f>检查点拆解!F135</f>
        <v>D15.01.02</v>
      </c>
      <c r="E135" s="2">
        <f>--(COUNTIFS($A$2:A135,A135,$D$2:D135,D135)=1)</f>
        <v>1</v>
      </c>
    </row>
    <row r="136" spans="1:5">
      <c r="A136" t="str">
        <f>检查点拆解!A136</f>
        <v>Q0019</v>
      </c>
      <c r="B136" t="str">
        <f>检查点拆解!D136</f>
        <v>C27</v>
      </c>
      <c r="C136" s="2">
        <f>--(COUNTIFS($A$2:A136,A136,$B$2:B136,B136)=1)</f>
        <v>1</v>
      </c>
      <c r="D136" t="str">
        <f>检查点拆解!F136</f>
        <v>D11.02.01</v>
      </c>
      <c r="E136" s="2">
        <f>--(COUNTIFS($A$2:A136,A136,$D$2:D136,D136)=1)</f>
        <v>1</v>
      </c>
    </row>
    <row r="137" spans="1:5">
      <c r="A137" t="str">
        <f>检查点拆解!A137</f>
        <v>Q0019</v>
      </c>
      <c r="B137" t="str">
        <f>检查点拆解!D137</f>
        <v>C27</v>
      </c>
      <c r="C137" s="2">
        <f>--(COUNTIFS($A$2:A137,A137,$B$2:B137,B137)=1)</f>
        <v>0</v>
      </c>
      <c r="D137" t="str">
        <f>检查点拆解!F137</f>
        <v>D11.02.03</v>
      </c>
      <c r="E137" s="2">
        <f>--(COUNTIFS($A$2:A137,A137,$D$2:D137,D137)=1)</f>
        <v>1</v>
      </c>
    </row>
    <row r="138" spans="1:5">
      <c r="A138" t="str">
        <f>检查点拆解!A138</f>
        <v>Q0019</v>
      </c>
      <c r="B138" t="str">
        <f>检查点拆解!D138</f>
        <v>C30</v>
      </c>
      <c r="C138" s="2">
        <f>--(COUNTIFS($A$2:A138,A138,$B$2:B138,B138)=1)</f>
        <v>0</v>
      </c>
      <c r="D138" t="str">
        <f>检查点拆解!F138</f>
        <v>D15.01.03</v>
      </c>
      <c r="E138" s="2">
        <f>--(COUNTIFS($A$2:A138,A138,$D$2:D138,D138)=1)</f>
        <v>1</v>
      </c>
    </row>
    <row r="139" spans="1:5">
      <c r="A139" t="str">
        <f>检查点拆解!A139</f>
        <v>Q0019</v>
      </c>
      <c r="B139" t="str">
        <f>检查点拆解!D139</f>
        <v>C01</v>
      </c>
      <c r="C139" s="2">
        <f>--(COUNTIFS($A$2:A139,A139,$B$2:B139,B139)=1)</f>
        <v>1</v>
      </c>
      <c r="D139" t="str">
        <f>检查点拆解!F139</f>
        <v>D01.01.03</v>
      </c>
      <c r="E139" s="2">
        <f>--(COUNTIFS($A$2:A139,A139,$D$2:D139,D139)=1)</f>
        <v>1</v>
      </c>
    </row>
    <row r="140" spans="1:5">
      <c r="A140" t="str">
        <f>检查点拆解!A140</f>
        <v>Q0019</v>
      </c>
      <c r="B140" t="str">
        <f>检查点拆解!D140</f>
        <v>C06</v>
      </c>
      <c r="C140" s="2">
        <f>--(COUNTIFS($A$2:A140,A140,$B$2:B140,B140)=1)</f>
        <v>1</v>
      </c>
      <c r="D140" t="str">
        <f>检查点拆解!F140</f>
        <v>D03.01.03</v>
      </c>
      <c r="E140" s="2">
        <f>--(COUNTIFS($A$2:A140,A140,$D$2:D140,D140)=1)</f>
        <v>1</v>
      </c>
    </row>
    <row r="141" spans="1:5">
      <c r="A141" t="str">
        <f>检查点拆解!A141</f>
        <v>Q0019</v>
      </c>
      <c r="B141" t="str">
        <f>检查点拆解!D141</f>
        <v>C24</v>
      </c>
      <c r="C141" s="2">
        <f>--(COUNTIFS($A$2:A141,A141,$B$2:B141,B141)=1)</f>
        <v>1</v>
      </c>
      <c r="D141" t="str">
        <f>检查点拆解!F141</f>
        <v>D09.02.01</v>
      </c>
      <c r="E141" s="2">
        <f>--(COUNTIFS($A$2:A141,A141,$D$2:D141,D141)=1)</f>
        <v>1</v>
      </c>
    </row>
    <row r="142" spans="1:5">
      <c r="A142" t="str">
        <f>检查点拆解!A142</f>
        <v>Q0019</v>
      </c>
      <c r="B142" t="str">
        <f>检查点拆解!D142</f>
        <v>C25</v>
      </c>
      <c r="C142" s="2">
        <f>--(COUNTIFS($A$2:A142,A142,$B$2:B142,B142)=1)</f>
        <v>1</v>
      </c>
      <c r="D142" t="str">
        <f>检查点拆解!F142</f>
        <v>D10.01.01</v>
      </c>
      <c r="E142" s="2">
        <f>--(COUNTIFS($A$2:A142,A142,$D$2:D142,D142)=1)</f>
        <v>1</v>
      </c>
    </row>
    <row r="143" spans="1:5">
      <c r="A143" t="str">
        <f>检查点拆解!A143</f>
        <v>Q0019</v>
      </c>
      <c r="B143" t="str">
        <f>检查点拆解!D143</f>
        <v>C30</v>
      </c>
      <c r="C143" s="2">
        <f>--(COUNTIFS($A$2:A143,A143,$B$2:B143,B143)=1)</f>
        <v>0</v>
      </c>
      <c r="D143" t="str">
        <f>检查点拆解!F143</f>
        <v>D15.01.04</v>
      </c>
      <c r="E143" s="2">
        <f>--(COUNTIFS($A$2:A143,A143,$D$2:D143,D143)=1)</f>
        <v>1</v>
      </c>
    </row>
    <row r="144" spans="1:5">
      <c r="A144" t="str">
        <f>检查点拆解!A144</f>
        <v>Q0019</v>
      </c>
      <c r="B144" t="str">
        <f>检查点拆解!D144</f>
        <v>C06</v>
      </c>
      <c r="C144" s="2">
        <f>--(COUNTIFS($A$2:A144,A144,$B$2:B144,B144)=1)</f>
        <v>0</v>
      </c>
      <c r="D144" t="str">
        <f>检查点拆解!F144</f>
        <v>D03.01.02</v>
      </c>
      <c r="E144" s="2">
        <f>--(COUNTIFS($A$2:A144,A144,$D$2:D144,D144)=1)</f>
        <v>1</v>
      </c>
    </row>
    <row r="145" spans="1:5">
      <c r="A145" t="str">
        <f>检查点拆解!A145</f>
        <v>Q0019</v>
      </c>
      <c r="B145" t="str">
        <f>检查点拆解!D145</f>
        <v>C23</v>
      </c>
      <c r="C145" s="2">
        <f>--(COUNTIFS($A$2:A145,A145,$B$2:B145,B145)=1)</f>
        <v>1</v>
      </c>
      <c r="D145" t="str">
        <f>检查点拆解!F145</f>
        <v>D09.01.01</v>
      </c>
      <c r="E145" s="2">
        <f>--(COUNTIFS($A$2:A145,A145,$D$2:D145,D145)=1)</f>
        <v>1</v>
      </c>
    </row>
    <row r="146" spans="1:5">
      <c r="A146" t="str">
        <f>检查点拆解!A146</f>
        <v>Q0019</v>
      </c>
      <c r="B146" t="str">
        <f>检查点拆解!D146</f>
        <v>C02</v>
      </c>
      <c r="C146" s="2">
        <f>--(COUNTIFS($A$2:A146,A146,$B$2:B146,B146)=1)</f>
        <v>1</v>
      </c>
      <c r="D146" t="str">
        <f>检查点拆解!F146</f>
        <v>D01.02.02</v>
      </c>
      <c r="E146" s="2">
        <f>--(COUNTIFS($A$2:A146,A146,$D$2:D146,D146)=1)</f>
        <v>1</v>
      </c>
    </row>
    <row r="147" spans="1:5">
      <c r="A147" t="str">
        <f>检查点拆解!A147</f>
        <v>Q0020</v>
      </c>
      <c r="B147" t="str">
        <f>检查点拆解!D147</f>
        <v>C30</v>
      </c>
      <c r="C147" s="2">
        <f>--(COUNTIFS($A$2:A147,A147,$B$2:B147,B147)=1)</f>
        <v>1</v>
      </c>
      <c r="D147" t="str">
        <f>检查点拆解!F147</f>
        <v>D15.01.02</v>
      </c>
      <c r="E147" s="2">
        <f>--(COUNTIFS($A$2:A147,A147,$D$2:D147,D147)=1)</f>
        <v>1</v>
      </c>
    </row>
    <row r="148" spans="1:5">
      <c r="A148" t="str">
        <f>检查点拆解!A148</f>
        <v>Q0020</v>
      </c>
      <c r="B148" t="str">
        <f>检查点拆解!D148</f>
        <v>C11</v>
      </c>
      <c r="C148" s="2">
        <f>--(COUNTIFS($A$2:A148,A148,$B$2:B148,B148)=1)</f>
        <v>1</v>
      </c>
      <c r="D148" t="str">
        <f>检查点拆解!F148</f>
        <v>D04.03.02</v>
      </c>
      <c r="E148" s="2">
        <f>--(COUNTIFS($A$2:A148,A148,$D$2:D148,D148)=1)</f>
        <v>1</v>
      </c>
    </row>
    <row r="149" spans="1:5">
      <c r="A149" t="str">
        <f>检查点拆解!A149</f>
        <v>Q0020</v>
      </c>
      <c r="B149" t="str">
        <f>检查点拆解!D149</f>
        <v>C30</v>
      </c>
      <c r="C149" s="2">
        <f>--(COUNTIFS($A$2:A149,A149,$B$2:B149,B149)=1)</f>
        <v>0</v>
      </c>
      <c r="D149" t="str">
        <f>检查点拆解!F149</f>
        <v>D15.01.03</v>
      </c>
      <c r="E149" s="2">
        <f>--(COUNTIFS($A$2:A149,A149,$D$2:D149,D149)=1)</f>
        <v>1</v>
      </c>
    </row>
    <row r="150" spans="1:5">
      <c r="A150" t="str">
        <f>检查点拆解!A150</f>
        <v>Q0020</v>
      </c>
      <c r="B150" t="str">
        <f>检查点拆解!D150</f>
        <v>C13</v>
      </c>
      <c r="C150" s="2">
        <f>--(COUNTIFS($A$2:A150,A150,$B$2:B150,B150)=1)</f>
        <v>1</v>
      </c>
      <c r="D150" t="str">
        <f>检查点拆解!F150</f>
        <v>D04.04.01</v>
      </c>
      <c r="E150" s="2">
        <f>--(COUNTIFS($A$2:A150,A150,$D$2:D150,D150)=1)</f>
        <v>1</v>
      </c>
    </row>
    <row r="151" spans="1:5">
      <c r="A151" t="str">
        <f>检查点拆解!A151</f>
        <v>Q0020</v>
      </c>
      <c r="B151" t="str">
        <f>检查点拆解!D151</f>
        <v>C28</v>
      </c>
      <c r="C151" s="2">
        <f>--(COUNTIFS($A$2:A151,A151,$B$2:B151,B151)=1)</f>
        <v>1</v>
      </c>
      <c r="D151" t="str">
        <f>检查点拆解!F151</f>
        <v>D12.01.01</v>
      </c>
      <c r="E151" s="2">
        <f>--(COUNTIFS($A$2:A151,A151,$D$2:D151,D151)=1)</f>
        <v>1</v>
      </c>
    </row>
    <row r="152" spans="1:5">
      <c r="A152" t="str">
        <f>检查点拆解!A152</f>
        <v>Q0020</v>
      </c>
      <c r="B152" t="str">
        <f>检查点拆解!D152</f>
        <v>C28</v>
      </c>
      <c r="C152" s="2">
        <f>--(COUNTIFS($A$2:A152,A152,$B$2:B152,B152)=1)</f>
        <v>0</v>
      </c>
      <c r="D152" t="str">
        <f>检查点拆解!F152</f>
        <v>D12.01.02</v>
      </c>
      <c r="E152" s="2">
        <f>--(COUNTIFS($A$2:A152,A152,$D$2:D152,D152)=1)</f>
        <v>1</v>
      </c>
    </row>
    <row r="153" spans="1:5">
      <c r="A153" t="str">
        <f>检查点拆解!A153</f>
        <v>Q0020</v>
      </c>
      <c r="B153" t="str">
        <f>检查点拆解!D153</f>
        <v>C06</v>
      </c>
      <c r="C153" s="2">
        <f>--(COUNTIFS($A$2:A153,A153,$B$2:B153,B153)=1)</f>
        <v>1</v>
      </c>
      <c r="D153" t="str">
        <f>检查点拆解!F153</f>
        <v>D03.01.01</v>
      </c>
      <c r="E153" s="2">
        <f>--(COUNTIFS($A$2:A153,A153,$D$2:D153,D153)=1)</f>
        <v>1</v>
      </c>
    </row>
    <row r="154" spans="1:5">
      <c r="A154" t="str">
        <f>检查点拆解!A154</f>
        <v>Q0020</v>
      </c>
      <c r="B154" t="str">
        <f>检查点拆解!D154</f>
        <v>C03</v>
      </c>
      <c r="C154" s="2">
        <f>--(COUNTIFS($A$2:A154,A154,$B$2:B154,B154)=1)</f>
        <v>1</v>
      </c>
      <c r="D154" t="str">
        <f>检查点拆解!F154</f>
        <v>D02.01.01</v>
      </c>
      <c r="E154" s="2">
        <f>--(COUNTIFS($A$2:A154,A154,$D$2:D154,D154)=1)</f>
        <v>1</v>
      </c>
    </row>
    <row r="155" spans="1:5">
      <c r="A155" t="str">
        <f>检查点拆解!A155</f>
        <v>Q0020</v>
      </c>
      <c r="B155" t="str">
        <f>检查点拆解!D155</f>
        <v>C07</v>
      </c>
      <c r="C155" s="2">
        <f>--(COUNTIFS($A$2:A155,A155,$B$2:B155,B155)=1)</f>
        <v>1</v>
      </c>
      <c r="D155" t="str">
        <f>检查点拆解!F155</f>
        <v>D03.02.01</v>
      </c>
      <c r="E155" s="2">
        <f>--(COUNTIFS($A$2:A155,A155,$D$2:D155,D155)=1)</f>
        <v>1</v>
      </c>
    </row>
    <row r="156" spans="1:5">
      <c r="A156" t="str">
        <f>检查点拆解!A156</f>
        <v>Q0020</v>
      </c>
      <c r="B156" t="str">
        <f>检查点拆解!D156</f>
        <v>C08</v>
      </c>
      <c r="C156" s="2">
        <f>--(COUNTIFS($A$2:A156,A156,$B$2:B156,B156)=1)</f>
        <v>1</v>
      </c>
      <c r="D156" t="str">
        <f>检查点拆解!F156</f>
        <v>D03.03.01</v>
      </c>
      <c r="E156" s="2">
        <f>--(COUNTIFS($A$2:A156,A156,$D$2:D156,D156)=1)</f>
        <v>1</v>
      </c>
    </row>
    <row r="157" spans="1:5">
      <c r="A157" t="str">
        <f>检查点拆解!A157</f>
        <v>Q0021</v>
      </c>
      <c r="B157" t="str">
        <f>检查点拆解!D157</f>
        <v>C30</v>
      </c>
      <c r="C157" s="2">
        <f>--(COUNTIFS($A$2:A157,A157,$B$2:B157,B157)=1)</f>
        <v>1</v>
      </c>
      <c r="D157" t="str">
        <f>检查点拆解!F157</f>
        <v>D15.01.02</v>
      </c>
      <c r="E157" s="2">
        <f>--(COUNTIFS($A$2:A157,A157,$D$2:D157,D157)=1)</f>
        <v>1</v>
      </c>
    </row>
    <row r="158" spans="1:5">
      <c r="A158" t="str">
        <f>检查点拆解!A158</f>
        <v>Q0021</v>
      </c>
      <c r="B158" t="str">
        <f>检查点拆解!D158</f>
        <v>C11</v>
      </c>
      <c r="C158" s="2">
        <f>--(COUNTIFS($A$2:A158,A158,$B$2:B158,B158)=1)</f>
        <v>1</v>
      </c>
      <c r="D158" t="str">
        <f>检查点拆解!F158</f>
        <v>D04.03.02</v>
      </c>
      <c r="E158" s="2">
        <f>--(COUNTIFS($A$2:A158,A158,$D$2:D158,D158)=1)</f>
        <v>1</v>
      </c>
    </row>
    <row r="159" spans="1:5">
      <c r="A159" t="str">
        <f>检查点拆解!A159</f>
        <v>Q0021</v>
      </c>
      <c r="B159" t="str">
        <f>检查点拆解!D159</f>
        <v>C30</v>
      </c>
      <c r="C159" s="2">
        <f>--(COUNTIFS($A$2:A159,A159,$B$2:B159,B159)=1)</f>
        <v>0</v>
      </c>
      <c r="D159" t="str">
        <f>检查点拆解!F159</f>
        <v>D15.01.03</v>
      </c>
      <c r="E159" s="2">
        <f>--(COUNTIFS($A$2:A159,A159,$D$2:D159,D159)=1)</f>
        <v>1</v>
      </c>
    </row>
    <row r="160" spans="1:5">
      <c r="A160" t="str">
        <f>检查点拆解!A160</f>
        <v>Q0021</v>
      </c>
      <c r="B160" t="str">
        <f>检查点拆解!D160</f>
        <v>C27</v>
      </c>
      <c r="C160" s="2">
        <f>--(COUNTIFS($A$2:A160,A160,$B$2:B160,B160)=1)</f>
        <v>1</v>
      </c>
      <c r="D160" t="str">
        <f>检查点拆解!F160</f>
        <v>D11.01.02</v>
      </c>
      <c r="E160" s="2">
        <f>--(COUNTIFS($A$2:A160,A160,$D$2:D160,D160)=1)</f>
        <v>1</v>
      </c>
    </row>
    <row r="161" spans="1:5">
      <c r="A161" t="str">
        <f>检查点拆解!A161</f>
        <v>Q0021</v>
      </c>
      <c r="B161" t="str">
        <f>检查点拆解!D161</f>
        <v>C15</v>
      </c>
      <c r="C161" s="2">
        <f>--(COUNTIFS($A$2:A161,A161,$B$2:B161,B161)=1)</f>
        <v>1</v>
      </c>
      <c r="D161" t="str">
        <f>检查点拆解!F161</f>
        <v>D05.02.02</v>
      </c>
      <c r="E161" s="2">
        <f>--(COUNTIFS($A$2:A161,A161,$D$2:D161,D161)=1)</f>
        <v>1</v>
      </c>
    </row>
    <row r="162" spans="1:5">
      <c r="A162" t="str">
        <f>检查点拆解!A162</f>
        <v>Q0021</v>
      </c>
      <c r="B162" t="str">
        <f>检查点拆解!D162</f>
        <v>C09</v>
      </c>
      <c r="C162" s="2">
        <f>--(COUNTIFS($A$2:A162,A162,$B$2:B162,B162)=1)</f>
        <v>1</v>
      </c>
      <c r="D162" t="str">
        <f>检查点拆解!F162</f>
        <v>D04.02.02</v>
      </c>
      <c r="E162" s="2">
        <f>--(COUNTIFS($A$2:A162,A162,$D$2:D162,D162)=1)</f>
        <v>1</v>
      </c>
    </row>
    <row r="163" spans="1:5">
      <c r="A163" t="str">
        <f>检查点拆解!A163</f>
        <v>Q0021</v>
      </c>
      <c r="B163" t="str">
        <f>检查点拆解!D163</f>
        <v>C25</v>
      </c>
      <c r="C163" s="2">
        <f>--(COUNTIFS($A$2:A163,A163,$B$2:B163,B163)=1)</f>
        <v>1</v>
      </c>
      <c r="D163" t="str">
        <f>检查点拆解!F163</f>
        <v>D10.01.04</v>
      </c>
      <c r="E163" s="2">
        <f>--(COUNTIFS($A$2:A163,A163,$D$2:D163,D163)=1)</f>
        <v>1</v>
      </c>
    </row>
    <row r="164" spans="1:5">
      <c r="A164" t="str">
        <f>检查点拆解!A164</f>
        <v>Q0021</v>
      </c>
      <c r="B164" t="str">
        <f>检查点拆解!D164</f>
        <v>C06</v>
      </c>
      <c r="C164" s="2">
        <f>--(COUNTIFS($A$2:A164,A164,$B$2:B164,B164)=1)</f>
        <v>1</v>
      </c>
      <c r="D164" t="str">
        <f>检查点拆解!F164</f>
        <v>D03.01.02</v>
      </c>
      <c r="E164" s="2">
        <f>--(COUNTIFS($A$2:A164,A164,$D$2:D164,D164)=1)</f>
        <v>1</v>
      </c>
    </row>
    <row r="165" spans="1:5">
      <c r="A165" t="str">
        <f>检查点拆解!A165</f>
        <v>Q0021</v>
      </c>
      <c r="B165" t="str">
        <f>检查点拆解!D165</f>
        <v>C08</v>
      </c>
      <c r="C165" s="2">
        <f>--(COUNTIFS($A$2:A165,A165,$B$2:B165,B165)=1)</f>
        <v>1</v>
      </c>
      <c r="D165" t="str">
        <f>检查点拆解!F165</f>
        <v>D04.01.02</v>
      </c>
      <c r="E165" s="2">
        <f>--(COUNTIFS($A$2:A165,A165,$D$2:D165,D165)=1)</f>
        <v>1</v>
      </c>
    </row>
    <row r="166" spans="1:5">
      <c r="A166" t="str">
        <f>检查点拆解!A166</f>
        <v>Q0021</v>
      </c>
      <c r="B166" t="str">
        <f>检查点拆解!D166</f>
        <v>C28</v>
      </c>
      <c r="C166" s="2">
        <f>--(COUNTIFS($A$2:A166,A166,$B$2:B166,B166)=1)</f>
        <v>1</v>
      </c>
      <c r="D166" t="str">
        <f>检查点拆解!F166</f>
        <v>D12.01.01</v>
      </c>
      <c r="E166" s="2">
        <f>--(COUNTIFS($A$2:A166,A166,$D$2:D166,D166)=1)</f>
        <v>1</v>
      </c>
    </row>
    <row r="167" spans="1:5">
      <c r="A167" t="str">
        <f>检查点拆解!A167</f>
        <v>Q0022</v>
      </c>
      <c r="B167" t="str">
        <f>检查点拆解!D167</f>
        <v>C27</v>
      </c>
      <c r="C167" s="2">
        <f>--(COUNTIFS($A$2:A167,A167,$B$2:B167,B167)=1)</f>
        <v>1</v>
      </c>
      <c r="D167" t="str">
        <f>检查点拆解!F167</f>
        <v>D11.02.01</v>
      </c>
      <c r="E167" s="2">
        <f>--(COUNTIFS($A$2:A167,A167,$D$2:D167,D167)=1)</f>
        <v>1</v>
      </c>
    </row>
    <row r="168" spans="1:5">
      <c r="A168" t="str">
        <f>检查点拆解!A168</f>
        <v>Q0022</v>
      </c>
      <c r="B168" t="str">
        <f>检查点拆解!D168</f>
        <v>C27</v>
      </c>
      <c r="C168" s="2">
        <f>--(COUNTIFS($A$2:A168,A168,$B$2:B168,B168)=1)</f>
        <v>0</v>
      </c>
      <c r="D168" t="str">
        <f>检查点拆解!F168</f>
        <v>D11.02.02</v>
      </c>
      <c r="E168" s="2">
        <f>--(COUNTIFS($A$2:A168,A168,$D$2:D168,D168)=1)</f>
        <v>1</v>
      </c>
    </row>
    <row r="169" spans="1:5">
      <c r="A169" t="str">
        <f>检查点拆解!A169</f>
        <v>Q0022</v>
      </c>
      <c r="B169" t="str">
        <f>检查点拆解!D169</f>
        <v>C17</v>
      </c>
      <c r="C169" s="2">
        <f>--(COUNTIFS($A$2:A169,A169,$B$2:B169,B169)=1)</f>
        <v>1</v>
      </c>
      <c r="D169" t="str">
        <f>检查点拆解!F169</f>
        <v>D06.03.01</v>
      </c>
      <c r="E169" s="2">
        <f>--(COUNTIFS($A$2:A169,A169,$D$2:D169,D169)=1)</f>
        <v>1</v>
      </c>
    </row>
    <row r="170" spans="1:5">
      <c r="A170" t="str">
        <f>检查点拆解!A170</f>
        <v>Q0022</v>
      </c>
      <c r="B170" t="str">
        <f>检查点拆解!D170</f>
        <v>C27</v>
      </c>
      <c r="C170" s="2">
        <f>--(COUNTIFS($A$2:A170,A170,$B$2:B170,B170)=1)</f>
        <v>0</v>
      </c>
      <c r="D170" t="str">
        <f>检查点拆解!F170</f>
        <v>D11.02.03</v>
      </c>
      <c r="E170" s="2">
        <f>--(COUNTIFS($A$2:A170,A170,$D$2:D170,D170)=1)</f>
        <v>1</v>
      </c>
    </row>
    <row r="171" spans="1:5">
      <c r="A171" t="str">
        <f>检查点拆解!A171</f>
        <v>Q0022</v>
      </c>
      <c r="B171" t="str">
        <f>检查点拆解!D171</f>
        <v>C27</v>
      </c>
      <c r="C171" s="2">
        <f>--(COUNTIFS($A$2:A171,A171,$B$2:B171,B171)=1)</f>
        <v>0</v>
      </c>
      <c r="D171" t="str">
        <f>检查点拆解!F171</f>
        <v>D11.01.02</v>
      </c>
      <c r="E171" s="2">
        <f>--(COUNTIFS($A$2:A171,A171,$D$2:D171,D171)=1)</f>
        <v>1</v>
      </c>
    </row>
    <row r="172" spans="1:5">
      <c r="A172" t="str">
        <f>检查点拆解!A172</f>
        <v>Q0022</v>
      </c>
      <c r="B172" t="str">
        <f>检查点拆解!D172</f>
        <v>C25</v>
      </c>
      <c r="C172" s="2">
        <f>--(COUNTIFS($A$2:A172,A172,$B$2:B172,B172)=1)</f>
        <v>1</v>
      </c>
      <c r="D172" t="str">
        <f>检查点拆解!F172</f>
        <v>D10.01.01</v>
      </c>
      <c r="E172" s="2">
        <f>--(COUNTIFS($A$2:A172,A172,$D$2:D172,D172)=1)</f>
        <v>1</v>
      </c>
    </row>
    <row r="173" spans="1:5">
      <c r="A173" t="str">
        <f>检查点拆解!A173</f>
        <v>Q0022</v>
      </c>
      <c r="B173" t="str">
        <f>检查点拆解!D173</f>
        <v>C27</v>
      </c>
      <c r="C173" s="2">
        <f>--(COUNTIFS($A$2:A173,A173,$B$2:B173,B173)=1)</f>
        <v>0</v>
      </c>
      <c r="D173" t="str">
        <f>检查点拆解!F173</f>
        <v>D11.02.04</v>
      </c>
      <c r="E173" s="2">
        <f>--(COUNTIFS($A$2:A173,A173,$D$2:D173,D173)=1)</f>
        <v>1</v>
      </c>
    </row>
    <row r="174" spans="1:5">
      <c r="A174" t="str">
        <f>检查点拆解!A174</f>
        <v>Q0022</v>
      </c>
      <c r="B174" t="str">
        <f>检查点拆解!D174</f>
        <v>C09</v>
      </c>
      <c r="C174" s="2">
        <f>--(COUNTIFS($A$2:A174,A174,$B$2:B174,B174)=1)</f>
        <v>1</v>
      </c>
      <c r="D174" t="str">
        <f>检查点拆解!F174</f>
        <v>D04.02.02</v>
      </c>
      <c r="E174" s="2">
        <f>--(COUNTIFS($A$2:A174,A174,$D$2:D174,D174)=1)</f>
        <v>1</v>
      </c>
    </row>
    <row r="175" spans="1:5">
      <c r="A175" t="str">
        <f>检查点拆解!A175</f>
        <v>Q0022</v>
      </c>
      <c r="B175" t="str">
        <f>检查点拆解!D175</f>
        <v>C30</v>
      </c>
      <c r="C175" s="2">
        <f>--(COUNTIFS($A$2:A175,A175,$B$2:B175,B175)=1)</f>
        <v>1</v>
      </c>
      <c r="D175" t="str">
        <f>检查点拆解!F175</f>
        <v>D15.01.04</v>
      </c>
      <c r="E175" s="2">
        <f>--(COUNTIFS($A$2:A175,A175,$D$2:D175,D175)=1)</f>
        <v>1</v>
      </c>
    </row>
    <row r="176" spans="1:5">
      <c r="A176" t="str">
        <f>检查点拆解!A176</f>
        <v>Q0022</v>
      </c>
      <c r="B176" t="str">
        <f>检查点拆解!D176</f>
        <v>C23</v>
      </c>
      <c r="C176" s="2">
        <f>--(COUNTIFS($A$2:A176,A176,$B$2:B176,B176)=1)</f>
        <v>1</v>
      </c>
      <c r="D176" t="str">
        <f>检查点拆解!F176</f>
        <v>D09.01.01</v>
      </c>
      <c r="E176" s="2">
        <f>--(COUNTIFS($A$2:A176,A176,$D$2:D176,D176)=1)</f>
        <v>1</v>
      </c>
    </row>
    <row r="177" spans="1:5">
      <c r="A177" t="str">
        <f>检查点拆解!A177</f>
        <v>Q0023</v>
      </c>
      <c r="B177" t="str">
        <f>检查点拆解!D177</f>
        <v>C20</v>
      </c>
      <c r="C177" s="2">
        <f>--(COUNTIFS($A$2:A177,A177,$B$2:B177,B177)=1)</f>
        <v>1</v>
      </c>
      <c r="D177" t="str">
        <f>检查点拆解!F177</f>
        <v>D07.02.04</v>
      </c>
      <c r="E177" s="2">
        <f>--(COUNTIFS($A$2:A177,A177,$D$2:D177,D177)=1)</f>
        <v>1</v>
      </c>
    </row>
    <row r="178" spans="1:5">
      <c r="A178" t="str">
        <f>检查点拆解!A178</f>
        <v>Q0023</v>
      </c>
      <c r="B178" t="str">
        <f>检查点拆解!D178</f>
        <v>C30</v>
      </c>
      <c r="C178" s="2">
        <f>--(COUNTIFS($A$2:A178,A178,$B$2:B178,B178)=1)</f>
        <v>1</v>
      </c>
      <c r="D178" t="str">
        <f>检查点拆解!F178</f>
        <v>D15.01.02</v>
      </c>
      <c r="E178" s="2">
        <f>--(COUNTIFS($A$2:A178,A178,$D$2:D178,D178)=1)</f>
        <v>1</v>
      </c>
    </row>
    <row r="179" spans="1:5">
      <c r="A179" t="str">
        <f>检查点拆解!A179</f>
        <v>Q0023</v>
      </c>
      <c r="B179" t="str">
        <f>检查点拆解!D179</f>
        <v>C23</v>
      </c>
      <c r="C179" s="2">
        <f>--(COUNTIFS($A$2:A179,A179,$B$2:B179,B179)=1)</f>
        <v>1</v>
      </c>
      <c r="D179" t="str">
        <f>检查点拆解!F179</f>
        <v>D09.01.03</v>
      </c>
      <c r="E179" s="2">
        <f>--(COUNTIFS($A$2:A179,A179,$D$2:D179,D179)=1)</f>
        <v>1</v>
      </c>
    </row>
    <row r="180" spans="1:5">
      <c r="A180" t="str">
        <f>检查点拆解!A180</f>
        <v>Q0023</v>
      </c>
      <c r="B180" t="str">
        <f>检查点拆解!D180</f>
        <v>C27</v>
      </c>
      <c r="C180" s="2">
        <f>--(COUNTIFS($A$2:A180,A180,$B$2:B180,B180)=1)</f>
        <v>1</v>
      </c>
      <c r="D180" t="str">
        <f>检查点拆解!F180</f>
        <v>D11.02.01</v>
      </c>
      <c r="E180" s="2">
        <f>--(COUNTIFS($A$2:A180,A180,$D$2:D180,D180)=1)</f>
        <v>1</v>
      </c>
    </row>
    <row r="181" spans="1:5">
      <c r="A181" t="str">
        <f>检查点拆解!A181</f>
        <v>Q0023</v>
      </c>
      <c r="B181" t="str">
        <f>检查点拆解!D181</f>
        <v>C27</v>
      </c>
      <c r="C181" s="2">
        <f>--(COUNTIFS($A$2:A181,A181,$B$2:B181,B181)=1)</f>
        <v>0</v>
      </c>
      <c r="D181" t="str">
        <f>检查点拆解!F181</f>
        <v>D11.02.03</v>
      </c>
      <c r="E181" s="2">
        <f>--(COUNTIFS($A$2:A181,A181,$D$2:D181,D181)=1)</f>
        <v>1</v>
      </c>
    </row>
    <row r="182" spans="1:5">
      <c r="A182" t="str">
        <f>检查点拆解!A182</f>
        <v>Q0023</v>
      </c>
      <c r="B182" t="str">
        <f>检查点拆解!D182</f>
        <v>C30</v>
      </c>
      <c r="C182" s="2">
        <f>--(COUNTIFS($A$2:A182,A182,$B$2:B182,B182)=1)</f>
        <v>0</v>
      </c>
      <c r="D182" t="str">
        <f>检查点拆解!F182</f>
        <v>D15.01.03</v>
      </c>
      <c r="E182" s="2">
        <f>--(COUNTIFS($A$2:A182,A182,$D$2:D182,D182)=1)</f>
        <v>1</v>
      </c>
    </row>
    <row r="183" spans="1:5">
      <c r="A183" t="str">
        <f>检查点拆解!A183</f>
        <v>Q0023</v>
      </c>
      <c r="B183" t="str">
        <f>检查点拆解!D183</f>
        <v>C27</v>
      </c>
      <c r="C183" s="2">
        <f>--(COUNTIFS($A$2:A183,A183,$B$2:B183,B183)=1)</f>
        <v>0</v>
      </c>
      <c r="D183" t="str">
        <f>检查点拆解!F183</f>
        <v>D11.01.02</v>
      </c>
      <c r="E183" s="2">
        <f>--(COUNTIFS($A$2:A183,A183,$D$2:D183,D183)=1)</f>
        <v>1</v>
      </c>
    </row>
    <row r="184" spans="1:5">
      <c r="A184" t="str">
        <f>检查点拆解!A184</f>
        <v>Q0023</v>
      </c>
      <c r="B184" t="str">
        <f>检查点拆解!D184</f>
        <v>C24</v>
      </c>
      <c r="C184" s="2">
        <f>--(COUNTIFS($A$2:A184,A184,$B$2:B184,B184)=1)</f>
        <v>1</v>
      </c>
      <c r="D184" t="str">
        <f>检查点拆解!F184</f>
        <v>D09.02.03</v>
      </c>
      <c r="E184" s="2">
        <f>--(COUNTIFS($A$2:A184,A184,$D$2:D184,D184)=1)</f>
        <v>1</v>
      </c>
    </row>
    <row r="185" spans="1:5">
      <c r="A185" t="str">
        <f>检查点拆解!A185</f>
        <v>Q0023</v>
      </c>
      <c r="B185" t="str">
        <f>检查点拆解!D185</f>
        <v>C24</v>
      </c>
      <c r="C185" s="2">
        <f>--(COUNTIFS($A$2:A185,A185,$B$2:B185,B185)=1)</f>
        <v>0</v>
      </c>
      <c r="D185" t="str">
        <f>检查点拆解!F185</f>
        <v>D09.02.01</v>
      </c>
      <c r="E185" s="2">
        <f>--(COUNTIFS($A$2:A185,A185,$D$2:D185,D185)=1)</f>
        <v>1</v>
      </c>
    </row>
    <row r="186" spans="1:5">
      <c r="A186" t="str">
        <f>检查点拆解!A186</f>
        <v>Q0023</v>
      </c>
      <c r="B186" t="str">
        <f>检查点拆解!D186</f>
        <v>C25</v>
      </c>
      <c r="C186" s="2">
        <f>--(COUNTIFS($A$2:A186,A186,$B$2:B186,B186)=1)</f>
        <v>1</v>
      </c>
      <c r="D186" t="str">
        <f>检查点拆解!F186</f>
        <v>D10.01.01</v>
      </c>
      <c r="E186" s="2">
        <f>--(COUNTIFS($A$2:A186,A186,$D$2:D186,D186)=1)</f>
        <v>1</v>
      </c>
    </row>
    <row r="187" spans="1:5">
      <c r="A187" t="str">
        <f>检查点拆解!A187</f>
        <v>Q0024</v>
      </c>
      <c r="B187" t="str">
        <f>检查点拆解!D187</f>
        <v>C30</v>
      </c>
      <c r="C187" s="2">
        <f>--(COUNTIFS($A$2:A187,A187,$B$2:B187,B187)=1)</f>
        <v>1</v>
      </c>
      <c r="D187" t="str">
        <f>检查点拆解!F187</f>
        <v>D15.01.02</v>
      </c>
      <c r="E187" s="2">
        <f>--(COUNTIFS($A$2:A187,A187,$D$2:D187,D187)=1)</f>
        <v>1</v>
      </c>
    </row>
    <row r="188" spans="1:5">
      <c r="A188" t="str">
        <f>检查点拆解!A188</f>
        <v>Q0024</v>
      </c>
      <c r="B188" t="str">
        <f>检查点拆解!D188</f>
        <v>C14</v>
      </c>
      <c r="C188" s="2">
        <f>--(COUNTIFS($A$2:A188,A188,$B$2:B188,B188)=1)</f>
        <v>1</v>
      </c>
      <c r="D188" t="str">
        <f>检查点拆解!F188</f>
        <v>D08.01.01</v>
      </c>
      <c r="E188" s="2">
        <f>--(COUNTIFS($A$2:A188,A188,$D$2:D188,D188)=1)</f>
        <v>1</v>
      </c>
    </row>
    <row r="189" spans="1:5">
      <c r="A189" t="str">
        <f>检查点拆解!A189</f>
        <v>Q0024</v>
      </c>
      <c r="B189" t="str">
        <f>检查点拆解!D189</f>
        <v>C30</v>
      </c>
      <c r="C189" s="2">
        <f>--(COUNTIFS($A$2:A189,A189,$B$2:B189,B189)=1)</f>
        <v>0</v>
      </c>
      <c r="D189" t="str">
        <f>检查点拆解!F189</f>
        <v>D15.01.03</v>
      </c>
      <c r="E189" s="2">
        <f>--(COUNTIFS($A$2:A189,A189,$D$2:D189,D189)=1)</f>
        <v>1</v>
      </c>
    </row>
    <row r="190" spans="1:5">
      <c r="A190" t="str">
        <f>检查点拆解!A190</f>
        <v>Q0024</v>
      </c>
      <c r="B190" t="str">
        <f>检查点拆解!D190</f>
        <v>C06</v>
      </c>
      <c r="C190" s="2">
        <f>--(COUNTIFS($A$2:A190,A190,$B$2:B190,B190)=1)</f>
        <v>1</v>
      </c>
      <c r="D190" t="str">
        <f>检查点拆解!F190</f>
        <v>D03.01.02</v>
      </c>
      <c r="E190" s="2">
        <f>--(COUNTIFS($A$2:A190,A190,$D$2:D190,D190)=1)</f>
        <v>1</v>
      </c>
    </row>
    <row r="191" spans="1:5">
      <c r="A191" t="str">
        <f>检查点拆解!A191</f>
        <v>Q0024</v>
      </c>
      <c r="B191" t="str">
        <f>检查点拆解!D191</f>
        <v>C23</v>
      </c>
      <c r="C191" s="2">
        <f>--(COUNTIFS($A$2:A191,A191,$B$2:B191,B191)=1)</f>
        <v>1</v>
      </c>
      <c r="D191" t="str">
        <f>检查点拆解!F191</f>
        <v>D09.01.01</v>
      </c>
      <c r="E191" s="2">
        <f>--(COUNTIFS($A$2:A191,A191,$D$2:D191,D191)=1)</f>
        <v>1</v>
      </c>
    </row>
    <row r="192" spans="1:5">
      <c r="A192" t="str">
        <f>检查点拆解!A192</f>
        <v>Q0024</v>
      </c>
      <c r="B192" t="str">
        <f>检查点拆解!D192</f>
        <v>C28</v>
      </c>
      <c r="C192" s="2">
        <f>--(COUNTIFS($A$2:A192,A192,$B$2:B192,B192)=1)</f>
        <v>1</v>
      </c>
      <c r="D192" t="str">
        <f>检查点拆解!F192</f>
        <v>D12.02.02</v>
      </c>
      <c r="E192" s="2">
        <f>--(COUNTIFS($A$2:A192,A192,$D$2:D192,D192)=1)</f>
        <v>1</v>
      </c>
    </row>
    <row r="193" spans="1:5">
      <c r="A193" t="str">
        <f>检查点拆解!A193</f>
        <v>Q0024</v>
      </c>
      <c r="B193" t="str">
        <f>检查点拆解!D193</f>
        <v>C28</v>
      </c>
      <c r="C193" s="2">
        <f>--(COUNTIFS($A$2:A193,A193,$B$2:B193,B193)=1)</f>
        <v>0</v>
      </c>
      <c r="D193" t="str">
        <f>检查点拆解!F193</f>
        <v>D12.01.01</v>
      </c>
      <c r="E193" s="2">
        <f>--(COUNTIFS($A$2:A193,A193,$D$2:D193,D193)=1)</f>
        <v>1</v>
      </c>
    </row>
    <row r="194" spans="1:5">
      <c r="A194" t="str">
        <f>检查点拆解!A194</f>
        <v>Q0024</v>
      </c>
      <c r="B194" t="str">
        <f>检查点拆解!D194</f>
        <v>C28</v>
      </c>
      <c r="C194" s="2">
        <f>--(COUNTIFS($A$2:A194,A194,$B$2:B194,B194)=1)</f>
        <v>0</v>
      </c>
      <c r="D194" t="str">
        <f>检查点拆解!F194</f>
        <v>D12.01.02</v>
      </c>
      <c r="E194" s="2">
        <f>--(COUNTIFS($A$2:A194,A194,$D$2:D194,D194)=1)</f>
        <v>1</v>
      </c>
    </row>
    <row r="195" spans="1:5">
      <c r="A195" t="str">
        <f>检查点拆解!A195</f>
        <v>Q0024</v>
      </c>
      <c r="B195" t="str">
        <f>检查点拆解!D195</f>
        <v>C07</v>
      </c>
      <c r="C195" s="2">
        <f>--(COUNTIFS($A$2:A195,A195,$B$2:B195,B195)=1)</f>
        <v>1</v>
      </c>
      <c r="D195" t="str">
        <f>检查点拆解!F195</f>
        <v>D03.02.03</v>
      </c>
      <c r="E195" s="2">
        <f>--(COUNTIFS($A$2:A195,A195,$D$2:D195,D195)=1)</f>
        <v>1</v>
      </c>
    </row>
    <row r="196" spans="1:5">
      <c r="A196" t="str">
        <f>检查点拆解!A196</f>
        <v>Q0024</v>
      </c>
      <c r="B196" t="str">
        <f>检查点拆解!D196</f>
        <v>C06</v>
      </c>
      <c r="C196" s="2">
        <f>--(COUNTIFS($A$2:A196,A196,$B$2:B196,B196)=1)</f>
        <v>0</v>
      </c>
      <c r="D196" t="str">
        <f>检查点拆解!F196</f>
        <v>D03.01.01</v>
      </c>
      <c r="E196" s="2">
        <f>--(COUNTIFS($A$2:A196,A196,$D$2:D196,D196)=1)</f>
        <v>1</v>
      </c>
    </row>
    <row r="197" spans="1:5">
      <c r="A197" t="str">
        <f>检查点拆解!A197</f>
        <v>Q0024</v>
      </c>
      <c r="B197" t="str">
        <f>检查点拆解!D197</f>
        <v>C03</v>
      </c>
      <c r="C197" s="2">
        <f>--(COUNTIFS($A$2:A197,A197,$B$2:B197,B197)=1)</f>
        <v>1</v>
      </c>
      <c r="D197" t="str">
        <f>检查点拆解!F197</f>
        <v>D02.01.03</v>
      </c>
      <c r="E197" s="2">
        <f>--(COUNTIFS($A$2:A197,A197,$D$2:D197,D197)=1)</f>
        <v>1</v>
      </c>
    </row>
    <row r="198" spans="1:5">
      <c r="A198" t="str">
        <f>检查点拆解!A198</f>
        <v>Q0024</v>
      </c>
      <c r="B198" t="str">
        <f>检查点拆解!D198</f>
        <v>C08</v>
      </c>
      <c r="C198" s="2">
        <f>--(COUNTIFS($A$2:A198,A198,$B$2:B198,B198)=1)</f>
        <v>1</v>
      </c>
      <c r="D198" t="str">
        <f>检查点拆解!F198</f>
        <v>D04.01.01</v>
      </c>
      <c r="E198" s="2">
        <f>--(COUNTIFS($A$2:A198,A198,$D$2:D198,D198)=1)</f>
        <v>1</v>
      </c>
    </row>
    <row r="199" spans="1:5">
      <c r="A199" t="str">
        <f>检查点拆解!A199</f>
        <v>Q0025</v>
      </c>
      <c r="B199" t="str">
        <f>检查点拆解!D199</f>
        <v>C10</v>
      </c>
      <c r="C199" s="2">
        <f>--(COUNTIFS($A$2:A199,A199,$B$2:B199,B199)=1)</f>
        <v>1</v>
      </c>
      <c r="D199" t="str">
        <f>检查点拆解!F199</f>
        <v>D04.03.01</v>
      </c>
      <c r="E199" s="2">
        <f>--(COUNTIFS($A$2:A199,A199,$D$2:D199,D199)=1)</f>
        <v>1</v>
      </c>
    </row>
    <row r="200" spans="1:5">
      <c r="A200" t="str">
        <f>检查点拆解!A200</f>
        <v>Q0025</v>
      </c>
      <c r="B200" t="str">
        <f>检查点拆解!D200</f>
        <v>C15</v>
      </c>
      <c r="C200" s="2">
        <f>--(COUNTIFS($A$2:A200,A200,$B$2:B200,B200)=1)</f>
        <v>1</v>
      </c>
      <c r="D200" t="str">
        <f>检查点拆解!F200</f>
        <v>D05.02.03</v>
      </c>
      <c r="E200" s="2">
        <f>--(COUNTIFS($A$2:A200,A200,$D$2:D200,D200)=1)</f>
        <v>1</v>
      </c>
    </row>
    <row r="201" spans="1:5">
      <c r="A201" t="str">
        <f>检查点拆解!A201</f>
        <v>Q0025</v>
      </c>
      <c r="B201" t="str">
        <f>检查点拆解!D201</f>
        <v>C14</v>
      </c>
      <c r="C201" s="2">
        <f>--(COUNTIFS($A$2:A201,A201,$B$2:B201,B201)=1)</f>
        <v>1</v>
      </c>
      <c r="D201" t="str">
        <f>检查点拆解!F201</f>
        <v>D05.01.01</v>
      </c>
      <c r="E201" s="2">
        <f>--(COUNTIFS($A$2:A201,A201,$D$2:D201,D201)=1)</f>
        <v>1</v>
      </c>
    </row>
    <row r="202" spans="1:5">
      <c r="A202" t="str">
        <f>检查点拆解!A202</f>
        <v>Q0025</v>
      </c>
      <c r="B202" t="str">
        <f>检查点拆解!D202</f>
        <v>C03</v>
      </c>
      <c r="C202" s="2">
        <f>--(COUNTIFS($A$2:A202,A202,$B$2:B202,B202)=1)</f>
        <v>1</v>
      </c>
      <c r="D202" t="str">
        <f>检查点拆解!F202</f>
        <v>D02.01.01</v>
      </c>
      <c r="E202" s="2">
        <f>--(COUNTIFS($A$2:A202,A202,$D$2:D202,D202)=1)</f>
        <v>1</v>
      </c>
    </row>
    <row r="203" spans="1:5">
      <c r="A203" t="str">
        <f>检查点拆解!A203</f>
        <v>Q0025</v>
      </c>
      <c r="B203" t="str">
        <f>检查点拆解!D203</f>
        <v>C08</v>
      </c>
      <c r="C203" s="2">
        <f>--(COUNTIFS($A$2:A203,A203,$B$2:B203,B203)=1)</f>
        <v>1</v>
      </c>
      <c r="D203" t="str">
        <f>检查点拆解!F203</f>
        <v>D03.03.01</v>
      </c>
      <c r="E203" s="2">
        <f>--(COUNTIFS($A$2:A203,A203,$D$2:D203,D203)=1)</f>
        <v>1</v>
      </c>
    </row>
    <row r="204" spans="1:5">
      <c r="A204" t="str">
        <f>检查点拆解!A204</f>
        <v>Q0026</v>
      </c>
      <c r="B204" t="str">
        <f>检查点拆解!D204</f>
        <v>C29</v>
      </c>
      <c r="C204" s="2">
        <f>--(COUNTIFS($A$2:A204,A204,$B$2:B204,B204)=1)</f>
        <v>1</v>
      </c>
      <c r="D204" t="str">
        <f>检查点拆解!F204</f>
        <v>D14.01.01</v>
      </c>
      <c r="E204" s="2">
        <f>--(COUNTIFS($A$2:A204,A204,$D$2:D204,D204)=1)</f>
        <v>1</v>
      </c>
    </row>
    <row r="205" spans="1:5">
      <c r="A205" t="str">
        <f>检查点拆解!A205</f>
        <v>Q0026</v>
      </c>
      <c r="B205" t="str">
        <f>检查点拆解!D205</f>
        <v>C30</v>
      </c>
      <c r="C205" s="2">
        <f>--(COUNTIFS($A$2:A205,A205,$B$2:B205,B205)=1)</f>
        <v>1</v>
      </c>
      <c r="D205" t="str">
        <f>检查点拆解!F205</f>
        <v>D15.01.02</v>
      </c>
      <c r="E205" s="2">
        <f>--(COUNTIFS($A$2:A205,A205,$D$2:D205,D205)=1)</f>
        <v>1</v>
      </c>
    </row>
    <row r="206" spans="1:5">
      <c r="A206" t="str">
        <f>检查点拆解!A206</f>
        <v>Q0026</v>
      </c>
      <c r="B206" t="str">
        <f>检查点拆解!D206</f>
        <v>C17</v>
      </c>
      <c r="C206" s="2">
        <f>--(COUNTIFS($A$2:A206,A206,$B$2:B206,B206)=1)</f>
        <v>1</v>
      </c>
      <c r="D206" t="str">
        <f>检查点拆解!F206</f>
        <v>D06.01.03</v>
      </c>
      <c r="E206" s="2">
        <f>--(COUNTIFS($A$2:A206,A206,$D$2:D206,D206)=1)</f>
        <v>1</v>
      </c>
    </row>
    <row r="207" spans="1:5">
      <c r="A207" t="str">
        <f>检查点拆解!A207</f>
        <v>Q0026</v>
      </c>
      <c r="B207" t="str">
        <f>检查点拆解!D207</f>
        <v>C30</v>
      </c>
      <c r="C207" s="2">
        <f>--(COUNTIFS($A$2:A207,A207,$B$2:B207,B207)=1)</f>
        <v>0</v>
      </c>
      <c r="D207" t="str">
        <f>检查点拆解!F207</f>
        <v>D15.01.04</v>
      </c>
      <c r="E207" s="2">
        <f>--(COUNTIFS($A$2:A207,A207,$D$2:D207,D207)=1)</f>
        <v>1</v>
      </c>
    </row>
    <row r="208" spans="1:5">
      <c r="A208" t="str">
        <f>检查点拆解!A208</f>
        <v>Q0026</v>
      </c>
      <c r="B208" t="str">
        <f>检查点拆解!D208</f>
        <v>C23</v>
      </c>
      <c r="C208" s="2">
        <f>--(COUNTIFS($A$2:A208,A208,$B$2:B208,B208)=1)</f>
        <v>1</v>
      </c>
      <c r="D208" t="str">
        <f>检查点拆解!F208</f>
        <v>D09.01.01</v>
      </c>
      <c r="E208" s="2">
        <f>--(COUNTIFS($A$2:A208,A208,$D$2:D208,D208)=1)</f>
        <v>1</v>
      </c>
    </row>
    <row r="209" spans="1:5">
      <c r="A209" t="str">
        <f>检查点拆解!A209</f>
        <v>Q0026</v>
      </c>
      <c r="B209" t="str">
        <f>检查点拆解!D209</f>
        <v>C28</v>
      </c>
      <c r="C209" s="2">
        <f>--(COUNTIFS($A$2:A209,A209,$B$2:B209,B209)=1)</f>
        <v>1</v>
      </c>
      <c r="D209" t="str">
        <f>检查点拆解!F209</f>
        <v>D12.01.01</v>
      </c>
      <c r="E209" s="2">
        <f>--(COUNTIFS($A$2:A209,A209,$D$2:D209,D209)=1)</f>
        <v>1</v>
      </c>
    </row>
    <row r="210" spans="1:5">
      <c r="A210" t="str">
        <f>检查点拆解!A210</f>
        <v>Q0026</v>
      </c>
      <c r="B210" t="str">
        <f>检查点拆解!D210</f>
        <v>C28</v>
      </c>
      <c r="C210" s="2">
        <f>--(COUNTIFS($A$2:A210,A210,$B$2:B210,B210)=1)</f>
        <v>0</v>
      </c>
      <c r="D210" t="str">
        <f>检查点拆解!F210</f>
        <v>D12.01.02</v>
      </c>
      <c r="E210" s="2">
        <f>--(COUNTIFS($A$2:A210,A210,$D$2:D210,D210)=1)</f>
        <v>1</v>
      </c>
    </row>
    <row r="211" spans="1:5">
      <c r="A211" t="str">
        <f>检查点拆解!A211</f>
        <v>Q0026</v>
      </c>
      <c r="B211" t="str">
        <f>检查点拆解!D211</f>
        <v>C04</v>
      </c>
      <c r="C211" s="2">
        <f>--(COUNTIFS($A$2:A211,A211,$B$2:B211,B211)=1)</f>
        <v>1</v>
      </c>
      <c r="D211" t="str">
        <f>检查点拆解!F211</f>
        <v>D02.02.01</v>
      </c>
      <c r="E211" s="2">
        <f>--(COUNTIFS($A$2:A211,A211,$D$2:D211,D211)=1)</f>
        <v>1</v>
      </c>
    </row>
    <row r="212" spans="1:5">
      <c r="A212" t="str">
        <f>检查点拆解!A212</f>
        <v>Q0027</v>
      </c>
      <c r="B212" t="str">
        <f>检查点拆解!D212</f>
        <v>C30</v>
      </c>
      <c r="C212" s="2">
        <f>--(COUNTIFS($A$2:A212,A212,$B$2:B212,B212)=1)</f>
        <v>1</v>
      </c>
      <c r="D212" t="str">
        <f>检查点拆解!F212</f>
        <v>D15.01.02</v>
      </c>
      <c r="E212" s="2">
        <f>--(COUNTIFS($A$2:A212,A212,$D$2:D212,D212)=1)</f>
        <v>1</v>
      </c>
    </row>
    <row r="213" spans="1:5">
      <c r="A213" t="str">
        <f>检查点拆解!A213</f>
        <v>Q0027</v>
      </c>
      <c r="B213" t="str">
        <f>检查点拆解!D213</f>
        <v>C14</v>
      </c>
      <c r="C213" s="2">
        <f>--(COUNTIFS($A$2:A213,A213,$B$2:B213,B213)=1)</f>
        <v>1</v>
      </c>
      <c r="D213" t="str">
        <f>检查点拆解!F213</f>
        <v>D08.01.01</v>
      </c>
      <c r="E213" s="2">
        <f>--(COUNTIFS($A$2:A213,A213,$D$2:D213,D213)=1)</f>
        <v>1</v>
      </c>
    </row>
    <row r="214" spans="1:5">
      <c r="A214" t="str">
        <f>检查点拆解!A214</f>
        <v>Q0027</v>
      </c>
      <c r="B214" t="str">
        <f>检查点拆解!D214</f>
        <v>C15</v>
      </c>
      <c r="C214" s="2">
        <f>--(COUNTIFS($A$2:A214,A214,$B$2:B214,B214)=1)</f>
        <v>1</v>
      </c>
      <c r="D214" t="str">
        <f>检查点拆解!F214</f>
        <v>D05.02.01</v>
      </c>
      <c r="E214" s="2">
        <f>--(COUNTIFS($A$2:A214,A214,$D$2:D214,D214)=1)</f>
        <v>1</v>
      </c>
    </row>
    <row r="215" spans="1:5">
      <c r="A215" t="str">
        <f>检查点拆解!A215</f>
        <v>Q0027</v>
      </c>
      <c r="B215" t="str">
        <f>检查点拆解!D215</f>
        <v>C03</v>
      </c>
      <c r="C215" s="2">
        <f>--(COUNTIFS($A$2:A215,A215,$B$2:B215,B215)=1)</f>
        <v>1</v>
      </c>
      <c r="D215" t="str">
        <f>检查点拆解!F215</f>
        <v>D02.01.01</v>
      </c>
      <c r="E215" s="2">
        <f>--(COUNTIFS($A$2:A215,A215,$D$2:D215,D215)=1)</f>
        <v>1</v>
      </c>
    </row>
    <row r="216" spans="1:5">
      <c r="A216" t="str">
        <f>检查点拆解!A216</f>
        <v>Q0027</v>
      </c>
      <c r="B216" t="str">
        <f>检查点拆解!D216</f>
        <v>C08</v>
      </c>
      <c r="C216" s="2">
        <f>--(COUNTIFS($A$2:A216,A216,$B$2:B216,B216)=1)</f>
        <v>1</v>
      </c>
      <c r="D216" t="str">
        <f>检查点拆解!F216</f>
        <v>D03.03.01</v>
      </c>
      <c r="E216" s="2">
        <f>--(COUNTIFS($A$2:A216,A216,$D$2:D216,D216)=1)</f>
        <v>1</v>
      </c>
    </row>
    <row r="217" spans="1:5">
      <c r="A217" t="str">
        <f>检查点拆解!A217</f>
        <v>Q0028</v>
      </c>
      <c r="B217" t="str">
        <f>检查点拆解!D217</f>
        <v>C30</v>
      </c>
      <c r="C217" s="2">
        <f>--(COUNTIFS($A$2:A217,A217,$B$2:B217,B217)=1)</f>
        <v>1</v>
      </c>
      <c r="D217" t="str">
        <f>检查点拆解!F217</f>
        <v>D15.01.01</v>
      </c>
      <c r="E217" s="2">
        <f>--(COUNTIFS($A$2:A217,A217,$D$2:D217,D217)=1)</f>
        <v>1</v>
      </c>
    </row>
    <row r="218" spans="1:5">
      <c r="A218" t="str">
        <f>检查点拆解!A218</f>
        <v>Q0028</v>
      </c>
      <c r="B218" t="str">
        <f>检查点拆解!D218</f>
        <v>C24</v>
      </c>
      <c r="C218" s="2">
        <f>--(COUNTIFS($A$2:A218,A218,$B$2:B218,B218)=1)</f>
        <v>1</v>
      </c>
      <c r="D218" t="str">
        <f>检查点拆解!F218</f>
        <v>D09.02.02</v>
      </c>
      <c r="E218" s="2">
        <f>--(COUNTIFS($A$2:A218,A218,$D$2:D218,D218)=1)</f>
        <v>1</v>
      </c>
    </row>
    <row r="219" spans="1:5">
      <c r="A219" t="str">
        <f>检查点拆解!A219</f>
        <v>Q0028</v>
      </c>
      <c r="B219" t="str">
        <f>检查点拆解!D219</f>
        <v>C27</v>
      </c>
      <c r="C219" s="2">
        <f>--(COUNTIFS($A$2:A219,A219,$B$2:B219,B219)=1)</f>
        <v>1</v>
      </c>
      <c r="D219" t="str">
        <f>检查点拆解!F219</f>
        <v>D11.01.02</v>
      </c>
      <c r="E219" s="2">
        <f>--(COUNTIFS($A$2:A219,A219,$D$2:D219,D219)=1)</f>
        <v>1</v>
      </c>
    </row>
    <row r="220" spans="1:5">
      <c r="A220" t="str">
        <f>检查点拆解!A220</f>
        <v>Q0028</v>
      </c>
      <c r="B220" t="str">
        <f>检查点拆解!D220</f>
        <v>C06</v>
      </c>
      <c r="C220" s="2">
        <f>--(COUNTIFS($A$2:A220,A220,$B$2:B220,B220)=1)</f>
        <v>1</v>
      </c>
      <c r="D220" t="str">
        <f>检查点拆解!F220</f>
        <v>D03.01.03</v>
      </c>
      <c r="E220" s="2">
        <f>--(COUNTIFS($A$2:A220,A220,$D$2:D220,D220)=1)</f>
        <v>1</v>
      </c>
    </row>
    <row r="221" spans="1:5">
      <c r="A221" t="str">
        <f>检查点拆解!A221</f>
        <v>Q0028</v>
      </c>
      <c r="B221" t="str">
        <f>检查点拆解!D221</f>
        <v>C24</v>
      </c>
      <c r="C221" s="2">
        <f>--(COUNTIFS($A$2:A221,A221,$B$2:B221,B221)=1)</f>
        <v>0</v>
      </c>
      <c r="D221" t="str">
        <f>检查点拆解!F221</f>
        <v>D09.02.03</v>
      </c>
      <c r="E221" s="2">
        <f>--(COUNTIFS($A$2:A221,A221,$D$2:D221,D221)=1)</f>
        <v>1</v>
      </c>
    </row>
    <row r="222" spans="1:5">
      <c r="A222" t="str">
        <f>检查点拆解!A222</f>
        <v>Q0028</v>
      </c>
      <c r="B222" t="str">
        <f>检查点拆解!D222</f>
        <v>C30</v>
      </c>
      <c r="C222" s="2">
        <f>--(COUNTIFS($A$2:A222,A222,$B$2:B222,B222)=1)</f>
        <v>0</v>
      </c>
      <c r="D222" t="str">
        <f>检查点拆解!F222</f>
        <v>D15.01.04</v>
      </c>
      <c r="E222" s="2">
        <f>--(COUNTIFS($A$2:A222,A222,$D$2:D222,D222)=1)</f>
        <v>1</v>
      </c>
    </row>
    <row r="223" spans="1:5">
      <c r="A223" t="str">
        <f>检查点拆解!A223</f>
        <v>Q0028</v>
      </c>
      <c r="B223" t="str">
        <f>检查点拆解!D223</f>
        <v>C06</v>
      </c>
      <c r="C223" s="2">
        <f>--(COUNTIFS($A$2:A223,A223,$B$2:B223,B223)=1)</f>
        <v>0</v>
      </c>
      <c r="D223" t="str">
        <f>检查点拆解!F223</f>
        <v>D03.01.02</v>
      </c>
      <c r="E223" s="2">
        <f>--(COUNTIFS($A$2:A223,A223,$D$2:D223,D223)=1)</f>
        <v>1</v>
      </c>
    </row>
    <row r="224" spans="1:5">
      <c r="A224" t="str">
        <f>检查点拆解!A224</f>
        <v>Q0028</v>
      </c>
      <c r="B224" t="str">
        <f>检查点拆解!D224</f>
        <v>C26</v>
      </c>
      <c r="C224" s="2">
        <f>--(COUNTIFS($A$2:A224,A224,$B$2:B224,B224)=1)</f>
        <v>1</v>
      </c>
      <c r="D224" t="str">
        <f>检查点拆解!F224</f>
        <v>D10.02.02</v>
      </c>
      <c r="E224" s="2">
        <f>--(COUNTIFS($A$2:A224,A224,$D$2:D224,D224)=1)</f>
        <v>1</v>
      </c>
    </row>
    <row r="225" spans="1:5">
      <c r="A225" t="str">
        <f>检查点拆解!A225</f>
        <v>Q0028</v>
      </c>
      <c r="B225" t="str">
        <f>检查点拆解!D225</f>
        <v>C13</v>
      </c>
      <c r="C225" s="2">
        <f>--(COUNTIFS($A$2:A225,A225,$B$2:B225,B225)=1)</f>
        <v>1</v>
      </c>
      <c r="D225" t="str">
        <f>检查点拆解!F225</f>
        <v>D04.04.01</v>
      </c>
      <c r="E225" s="2">
        <f>--(COUNTIFS($A$2:A225,A225,$D$2:D225,D225)=1)</f>
        <v>1</v>
      </c>
    </row>
    <row r="226" spans="1:5">
      <c r="A226" t="str">
        <f>检查点拆解!A226</f>
        <v>Q0028</v>
      </c>
      <c r="B226" t="str">
        <f>检查点拆解!D226</f>
        <v>C28</v>
      </c>
      <c r="C226" s="2">
        <f>--(COUNTIFS($A$2:A226,A226,$B$2:B226,B226)=1)</f>
        <v>1</v>
      </c>
      <c r="D226" t="str">
        <f>检查点拆解!F226</f>
        <v>D13.02.02</v>
      </c>
      <c r="E226" s="2">
        <f>--(COUNTIFS($A$2:A226,A226,$D$2:D226,D226)=1)</f>
        <v>1</v>
      </c>
    </row>
    <row r="227" spans="1:5">
      <c r="A227" t="str">
        <f>检查点拆解!A227</f>
        <v>Q0029</v>
      </c>
      <c r="B227" t="str">
        <f>检查点拆解!D227</f>
        <v>C30</v>
      </c>
      <c r="C227" s="2">
        <f>--(COUNTIFS($A$2:A227,A227,$B$2:B227,B227)=1)</f>
        <v>1</v>
      </c>
      <c r="D227" t="str">
        <f>检查点拆解!F227</f>
        <v>D15.01.02</v>
      </c>
      <c r="E227" s="2">
        <f>--(COUNTIFS($A$2:A227,A227,$D$2:D227,D227)=1)</f>
        <v>1</v>
      </c>
    </row>
    <row r="228" spans="1:5">
      <c r="A228" t="str">
        <f>检查点拆解!A228</f>
        <v>Q0029</v>
      </c>
      <c r="B228" t="str">
        <f>检查点拆解!D228</f>
        <v>C30</v>
      </c>
      <c r="C228" s="2">
        <f>--(COUNTIFS($A$2:A228,A228,$B$2:B228,B228)=1)</f>
        <v>0</v>
      </c>
      <c r="D228" t="str">
        <f>检查点拆解!F228</f>
        <v>D15.02.01</v>
      </c>
      <c r="E228" s="2">
        <f>--(COUNTIFS($A$2:A228,A228,$D$2:D228,D228)=1)</f>
        <v>1</v>
      </c>
    </row>
    <row r="229" spans="1:5">
      <c r="A229" t="str">
        <f>检查点拆解!A229</f>
        <v>Q0029</v>
      </c>
      <c r="B229" t="str">
        <f>检查点拆解!D229</f>
        <v>C27</v>
      </c>
      <c r="C229" s="2">
        <f>--(COUNTIFS($A$2:A229,A229,$B$2:B229,B229)=1)</f>
        <v>1</v>
      </c>
      <c r="D229" t="str">
        <f>检查点拆解!F229</f>
        <v>D11.02.01</v>
      </c>
      <c r="E229" s="2">
        <f>--(COUNTIFS($A$2:A229,A229,$D$2:D229,D229)=1)</f>
        <v>1</v>
      </c>
    </row>
    <row r="230" spans="1:5">
      <c r="A230" t="str">
        <f>检查点拆解!A230</f>
        <v>Q0029</v>
      </c>
      <c r="B230" t="str">
        <f>检查点拆解!D230</f>
        <v>C27</v>
      </c>
      <c r="C230" s="2">
        <f>--(COUNTIFS($A$2:A230,A230,$B$2:B230,B230)=1)</f>
        <v>0</v>
      </c>
      <c r="D230" t="str">
        <f>检查点拆解!F230</f>
        <v>D11.02.03</v>
      </c>
      <c r="E230" s="2">
        <f>--(COUNTIFS($A$2:A230,A230,$D$2:D230,D230)=1)</f>
        <v>1</v>
      </c>
    </row>
    <row r="231" spans="1:5">
      <c r="A231" t="str">
        <f>检查点拆解!A231</f>
        <v>Q0029</v>
      </c>
      <c r="B231" t="str">
        <f>检查点拆解!D231</f>
        <v>C30</v>
      </c>
      <c r="C231" s="2">
        <f>--(COUNTIFS($A$2:A231,A231,$B$2:B231,B231)=1)</f>
        <v>0</v>
      </c>
      <c r="D231" t="str">
        <f>检查点拆解!F231</f>
        <v>D15.01.03</v>
      </c>
      <c r="E231" s="2">
        <f>--(COUNTIFS($A$2:A231,A231,$D$2:D231,D231)=1)</f>
        <v>1</v>
      </c>
    </row>
    <row r="232" spans="1:5">
      <c r="A232" t="str">
        <f>检查点拆解!A232</f>
        <v>Q0029</v>
      </c>
      <c r="B232" t="str">
        <f>检查点拆解!D232</f>
        <v>C21</v>
      </c>
      <c r="C232" s="2">
        <f>--(COUNTIFS($A$2:A232,A232,$B$2:B232,B232)=1)</f>
        <v>1</v>
      </c>
      <c r="D232" t="str">
        <f>检查点拆解!F232</f>
        <v>D07.03.01</v>
      </c>
      <c r="E232" s="2">
        <f>--(COUNTIFS($A$2:A232,A232,$D$2:D232,D232)=1)</f>
        <v>1</v>
      </c>
    </row>
    <row r="233" spans="1:5">
      <c r="A233" t="str">
        <f>检查点拆解!A233</f>
        <v>Q0029</v>
      </c>
      <c r="B233" t="str">
        <f>检查点拆解!D233</f>
        <v>C24</v>
      </c>
      <c r="C233" s="2">
        <f>--(COUNTIFS($A$2:A233,A233,$B$2:B233,B233)=1)</f>
        <v>1</v>
      </c>
      <c r="D233" t="str">
        <f>检查点拆解!F233</f>
        <v>D09.02.03</v>
      </c>
      <c r="E233" s="2">
        <f>--(COUNTIFS($A$2:A233,A233,$D$2:D233,D233)=1)</f>
        <v>1</v>
      </c>
    </row>
    <row r="234" spans="1:5">
      <c r="A234" t="str">
        <f>检查点拆解!A234</f>
        <v>Q0029</v>
      </c>
      <c r="B234" t="str">
        <f>检查点拆解!D234</f>
        <v>C25</v>
      </c>
      <c r="C234" s="2">
        <f>--(COUNTIFS($A$2:A234,A234,$B$2:B234,B234)=1)</f>
        <v>1</v>
      </c>
      <c r="D234" t="str">
        <f>检查点拆解!F234</f>
        <v>D10.01.01</v>
      </c>
      <c r="E234" s="2">
        <f>--(COUNTIFS($A$2:A234,A234,$D$2:D234,D234)=1)</f>
        <v>1</v>
      </c>
    </row>
    <row r="235" spans="1:5">
      <c r="A235" t="str">
        <f>检查点拆解!A235</f>
        <v>Q0029</v>
      </c>
      <c r="B235" t="str">
        <f>检查点拆解!D235</f>
        <v>C30</v>
      </c>
      <c r="C235" s="2">
        <f>--(COUNTIFS($A$2:A235,A235,$B$2:B235,B235)=1)</f>
        <v>0</v>
      </c>
      <c r="D235" t="str">
        <f>检查点拆解!F235</f>
        <v>D15.01.04</v>
      </c>
      <c r="E235" s="2">
        <f>--(COUNTIFS($A$2:A235,A235,$D$2:D235,D235)=1)</f>
        <v>1</v>
      </c>
    </row>
    <row r="236" spans="1:5">
      <c r="A236" t="str">
        <f>检查点拆解!A236</f>
        <v>Q0029</v>
      </c>
      <c r="B236" t="str">
        <f>检查点拆解!D236</f>
        <v>C08</v>
      </c>
      <c r="C236" s="2">
        <f>--(COUNTIFS($A$2:A236,A236,$B$2:B236,B236)=1)</f>
        <v>1</v>
      </c>
      <c r="D236" t="str">
        <f>检查点拆解!F236</f>
        <v>D04.01.02</v>
      </c>
      <c r="E236" s="2">
        <f>--(COUNTIFS($A$2:A236,A236,$D$2:D236,D236)=1)</f>
        <v>1</v>
      </c>
    </row>
    <row r="237" spans="1:5">
      <c r="A237" t="str">
        <f>检查点拆解!A237</f>
        <v>Q0030</v>
      </c>
      <c r="B237" t="str">
        <f>检查点拆解!D237</f>
        <v>C30</v>
      </c>
      <c r="C237" s="2">
        <f>--(COUNTIFS($A$2:A237,A237,$B$2:B237,B237)=1)</f>
        <v>1</v>
      </c>
      <c r="D237" t="str">
        <f>检查点拆解!F237</f>
        <v>D15.01.02</v>
      </c>
      <c r="E237" s="2">
        <f>--(COUNTIFS($A$2:A237,A237,$D$2:D237,D237)=1)</f>
        <v>1</v>
      </c>
    </row>
    <row r="238" spans="1:5">
      <c r="A238" t="str">
        <f>检查点拆解!A238</f>
        <v>Q0030</v>
      </c>
      <c r="B238" t="str">
        <f>检查点拆解!D238</f>
        <v>C17</v>
      </c>
      <c r="C238" s="2">
        <f>--(COUNTIFS($A$2:A238,A238,$B$2:B238,B238)=1)</f>
        <v>1</v>
      </c>
      <c r="D238" t="str">
        <f>检查点拆解!F238</f>
        <v>D06.03.01</v>
      </c>
      <c r="E238" s="2">
        <f>--(COUNTIFS($A$2:A238,A238,$D$2:D238,D238)=1)</f>
        <v>1</v>
      </c>
    </row>
    <row r="239" spans="1:5">
      <c r="A239" t="str">
        <f>检查点拆解!A239</f>
        <v>Q0030</v>
      </c>
      <c r="B239" t="str">
        <f>检查点拆解!D239</f>
        <v>C27</v>
      </c>
      <c r="C239" s="2">
        <f>--(COUNTIFS($A$2:A239,A239,$B$2:B239,B239)=1)</f>
        <v>1</v>
      </c>
      <c r="D239" t="str">
        <f>检查点拆解!F239</f>
        <v>D11.01.02</v>
      </c>
      <c r="E239" s="2">
        <f>--(COUNTIFS($A$2:A239,A239,$D$2:D239,D239)=1)</f>
        <v>1</v>
      </c>
    </row>
    <row r="240" spans="1:5">
      <c r="A240" t="str">
        <f>检查点拆解!A240</f>
        <v>Q0030</v>
      </c>
      <c r="B240" t="str">
        <f>检查点拆解!D240</f>
        <v>C25</v>
      </c>
      <c r="C240" s="2">
        <f>--(COUNTIFS($A$2:A240,A240,$B$2:B240,B240)=1)</f>
        <v>1</v>
      </c>
      <c r="D240" t="str">
        <f>检查点拆解!F240</f>
        <v>D10.01.01</v>
      </c>
      <c r="E240" s="2">
        <f>--(COUNTIFS($A$2:A240,A240,$D$2:D240,D240)=1)</f>
        <v>1</v>
      </c>
    </row>
    <row r="241" spans="1:5">
      <c r="A241" t="str">
        <f>检查点拆解!A241</f>
        <v>Q0030</v>
      </c>
      <c r="B241" t="str">
        <f>检查点拆解!D241</f>
        <v>C28</v>
      </c>
      <c r="C241" s="2">
        <f>--(COUNTIFS($A$2:A241,A241,$B$2:B241,B241)=1)</f>
        <v>1</v>
      </c>
      <c r="D241" t="str">
        <f>检查点拆解!F241</f>
        <v>D12.02.01</v>
      </c>
      <c r="E241" s="2">
        <f>--(COUNTIFS($A$2:A241,A241,$D$2:D241,D241)=1)</f>
        <v>1</v>
      </c>
    </row>
    <row r="242" spans="1:5">
      <c r="A242" t="str">
        <f>检查点拆解!A242</f>
        <v>Q0030</v>
      </c>
      <c r="B242" t="str">
        <f>检查点拆解!D242</f>
        <v>C28</v>
      </c>
      <c r="C242" s="2">
        <f>--(COUNTIFS($A$2:A242,A242,$B$2:B242,B242)=1)</f>
        <v>0</v>
      </c>
      <c r="D242" t="str">
        <f>检查点拆解!F242</f>
        <v>D12.01.01</v>
      </c>
      <c r="E242" s="2">
        <f>--(COUNTIFS($A$2:A242,A242,$D$2:D242,D242)=1)</f>
        <v>1</v>
      </c>
    </row>
    <row r="243" spans="1:5">
      <c r="A243" t="str">
        <f>检查点拆解!A243</f>
        <v>Q0030</v>
      </c>
      <c r="B243" t="str">
        <f>检查点拆解!D243</f>
        <v>C28</v>
      </c>
      <c r="C243" s="2">
        <f>--(COUNTIFS($A$2:A243,A243,$B$2:B243,B243)=1)</f>
        <v>0</v>
      </c>
      <c r="D243" t="str">
        <f>检查点拆解!F243</f>
        <v>D12.01.02</v>
      </c>
      <c r="E243" s="2">
        <f>--(COUNTIFS($A$2:A243,A243,$D$2:D243,D243)=1)</f>
        <v>1</v>
      </c>
    </row>
    <row r="244" spans="1:5">
      <c r="A244" t="str">
        <f>检查点拆解!A244</f>
        <v>Q0030</v>
      </c>
      <c r="B244" t="str">
        <f>检查点拆解!D244</f>
        <v>C04</v>
      </c>
      <c r="C244" s="2">
        <f>--(COUNTIFS($A$2:A244,A244,$B$2:B244,B244)=1)</f>
        <v>1</v>
      </c>
      <c r="D244" t="str">
        <f>检查点拆解!F244</f>
        <v>D02.02.03</v>
      </c>
      <c r="E244" s="2">
        <f>--(COUNTIFS($A$2:A244,A244,$D$2:D244,D244)=1)</f>
        <v>1</v>
      </c>
    </row>
    <row r="245" spans="1:5">
      <c r="A245" t="str">
        <f>检查点拆解!A245</f>
        <v>Q0031</v>
      </c>
      <c r="B245" t="str">
        <f>检查点拆解!D245</f>
        <v>C18</v>
      </c>
      <c r="C245" s="2">
        <f>--(COUNTIFS($A$2:A245,A245,$B$2:B245,B245)=1)</f>
        <v>1</v>
      </c>
      <c r="D245" t="str">
        <f>检查点拆解!F245</f>
        <v>D07.01.03</v>
      </c>
      <c r="E245" s="2">
        <f>--(COUNTIFS($A$2:A245,A245,$D$2:D245,D245)=1)</f>
        <v>1</v>
      </c>
    </row>
    <row r="246" spans="1:5">
      <c r="A246" t="str">
        <f>检查点拆解!A246</f>
        <v>Q0031</v>
      </c>
      <c r="B246" t="str">
        <f>检查点拆解!D246</f>
        <v>C24</v>
      </c>
      <c r="C246" s="2">
        <f>--(COUNTIFS($A$2:A246,A246,$B$2:B246,B246)=1)</f>
        <v>1</v>
      </c>
      <c r="D246" t="str">
        <f>检查点拆解!F246</f>
        <v>D09.02.02</v>
      </c>
      <c r="E246" s="2">
        <f>--(COUNTIFS($A$2:A246,A246,$D$2:D246,D246)=1)</f>
        <v>1</v>
      </c>
    </row>
    <row r="247" spans="1:5">
      <c r="A247" t="str">
        <f>检查点拆解!A247</f>
        <v>Q0031</v>
      </c>
      <c r="B247" t="str">
        <f>检查点拆解!D247</f>
        <v>C25</v>
      </c>
      <c r="C247" s="2">
        <f>--(COUNTIFS($A$2:A247,A247,$B$2:B247,B247)=1)</f>
        <v>1</v>
      </c>
      <c r="D247" t="str">
        <f>检查点拆解!F247</f>
        <v>D10.01.03</v>
      </c>
      <c r="E247" s="2">
        <f>--(COUNTIFS($A$2:A247,A247,$D$2:D247,D247)=1)</f>
        <v>1</v>
      </c>
    </row>
    <row r="248" spans="1:5">
      <c r="A248" t="str">
        <f>检查点拆解!A248</f>
        <v>Q0031</v>
      </c>
      <c r="B248" t="str">
        <f>检查点拆解!D248</f>
        <v>C27</v>
      </c>
      <c r="C248" s="2">
        <f>--(COUNTIFS($A$2:A248,A248,$B$2:B248,B248)=1)</f>
        <v>1</v>
      </c>
      <c r="D248" t="str">
        <f>检查点拆解!F248</f>
        <v>D11.02.02</v>
      </c>
      <c r="E248" s="2">
        <f>--(COUNTIFS($A$2:A248,A248,$D$2:D248,D248)=1)</f>
        <v>1</v>
      </c>
    </row>
    <row r="249" spans="1:5">
      <c r="A249" t="str">
        <f>检查点拆解!A249</f>
        <v>Q0031</v>
      </c>
      <c r="B249" t="str">
        <f>检查点拆解!D249</f>
        <v>C25</v>
      </c>
      <c r="C249" s="2">
        <f>--(COUNTIFS($A$2:A249,A249,$B$2:B249,B249)=1)</f>
        <v>0</v>
      </c>
      <c r="D249" t="str">
        <f>检查点拆解!F249</f>
        <v>D10.01.01</v>
      </c>
      <c r="E249" s="2">
        <f>--(COUNTIFS($A$2:A249,A249,$D$2:D249,D249)=1)</f>
        <v>1</v>
      </c>
    </row>
    <row r="250" spans="1:5">
      <c r="A250" t="str">
        <f>检查点拆解!A250</f>
        <v>Q0031</v>
      </c>
      <c r="B250" t="str">
        <f>检查点拆解!D250</f>
        <v>C28</v>
      </c>
      <c r="C250" s="2">
        <f>--(COUNTIFS($A$2:A250,A250,$B$2:B250,B250)=1)</f>
        <v>1</v>
      </c>
      <c r="D250" t="str">
        <f>检查点拆解!F250</f>
        <v>D12.01.01</v>
      </c>
      <c r="E250" s="2">
        <f>--(COUNTIFS($A$2:A250,A250,$D$2:D250,D250)=1)</f>
        <v>1</v>
      </c>
    </row>
    <row r="251" spans="1:5">
      <c r="A251" t="str">
        <f>检查点拆解!A251</f>
        <v>Q0031</v>
      </c>
      <c r="B251" t="str">
        <f>检查点拆解!D251</f>
        <v>C28</v>
      </c>
      <c r="C251" s="2">
        <f>--(COUNTIFS($A$2:A251,A251,$B$2:B251,B251)=1)</f>
        <v>0</v>
      </c>
      <c r="D251" t="str">
        <f>检查点拆解!F251</f>
        <v>D12.01.02</v>
      </c>
      <c r="E251" s="2">
        <f>--(COUNTIFS($A$2:A251,A251,$D$2:D251,D251)=1)</f>
        <v>1</v>
      </c>
    </row>
    <row r="252" spans="1:5">
      <c r="A252" t="str">
        <f>检查点拆解!A252</f>
        <v>Q0031</v>
      </c>
      <c r="B252" t="str">
        <f>检查点拆解!D252</f>
        <v>C04</v>
      </c>
      <c r="C252" s="2">
        <f>--(COUNTIFS($A$2:A252,A252,$B$2:B252,B252)=1)</f>
        <v>1</v>
      </c>
      <c r="D252" t="str">
        <f>检查点拆解!F252</f>
        <v>D02.02.01</v>
      </c>
      <c r="E252" s="2">
        <f>--(COUNTIFS($A$2:A252,A252,$D$2:D252,D252)=1)</f>
        <v>1</v>
      </c>
    </row>
    <row r="253" spans="1:5">
      <c r="A253" t="str">
        <f>检查点拆解!A253</f>
        <v>Q0032</v>
      </c>
      <c r="B253" t="str">
        <f>检查点拆解!D253</f>
        <v>C24</v>
      </c>
      <c r="C253" s="2">
        <f>--(COUNTIFS($A$2:A253,A253,$B$2:B253,B253)=1)</f>
        <v>1</v>
      </c>
      <c r="D253" t="str">
        <f>检查点拆解!F253</f>
        <v>D09.02.03</v>
      </c>
      <c r="E253" s="2">
        <f>--(COUNTIFS($A$2:A253,A253,$D$2:D253,D253)=1)</f>
        <v>1</v>
      </c>
    </row>
    <row r="254" spans="1:5">
      <c r="A254" t="str">
        <f>检查点拆解!A254</f>
        <v>Q0032</v>
      </c>
      <c r="B254" t="str">
        <f>检查点拆解!D254</f>
        <v>C25</v>
      </c>
      <c r="C254" s="2">
        <f>--(COUNTIFS($A$2:A254,A254,$B$2:B254,B254)=1)</f>
        <v>1</v>
      </c>
      <c r="D254" t="str">
        <f>检查点拆解!F254</f>
        <v>D10.01.01</v>
      </c>
      <c r="E254" s="2">
        <f>--(COUNTIFS($A$2:A254,A254,$D$2:D254,D254)=1)</f>
        <v>1</v>
      </c>
    </row>
    <row r="255" spans="1:5">
      <c r="A255" t="str">
        <f>检查点拆解!A255</f>
        <v>Q0032</v>
      </c>
      <c r="B255" t="str">
        <f>检查点拆解!D255</f>
        <v>C05</v>
      </c>
      <c r="C255" s="2">
        <f>--(COUNTIFS($A$2:A255,A255,$B$2:B255,B255)=1)</f>
        <v>1</v>
      </c>
      <c r="D255" t="str">
        <f>检查点拆解!F255</f>
        <v>D02.03.02</v>
      </c>
      <c r="E255" s="2">
        <f>--(COUNTIFS($A$2:A255,A255,$D$2:D255,D255)=1)</f>
        <v>1</v>
      </c>
    </row>
    <row r="256" spans="1:5">
      <c r="A256" t="str">
        <f>检查点拆解!A256</f>
        <v>Q0033</v>
      </c>
      <c r="B256" t="str">
        <f>检查点拆解!D256</f>
        <v>C27</v>
      </c>
      <c r="C256" s="2">
        <f>--(COUNTIFS($A$2:A256,A256,$B$2:B256,B256)=1)</f>
        <v>1</v>
      </c>
      <c r="D256" t="str">
        <f>检查点拆解!F256</f>
        <v>D11.01.02</v>
      </c>
      <c r="E256" s="2">
        <f>--(COUNTIFS($A$2:A256,A256,$D$2:D256,D256)=1)</f>
        <v>1</v>
      </c>
    </row>
    <row r="257" spans="1:5">
      <c r="A257" t="str">
        <f>检查点拆解!A257</f>
        <v>Q0033</v>
      </c>
      <c r="B257" t="str">
        <f>检查点拆解!D257</f>
        <v>C24</v>
      </c>
      <c r="C257" s="2">
        <f>--(COUNTIFS($A$2:A257,A257,$B$2:B257,B257)=1)</f>
        <v>1</v>
      </c>
      <c r="D257" t="str">
        <f>检查点拆解!F257</f>
        <v>D09.03.03</v>
      </c>
      <c r="E257" s="2">
        <f>--(COUNTIFS($A$2:A257,A257,$D$2:D257,D257)=1)</f>
        <v>1</v>
      </c>
    </row>
    <row r="258" spans="1:5">
      <c r="A258" t="str">
        <f>检查点拆解!A258</f>
        <v>Q0033</v>
      </c>
      <c r="B258" t="str">
        <f>检查点拆解!D258</f>
        <v>C06</v>
      </c>
      <c r="C258" s="2">
        <f>--(COUNTIFS($A$2:A258,A258,$B$2:B258,B258)=1)</f>
        <v>1</v>
      </c>
      <c r="D258" t="str">
        <f>检查点拆解!F258</f>
        <v>D03.01.03</v>
      </c>
      <c r="E258" s="2">
        <f>--(COUNTIFS($A$2:A258,A258,$D$2:D258,D258)=1)</f>
        <v>1</v>
      </c>
    </row>
    <row r="259" spans="1:5">
      <c r="A259" t="str">
        <f>检查点拆解!A259</f>
        <v>Q0033</v>
      </c>
      <c r="B259" t="str">
        <f>检查点拆解!D259</f>
        <v>C18</v>
      </c>
      <c r="C259" s="2">
        <f>--(COUNTIFS($A$2:A259,A259,$B$2:B259,B259)=1)</f>
        <v>1</v>
      </c>
      <c r="D259" t="str">
        <f>检查点拆解!F259</f>
        <v>D07.01.01</v>
      </c>
      <c r="E259" s="2">
        <f>--(COUNTIFS($A$2:A259,A259,$D$2:D259,D259)=1)</f>
        <v>1</v>
      </c>
    </row>
    <row r="260" spans="1:5">
      <c r="A260" t="str">
        <f>检查点拆解!A260</f>
        <v>Q0034</v>
      </c>
      <c r="B260" t="str">
        <f>检查点拆解!D260</f>
        <v>C27</v>
      </c>
      <c r="C260" s="2">
        <f>--(COUNTIFS($A$2:A260,A260,$B$2:B260,B260)=1)</f>
        <v>1</v>
      </c>
      <c r="D260" t="str">
        <f>检查点拆解!F260</f>
        <v>D11.01.02</v>
      </c>
      <c r="E260" s="2">
        <f>--(COUNTIFS($A$2:A260,A260,$D$2:D260,D260)=1)</f>
        <v>1</v>
      </c>
    </row>
    <row r="261" spans="1:5">
      <c r="A261" t="str">
        <f>检查点拆解!A261</f>
        <v>Q0034</v>
      </c>
      <c r="B261" t="str">
        <f>检查点拆解!D261</f>
        <v>C04</v>
      </c>
      <c r="C261" s="2">
        <f>--(COUNTIFS($A$2:A261,A261,$B$2:B261,B261)=1)</f>
        <v>1</v>
      </c>
      <c r="D261" t="str">
        <f>检查点拆解!F261</f>
        <v>D02.02.01</v>
      </c>
      <c r="E261" s="2">
        <f>--(COUNTIFS($A$2:A261,A261,$D$2:D261,D261)=1)</f>
        <v>1</v>
      </c>
    </row>
    <row r="262" spans="1:5">
      <c r="A262" t="str">
        <f>检查点拆解!A262</f>
        <v>Q0034</v>
      </c>
      <c r="B262" t="str">
        <f>检查点拆解!D262</f>
        <v>C04</v>
      </c>
      <c r="C262" s="2">
        <f>--(COUNTIFS($A$2:A262,A262,$B$2:B262,B262)=1)</f>
        <v>0</v>
      </c>
      <c r="D262" t="str">
        <f>检查点拆解!F262</f>
        <v>D02.02.03</v>
      </c>
      <c r="E262" s="2">
        <f>--(COUNTIFS($A$2:A262,A262,$D$2:D262,D262)=1)</f>
        <v>1</v>
      </c>
    </row>
    <row r="263" spans="1:5">
      <c r="A263" t="str">
        <f>检查点拆解!A263</f>
        <v>Q0034</v>
      </c>
      <c r="B263" t="str">
        <f>检查点拆解!D263</f>
        <v>C14</v>
      </c>
      <c r="C263" s="2">
        <f>--(COUNTIFS($A$2:A263,A263,$B$2:B263,B263)=1)</f>
        <v>1</v>
      </c>
      <c r="D263" t="str">
        <f>检查点拆解!F263</f>
        <v>D05.01.01</v>
      </c>
      <c r="E263" s="2">
        <f>--(COUNTIFS($A$2:A263,A263,$D$2:D263,D263)=1)</f>
        <v>1</v>
      </c>
    </row>
    <row r="264" spans="1:5">
      <c r="A264" t="str">
        <f>检查点拆解!A264</f>
        <v>Q0035</v>
      </c>
      <c r="B264" t="str">
        <f>检查点拆解!D264</f>
        <v>C18</v>
      </c>
      <c r="C264" s="2">
        <f>--(COUNTIFS($A$2:A264,A264,$B$2:B264,B264)=1)</f>
        <v>1</v>
      </c>
      <c r="D264" t="str">
        <f>检查点拆解!F264</f>
        <v>D07.01.03</v>
      </c>
      <c r="E264" s="2">
        <f>--(COUNTIFS($A$2:A264,A264,$D$2:D264,D264)=1)</f>
        <v>1</v>
      </c>
    </row>
    <row r="265" spans="1:5">
      <c r="A265" t="str">
        <f>检查点拆解!A265</f>
        <v>Q0035</v>
      </c>
      <c r="B265" t="str">
        <f>检查点拆解!D265</f>
        <v>C11</v>
      </c>
      <c r="C265" s="2">
        <f>--(COUNTIFS($A$2:A265,A265,$B$2:B265,B265)=1)</f>
        <v>1</v>
      </c>
      <c r="D265" t="str">
        <f>检查点拆解!F265</f>
        <v>D04.03.02</v>
      </c>
      <c r="E265" s="2">
        <f>--(COUNTIFS($A$2:A265,A265,$D$2:D265,D265)=1)</f>
        <v>1</v>
      </c>
    </row>
    <row r="266" spans="1:5">
      <c r="A266" t="str">
        <f>检查点拆解!A266</f>
        <v>Q0035</v>
      </c>
      <c r="B266" t="str">
        <f>检查点拆解!D266</f>
        <v>C19</v>
      </c>
      <c r="C266" s="2">
        <f>--(COUNTIFS($A$2:A266,A266,$B$2:B266,B266)=1)</f>
        <v>1</v>
      </c>
      <c r="D266" t="str">
        <f>检查点拆解!F266</f>
        <v>D07.02.02</v>
      </c>
      <c r="E266" s="2">
        <f>--(COUNTIFS($A$2:A266,A266,$D$2:D266,D266)=1)</f>
        <v>1</v>
      </c>
    </row>
    <row r="267" spans="1:5">
      <c r="A267" t="str">
        <f>检查点拆解!A267</f>
        <v>Q0035</v>
      </c>
      <c r="B267" t="str">
        <f>检查点拆解!D267</f>
        <v>C27</v>
      </c>
      <c r="C267" s="2">
        <f>--(COUNTIFS($A$2:A267,A267,$B$2:B267,B267)=1)</f>
        <v>1</v>
      </c>
      <c r="D267" t="str">
        <f>检查点拆解!F267</f>
        <v>D11.01.02</v>
      </c>
      <c r="E267" s="2">
        <f>--(COUNTIFS($A$2:A267,A267,$D$2:D267,D267)=1)</f>
        <v>1</v>
      </c>
    </row>
    <row r="268" spans="1:5">
      <c r="A268" t="str">
        <f>检查点拆解!A268</f>
        <v>Q0035</v>
      </c>
      <c r="B268" t="str">
        <f>检查点拆解!D268</f>
        <v>C06</v>
      </c>
      <c r="C268" s="2">
        <f>--(COUNTIFS($A$2:A268,A268,$B$2:B268,B268)=1)</f>
        <v>1</v>
      </c>
      <c r="D268" t="str">
        <f>检查点拆解!F268</f>
        <v>D03.01.03</v>
      </c>
      <c r="E268" s="2">
        <f>--(COUNTIFS($A$2:A268,A268,$D$2:D268,D268)=1)</f>
        <v>1</v>
      </c>
    </row>
    <row r="269" spans="1:5">
      <c r="A269" t="str">
        <f>检查点拆解!A269</f>
        <v>Q0035</v>
      </c>
      <c r="B269" t="str">
        <f>检查点拆解!D269</f>
        <v>C24</v>
      </c>
      <c r="C269" s="2">
        <f>--(COUNTIFS($A$2:A269,A269,$B$2:B269,B269)=1)</f>
        <v>1</v>
      </c>
      <c r="D269" t="str">
        <f>检查点拆解!F269</f>
        <v>D09.02.03</v>
      </c>
      <c r="E269" s="2">
        <f>--(COUNTIFS($A$2:A269,A269,$D$2:D269,D269)=1)</f>
        <v>1</v>
      </c>
    </row>
    <row r="270" spans="1:5">
      <c r="A270" t="str">
        <f>检查点拆解!A270</f>
        <v>Q0035</v>
      </c>
      <c r="B270" t="str">
        <f>检查点拆解!D270</f>
        <v>C25</v>
      </c>
      <c r="C270" s="2">
        <f>--(COUNTIFS($A$2:A270,A270,$B$2:B270,B270)=1)</f>
        <v>1</v>
      </c>
      <c r="D270" t="str">
        <f>检查点拆解!F270</f>
        <v>D10.01.02</v>
      </c>
      <c r="E270" s="2">
        <f>--(COUNTIFS($A$2:A270,A270,$D$2:D270,D270)=1)</f>
        <v>1</v>
      </c>
    </row>
    <row r="271" spans="1:5">
      <c r="A271" t="str">
        <f>检查点拆解!A271</f>
        <v>Q0035</v>
      </c>
      <c r="B271" t="str">
        <f>检查点拆解!D271</f>
        <v>C06</v>
      </c>
      <c r="C271" s="2">
        <f>--(COUNTIFS($A$2:A271,A271,$B$2:B271,B271)=1)</f>
        <v>0</v>
      </c>
      <c r="D271" t="str">
        <f>检查点拆解!F271</f>
        <v>D03.01.02</v>
      </c>
      <c r="E271" s="2">
        <f>--(COUNTIFS($A$2:A271,A271,$D$2:D271,D271)=1)</f>
        <v>1</v>
      </c>
    </row>
    <row r="272" spans="1:5">
      <c r="A272" t="str">
        <f>检查点拆解!A272</f>
        <v>Q0036</v>
      </c>
      <c r="B272" t="str">
        <f>检查点拆解!D272</f>
        <v>C30</v>
      </c>
      <c r="C272" s="2">
        <f>--(COUNTIFS($A$2:A272,A272,$B$2:B272,B272)=1)</f>
        <v>1</v>
      </c>
      <c r="D272" t="str">
        <f>检查点拆解!F272</f>
        <v>D15.01.02</v>
      </c>
      <c r="E272" s="2">
        <f>--(COUNTIFS($A$2:A272,A272,$D$2:D272,D272)=1)</f>
        <v>1</v>
      </c>
    </row>
    <row r="273" spans="1:5">
      <c r="A273" t="str">
        <f>检查点拆解!A273</f>
        <v>Q0036</v>
      </c>
      <c r="B273" t="str">
        <f>检查点拆解!D273</f>
        <v>C27</v>
      </c>
      <c r="C273" s="2">
        <f>--(COUNTIFS($A$2:A273,A273,$B$2:B273,B273)=1)</f>
        <v>1</v>
      </c>
      <c r="D273" t="str">
        <f>检查点拆解!F273</f>
        <v>D11.02.01</v>
      </c>
      <c r="E273" s="2">
        <f>--(COUNTIFS($A$2:A273,A273,$D$2:D273,D273)=1)</f>
        <v>1</v>
      </c>
    </row>
    <row r="274" spans="1:5">
      <c r="A274" t="str">
        <f>检查点拆解!A274</f>
        <v>Q0036</v>
      </c>
      <c r="B274" t="str">
        <f>检查点拆解!D274</f>
        <v>C17</v>
      </c>
      <c r="C274" s="2">
        <f>--(COUNTIFS($A$2:A274,A274,$B$2:B274,B274)=1)</f>
        <v>1</v>
      </c>
      <c r="D274" t="str">
        <f>检查点拆解!F274</f>
        <v>D06.03.01</v>
      </c>
      <c r="E274" s="2">
        <f>--(COUNTIFS($A$2:A274,A274,$D$2:D274,D274)=1)</f>
        <v>1</v>
      </c>
    </row>
    <row r="275" spans="1:5">
      <c r="A275" t="str">
        <f>检查点拆解!A275</f>
        <v>Q0036</v>
      </c>
      <c r="B275" t="str">
        <f>检查点拆解!D275</f>
        <v>C27</v>
      </c>
      <c r="C275" s="2">
        <f>--(COUNTIFS($A$2:A275,A275,$B$2:B275,B275)=1)</f>
        <v>0</v>
      </c>
      <c r="D275" t="str">
        <f>检查点拆解!F275</f>
        <v>D11.02.03</v>
      </c>
      <c r="E275" s="2">
        <f>--(COUNTIFS($A$2:A275,A275,$D$2:D275,D275)=1)</f>
        <v>1</v>
      </c>
    </row>
    <row r="276" spans="1:5">
      <c r="A276" t="str">
        <f>检查点拆解!A276</f>
        <v>Q0036</v>
      </c>
      <c r="B276" t="str">
        <f>检查点拆解!D276</f>
        <v>C30</v>
      </c>
      <c r="C276" s="2">
        <f>--(COUNTIFS($A$2:A276,A276,$B$2:B276,B276)=1)</f>
        <v>0</v>
      </c>
      <c r="D276" t="str">
        <f>检查点拆解!F276</f>
        <v>D15.01.03</v>
      </c>
      <c r="E276" s="2">
        <f>--(COUNTIFS($A$2:A276,A276,$D$2:D276,D276)=1)</f>
        <v>1</v>
      </c>
    </row>
    <row r="277" spans="1:5">
      <c r="A277" t="str">
        <f>检查点拆解!A277</f>
        <v>Q0036</v>
      </c>
      <c r="B277" t="str">
        <f>检查点拆解!D277</f>
        <v>C24</v>
      </c>
      <c r="C277" s="2">
        <f>--(COUNTIFS($A$2:A277,A277,$B$2:B277,B277)=1)</f>
        <v>1</v>
      </c>
      <c r="D277" t="str">
        <f>检查点拆解!F277</f>
        <v>D09.03.03</v>
      </c>
      <c r="E277" s="2">
        <f>--(COUNTIFS($A$2:A277,A277,$D$2:D277,D277)=1)</f>
        <v>1</v>
      </c>
    </row>
    <row r="278" spans="1:5">
      <c r="A278" t="str">
        <f>检查点拆解!A278</f>
        <v>Q0036</v>
      </c>
      <c r="B278" t="str">
        <f>检查点拆解!D278</f>
        <v>C15</v>
      </c>
      <c r="C278" s="2">
        <f>--(COUNTIFS($A$2:A278,A278,$B$2:B278,B278)=1)</f>
        <v>1</v>
      </c>
      <c r="D278" t="str">
        <f>检查点拆解!F278</f>
        <v>D05.02.02</v>
      </c>
      <c r="E278" s="2">
        <f>--(COUNTIFS($A$2:A278,A278,$D$2:D278,D278)=1)</f>
        <v>1</v>
      </c>
    </row>
    <row r="279" spans="1:5">
      <c r="A279" t="str">
        <f>检查点拆解!A279</f>
        <v>Q0036</v>
      </c>
      <c r="B279" t="str">
        <f>检查点拆解!D279</f>
        <v>C25</v>
      </c>
      <c r="C279" s="2">
        <f>--(COUNTIFS($A$2:A279,A279,$B$2:B279,B279)=1)</f>
        <v>1</v>
      </c>
      <c r="D279" t="str">
        <f>检查点拆解!F279</f>
        <v>D10.01.04</v>
      </c>
      <c r="E279" s="2">
        <f>--(COUNTIFS($A$2:A279,A279,$D$2:D279,D279)=1)</f>
        <v>1</v>
      </c>
    </row>
    <row r="280" spans="1:5">
      <c r="A280" t="str">
        <f>检查点拆解!A280</f>
        <v>Q0037</v>
      </c>
      <c r="B280" t="str">
        <f>检查点拆解!D280</f>
        <v>C27</v>
      </c>
      <c r="C280" s="2">
        <f>--(COUNTIFS($A$2:A280,A280,$B$2:B280,B280)=1)</f>
        <v>1</v>
      </c>
      <c r="D280" t="str">
        <f>检查点拆解!F280</f>
        <v>D11.02.01</v>
      </c>
      <c r="E280" s="2">
        <f>--(COUNTIFS($A$2:A280,A280,$D$2:D280,D280)=1)</f>
        <v>1</v>
      </c>
    </row>
    <row r="281" spans="1:5">
      <c r="A281" t="str">
        <f>检查点拆解!A281</f>
        <v>Q0037</v>
      </c>
      <c r="B281" t="str">
        <f>检查点拆解!D281</f>
        <v>C08</v>
      </c>
      <c r="C281" s="2">
        <f>--(COUNTIFS($A$2:A281,A281,$B$2:B281,B281)=1)</f>
        <v>1</v>
      </c>
      <c r="D281" t="str">
        <f>检查点拆解!F281</f>
        <v>D04.01.02</v>
      </c>
      <c r="E281" s="2">
        <f>--(COUNTIFS($A$2:A281,A281,$D$2:D281,D281)=1)</f>
        <v>1</v>
      </c>
    </row>
    <row r="282" spans="1:5">
      <c r="A282" t="str">
        <f>检查点拆解!A282</f>
        <v>Q0037</v>
      </c>
      <c r="B282" t="str">
        <f>检查点拆解!D282</f>
        <v>C28</v>
      </c>
      <c r="C282" s="2">
        <f>--(COUNTIFS($A$2:A282,A282,$B$2:B282,B282)=1)</f>
        <v>1</v>
      </c>
      <c r="D282" t="str">
        <f>检查点拆解!F282</f>
        <v>D12.02.02</v>
      </c>
      <c r="E282" s="2">
        <f>--(COUNTIFS($A$2:A282,A282,$D$2:D282,D282)=1)</f>
        <v>1</v>
      </c>
    </row>
    <row r="283" spans="1:5">
      <c r="A283" t="str">
        <f>检查点拆解!A283</f>
        <v>Q0037</v>
      </c>
      <c r="B283" t="str">
        <f>检查点拆解!D283</f>
        <v>C28</v>
      </c>
      <c r="C283" s="2">
        <f>--(COUNTIFS($A$2:A283,A283,$B$2:B283,B283)=1)</f>
        <v>0</v>
      </c>
      <c r="D283" t="str">
        <f>检查点拆解!F283</f>
        <v>D12.01.02</v>
      </c>
      <c r="E283" s="2">
        <f>--(COUNTIFS($A$2:A283,A283,$D$2:D283,D283)=1)</f>
        <v>1</v>
      </c>
    </row>
    <row r="284" spans="1:5">
      <c r="A284" t="str">
        <f>检查点拆解!A284</f>
        <v>Q0037</v>
      </c>
      <c r="B284" t="str">
        <f>检查点拆解!D284</f>
        <v>C17</v>
      </c>
      <c r="C284" s="2">
        <f>--(COUNTIFS($A$2:A284,A284,$B$2:B284,B284)=1)</f>
        <v>1</v>
      </c>
      <c r="D284" t="str">
        <f>检查点拆解!F284</f>
        <v>D06.03.02</v>
      </c>
      <c r="E284" s="2">
        <f>--(COUNTIFS($A$2:A284,A284,$D$2:D284,D284)=1)</f>
        <v>1</v>
      </c>
    </row>
    <row r="285" spans="1:5">
      <c r="A285" t="str">
        <f>检查点拆解!A285</f>
        <v>Q0037</v>
      </c>
      <c r="B285" t="str">
        <f>检查点拆解!D285</f>
        <v>C03</v>
      </c>
      <c r="C285" s="2">
        <f>--(COUNTIFS($A$2:A285,A285,$B$2:B285,B285)=1)</f>
        <v>1</v>
      </c>
      <c r="D285" t="str">
        <f>检查点拆解!F285</f>
        <v>D02.01.01</v>
      </c>
      <c r="E285" s="2">
        <f>--(COUNTIFS($A$2:A285,A285,$D$2:D285,D285)=1)</f>
        <v>1</v>
      </c>
    </row>
    <row r="286" spans="1:5">
      <c r="A286" t="str">
        <f>检查点拆解!A286</f>
        <v>Q0038</v>
      </c>
      <c r="B286" t="str">
        <f>检查点拆解!D286</f>
        <v>C23</v>
      </c>
      <c r="C286" s="2">
        <f>--(COUNTIFS($A$2:A286,A286,$B$2:B286,B286)=1)</f>
        <v>1</v>
      </c>
      <c r="D286" t="str">
        <f>检查点拆解!F286</f>
        <v>D09.01.03</v>
      </c>
      <c r="E286" s="2">
        <f>--(COUNTIFS($A$2:A286,A286,$D$2:D286,D286)=1)</f>
        <v>1</v>
      </c>
    </row>
    <row r="287" spans="1:5">
      <c r="A287" t="str">
        <f>检查点拆解!A287</f>
        <v>Q0038</v>
      </c>
      <c r="B287" t="str">
        <f>检查点拆解!D287</f>
        <v>C17</v>
      </c>
      <c r="C287" s="2">
        <f>--(COUNTIFS($A$2:A287,A287,$B$2:B287,B287)=1)</f>
        <v>1</v>
      </c>
      <c r="D287" t="str">
        <f>检查点拆解!F287</f>
        <v>D06.03.01</v>
      </c>
      <c r="E287" s="2">
        <f>--(COUNTIFS($A$2:A287,A287,$D$2:D287,D287)=1)</f>
        <v>1</v>
      </c>
    </row>
    <row r="288" spans="1:5">
      <c r="A288" t="str">
        <f>检查点拆解!A288</f>
        <v>Q0038</v>
      </c>
      <c r="B288" t="str">
        <f>检查点拆解!D288</f>
        <v>C27</v>
      </c>
      <c r="C288" s="2">
        <f>--(COUNTIFS($A$2:A288,A288,$B$2:B288,B288)=1)</f>
        <v>1</v>
      </c>
      <c r="D288" t="str">
        <f>检查点拆解!F288</f>
        <v>D11.01.02</v>
      </c>
      <c r="E288" s="2">
        <f>--(COUNTIFS($A$2:A288,A288,$D$2:D288,D288)=1)</f>
        <v>1</v>
      </c>
    </row>
    <row r="289" spans="1:5">
      <c r="A289" t="str">
        <f>检查点拆解!A289</f>
        <v>Q0038</v>
      </c>
      <c r="B289" t="str">
        <f>检查点拆解!D289</f>
        <v>C24</v>
      </c>
      <c r="C289" s="2">
        <f>--(COUNTIFS($A$2:A289,A289,$B$2:B289,B289)=1)</f>
        <v>1</v>
      </c>
      <c r="D289" t="str">
        <f>检查点拆解!F289</f>
        <v>D09.03.03</v>
      </c>
      <c r="E289" s="2">
        <f>--(COUNTIFS($A$2:A289,A289,$D$2:D289,D289)=1)</f>
        <v>1</v>
      </c>
    </row>
    <row r="290" spans="1:5">
      <c r="A290" t="str">
        <f>检查点拆解!A290</f>
        <v>Q0038</v>
      </c>
      <c r="B290" t="str">
        <f>检查点拆解!D290</f>
        <v>C21</v>
      </c>
      <c r="C290" s="2">
        <f>--(COUNTIFS($A$2:A290,A290,$B$2:B290,B290)=1)</f>
        <v>1</v>
      </c>
      <c r="D290" t="str">
        <f>检查点拆解!F290</f>
        <v>D07.03.01</v>
      </c>
      <c r="E290" s="2">
        <f>--(COUNTIFS($A$2:A290,A290,$D$2:D290,D290)=1)</f>
        <v>1</v>
      </c>
    </row>
    <row r="291" spans="1:5">
      <c r="A291" t="str">
        <f>检查点拆解!A291</f>
        <v>Q0038</v>
      </c>
      <c r="B291" t="str">
        <f>检查点拆解!D291</f>
        <v>C24</v>
      </c>
      <c r="C291" s="2">
        <f>--(COUNTIFS($A$2:A291,A291,$B$2:B291,B291)=1)</f>
        <v>0</v>
      </c>
      <c r="D291" t="str">
        <f>检查点拆解!F291</f>
        <v>D09.02.03</v>
      </c>
      <c r="E291" s="2">
        <f>--(COUNTIFS($A$2:A291,A291,$D$2:D291,D291)=1)</f>
        <v>1</v>
      </c>
    </row>
    <row r="292" spans="1:5">
      <c r="A292" t="str">
        <f>检查点拆解!A292</f>
        <v>Q0038</v>
      </c>
      <c r="B292" t="str">
        <f>检查点拆解!D292</f>
        <v>C25</v>
      </c>
      <c r="C292" s="2">
        <f>--(COUNTIFS($A$2:A292,A292,$B$2:B292,B292)=1)</f>
        <v>1</v>
      </c>
      <c r="D292" t="str">
        <f>检查点拆解!F292</f>
        <v>D10.01.01</v>
      </c>
      <c r="E292" s="2">
        <f>--(COUNTIFS($A$2:A292,A292,$D$2:D292,D292)=1)</f>
        <v>1</v>
      </c>
    </row>
    <row r="293" spans="1:5">
      <c r="A293" t="str">
        <f>检查点拆解!A293</f>
        <v>Q0038</v>
      </c>
      <c r="B293" t="str">
        <f>检查点拆解!D293</f>
        <v>C08</v>
      </c>
      <c r="C293" s="2">
        <f>--(COUNTIFS($A$2:A293,A293,$B$2:B293,B293)=1)</f>
        <v>1</v>
      </c>
      <c r="D293" t="str">
        <f>检查点拆解!F293</f>
        <v>D04.01.03</v>
      </c>
      <c r="E293" s="2">
        <f>--(COUNTIFS($A$2:A293,A293,$D$2:D293,D293)=1)</f>
        <v>1</v>
      </c>
    </row>
    <row r="294" spans="1:5">
      <c r="A294" t="str">
        <f>检查点拆解!A294</f>
        <v>Q0038</v>
      </c>
      <c r="B294" t="str">
        <f>检查点拆解!D294</f>
        <v>C06</v>
      </c>
      <c r="C294" s="2">
        <f>--(COUNTIFS($A$2:A294,A294,$B$2:B294,B294)=1)</f>
        <v>1</v>
      </c>
      <c r="D294" t="str">
        <f>检查点拆解!F294</f>
        <v>D03.01.02</v>
      </c>
      <c r="E294" s="2">
        <f>--(COUNTIFS($A$2:A294,A294,$D$2:D294,D294)=1)</f>
        <v>1</v>
      </c>
    </row>
    <row r="295" spans="1:5">
      <c r="A295" t="str">
        <f>检查点拆解!A295</f>
        <v>Q0038</v>
      </c>
      <c r="B295" t="str">
        <f>检查点拆解!D295</f>
        <v>C28</v>
      </c>
      <c r="C295" s="2">
        <f>--(COUNTIFS($A$2:A295,A295,$B$2:B295,B295)=1)</f>
        <v>1</v>
      </c>
      <c r="D295" t="str">
        <f>检查点拆解!F295</f>
        <v>D12.02.02</v>
      </c>
      <c r="E295" s="2">
        <f>--(COUNTIFS($A$2:A295,A295,$D$2:D295,D295)=1)</f>
        <v>1</v>
      </c>
    </row>
    <row r="296" spans="1:5">
      <c r="A296" t="str">
        <f>检查点拆解!A296</f>
        <v>Q0038</v>
      </c>
      <c r="B296" t="str">
        <f>检查点拆解!D296</f>
        <v>C26</v>
      </c>
      <c r="C296" s="2">
        <f>--(COUNTIFS($A$2:A296,A296,$B$2:B296,B296)=1)</f>
        <v>1</v>
      </c>
      <c r="D296" t="str">
        <f>检查点拆解!F296</f>
        <v>D10.02.01</v>
      </c>
      <c r="E296" s="2">
        <f>--(COUNTIFS($A$2:A296,A296,$D$2:D296,D296)=1)</f>
        <v>1</v>
      </c>
    </row>
    <row r="297" spans="1:5">
      <c r="A297" t="str">
        <f>检查点拆解!A297</f>
        <v>Q0038</v>
      </c>
      <c r="B297" t="str">
        <f>检查点拆解!D297</f>
        <v>C06</v>
      </c>
      <c r="C297" s="2">
        <f>--(COUNTIFS($A$2:A297,A297,$B$2:B297,B297)=1)</f>
        <v>0</v>
      </c>
      <c r="D297" t="str">
        <f>检查点拆解!F297</f>
        <v>D03.01.01</v>
      </c>
      <c r="E297" s="2">
        <f>--(COUNTIFS($A$2:A297,A297,$D$2:D297,D297)=1)</f>
        <v>1</v>
      </c>
    </row>
    <row r="298" spans="1:5">
      <c r="A298" t="str">
        <f>检查点拆解!A298</f>
        <v>Q0039</v>
      </c>
      <c r="B298" t="str">
        <f>检查点拆解!D298</f>
        <v>C23</v>
      </c>
      <c r="C298" s="2">
        <f>--(COUNTIFS($A$2:A298,A298,$B$2:B298,B298)=1)</f>
        <v>1</v>
      </c>
      <c r="D298" t="str">
        <f>检查点拆解!F298</f>
        <v>D09.01.03</v>
      </c>
      <c r="E298" s="2">
        <f>--(COUNTIFS($A$2:A298,A298,$D$2:D298,D298)=1)</f>
        <v>1</v>
      </c>
    </row>
    <row r="299" spans="1:5">
      <c r="A299" t="str">
        <f>检查点拆解!A299</f>
        <v>Q0039</v>
      </c>
      <c r="B299" t="str">
        <f>检查点拆解!D299</f>
        <v>C27</v>
      </c>
      <c r="C299" s="2">
        <f>--(COUNTIFS($A$2:A299,A299,$B$2:B299,B299)=1)</f>
        <v>1</v>
      </c>
      <c r="D299" t="str">
        <f>检查点拆解!F299</f>
        <v>D11.01.02</v>
      </c>
      <c r="E299" s="2">
        <f>--(COUNTIFS($A$2:A299,A299,$D$2:D299,D299)=1)</f>
        <v>1</v>
      </c>
    </row>
    <row r="300" spans="1:5">
      <c r="A300" t="str">
        <f>检查点拆解!A300</f>
        <v>Q0039</v>
      </c>
      <c r="B300" t="str">
        <f>检查点拆解!D300</f>
        <v>C15</v>
      </c>
      <c r="C300" s="2">
        <f>--(COUNTIFS($A$2:A300,A300,$B$2:B300,B300)=1)</f>
        <v>1</v>
      </c>
      <c r="D300" t="str">
        <f>检查点拆解!F300</f>
        <v>D05.02.03</v>
      </c>
      <c r="E300" s="2">
        <f>--(COUNTIFS($A$2:A300,A300,$D$2:D300,D300)=1)</f>
        <v>1</v>
      </c>
    </row>
    <row r="301" spans="1:5">
      <c r="A301" t="str">
        <f>检查点拆解!A301</f>
        <v>Q0039</v>
      </c>
      <c r="B301" t="str">
        <f>检查点拆解!D301</f>
        <v>C17</v>
      </c>
      <c r="C301" s="2">
        <f>--(COUNTIFS($A$2:A301,A301,$B$2:B301,B301)=1)</f>
        <v>1</v>
      </c>
      <c r="D301" t="str">
        <f>检查点拆解!F301</f>
        <v>D06.02.01</v>
      </c>
      <c r="E301" s="2">
        <f>--(COUNTIFS($A$2:A301,A301,$D$2:D301,D301)=1)</f>
        <v>1</v>
      </c>
    </row>
    <row r="302" spans="1:5">
      <c r="A302" t="str">
        <f>检查点拆解!A302</f>
        <v>Q0039</v>
      </c>
      <c r="B302" t="str">
        <f>检查点拆解!D302</f>
        <v>C25</v>
      </c>
      <c r="C302" s="2">
        <f>--(COUNTIFS($A$2:A302,A302,$B$2:B302,B302)=1)</f>
        <v>1</v>
      </c>
      <c r="D302" t="str">
        <f>检查点拆解!F302</f>
        <v>D10.01.01</v>
      </c>
      <c r="E302" s="2">
        <f>--(COUNTIFS($A$2:A302,A302,$D$2:D302,D302)=1)</f>
        <v>1</v>
      </c>
    </row>
    <row r="303" spans="1:5">
      <c r="A303" t="str">
        <f>检查点拆解!A303</f>
        <v>Q0039</v>
      </c>
      <c r="B303" t="str">
        <f>检查点拆解!D303</f>
        <v>C26</v>
      </c>
      <c r="C303" s="2">
        <f>--(COUNTIFS($A$2:A303,A303,$B$2:B303,B303)=1)</f>
        <v>1</v>
      </c>
      <c r="D303" t="str">
        <f>检查点拆解!F303</f>
        <v>D10.02.01</v>
      </c>
      <c r="E303" s="2">
        <f>--(COUNTIFS($A$2:A303,A303,$D$2:D303,D303)=1)</f>
        <v>1</v>
      </c>
    </row>
    <row r="304" spans="1:5">
      <c r="A304" t="str">
        <f>检查点拆解!A304</f>
        <v>Q0039</v>
      </c>
      <c r="B304" t="str">
        <f>检查点拆解!D304</f>
        <v>C04</v>
      </c>
      <c r="C304" s="2">
        <f>--(COUNTIFS($A$2:A304,A304,$B$2:B304,B304)=1)</f>
        <v>1</v>
      </c>
      <c r="D304" t="str">
        <f>检查点拆解!F304</f>
        <v>D02.02.01</v>
      </c>
      <c r="E304" s="2">
        <f>--(COUNTIFS($A$2:A304,A304,$D$2:D304,D304)=1)</f>
        <v>1</v>
      </c>
    </row>
    <row r="305" spans="1:5">
      <c r="A305" t="str">
        <f>检查点拆解!A305</f>
        <v>Q0039</v>
      </c>
      <c r="B305" t="str">
        <f>检查点拆解!D305</f>
        <v>C05</v>
      </c>
      <c r="C305" s="2">
        <f>--(COUNTIFS($A$2:A305,A305,$B$2:B305,B305)=1)</f>
        <v>1</v>
      </c>
      <c r="D305" t="str">
        <f>检查点拆解!F305</f>
        <v>D02.03.02</v>
      </c>
      <c r="E305" s="2">
        <f>--(COUNTIFS($A$2:A305,A305,$D$2:D305,D305)=1)</f>
        <v>1</v>
      </c>
    </row>
    <row r="306" spans="1:5">
      <c r="A306" t="str">
        <f>检查点拆解!A306</f>
        <v>Q0040</v>
      </c>
      <c r="B306" t="str">
        <f>检查点拆解!D306</f>
        <v>C30</v>
      </c>
      <c r="C306" s="2">
        <f>--(COUNTIFS($A$2:A306,A306,$B$2:B306,B306)=1)</f>
        <v>1</v>
      </c>
      <c r="D306" t="str">
        <f>检查点拆解!F306</f>
        <v>D15.01.02</v>
      </c>
      <c r="E306" s="2">
        <f>--(COUNTIFS($A$2:A306,A306,$D$2:D306,D306)=1)</f>
        <v>1</v>
      </c>
    </row>
    <row r="307" spans="1:5">
      <c r="A307" t="str">
        <f>检查点拆解!A307</f>
        <v>Q0040</v>
      </c>
      <c r="B307" t="str">
        <f>检查点拆解!D307</f>
        <v>C27</v>
      </c>
      <c r="C307" s="2">
        <f>--(COUNTIFS($A$2:A307,A307,$B$2:B307,B307)=1)</f>
        <v>1</v>
      </c>
      <c r="D307" t="str">
        <f>检查点拆解!F307</f>
        <v>D11.02.03</v>
      </c>
      <c r="E307" s="2">
        <f>--(COUNTIFS($A$2:A307,A307,$D$2:D307,D307)=1)</f>
        <v>1</v>
      </c>
    </row>
    <row r="308" spans="1:5">
      <c r="A308" t="str">
        <f>检查点拆解!A308</f>
        <v>Q0040</v>
      </c>
      <c r="B308" t="str">
        <f>检查点拆解!D308</f>
        <v>C27</v>
      </c>
      <c r="C308" s="2">
        <f>--(COUNTIFS($A$2:A308,A308,$B$2:B308,B308)=1)</f>
        <v>0</v>
      </c>
      <c r="D308" t="str">
        <f>检查点拆解!F308</f>
        <v>D11.01.02</v>
      </c>
      <c r="E308" s="2">
        <f>--(COUNTIFS($A$2:A308,A308,$D$2:D308,D308)=1)</f>
        <v>1</v>
      </c>
    </row>
    <row r="309" spans="1:5">
      <c r="A309" t="str">
        <f>检查点拆解!A309</f>
        <v>Q0040</v>
      </c>
      <c r="B309" t="str">
        <f>检查点拆解!D309</f>
        <v>C24</v>
      </c>
      <c r="C309" s="2">
        <f>--(COUNTIFS($A$2:A309,A309,$B$2:B309,B309)=1)</f>
        <v>1</v>
      </c>
      <c r="D309" t="str">
        <f>检查点拆解!F309</f>
        <v>D09.02.03</v>
      </c>
      <c r="E309" s="2">
        <f>--(COUNTIFS($A$2:A309,A309,$D$2:D309,D309)=1)</f>
        <v>1</v>
      </c>
    </row>
    <row r="310" spans="1:5">
      <c r="A310" t="str">
        <f>检查点拆解!A310</f>
        <v>Q0040</v>
      </c>
      <c r="B310" t="str">
        <f>检查点拆解!D310</f>
        <v>C25</v>
      </c>
      <c r="C310" s="2">
        <f>--(COUNTIFS($A$2:A310,A310,$B$2:B310,B310)=1)</f>
        <v>1</v>
      </c>
      <c r="D310" t="str">
        <f>检查点拆解!F310</f>
        <v>D10.01.01</v>
      </c>
      <c r="E310" s="2">
        <f>--(COUNTIFS($A$2:A310,A310,$D$2:D310,D310)=1)</f>
        <v>1</v>
      </c>
    </row>
    <row r="311" spans="1:5">
      <c r="A311" t="str">
        <f>检查点拆解!A311</f>
        <v>Q0040</v>
      </c>
      <c r="B311" t="str">
        <f>检查点拆解!D311</f>
        <v>C17</v>
      </c>
      <c r="C311" s="2">
        <f>--(COUNTIFS($A$2:A311,A311,$B$2:B311,B311)=1)</f>
        <v>1</v>
      </c>
      <c r="D311" t="str">
        <f>检查点拆解!F311</f>
        <v>D06.01.01</v>
      </c>
      <c r="E311" s="2">
        <f>--(COUNTIFS($A$2:A311,A311,$D$2:D311,D311)=1)</f>
        <v>1</v>
      </c>
    </row>
    <row r="312" spans="1:5">
      <c r="A312" t="str">
        <f>检查点拆解!A312</f>
        <v>Q0041</v>
      </c>
      <c r="B312" t="str">
        <f>检查点拆解!D312</f>
        <v>C30</v>
      </c>
      <c r="C312" s="2">
        <f>--(COUNTIFS($A$2:A312,A312,$B$2:B312,B312)=1)</f>
        <v>1</v>
      </c>
      <c r="D312" t="str">
        <f>检查点拆解!F312</f>
        <v>D15.01.02</v>
      </c>
      <c r="E312" s="2">
        <f>--(COUNTIFS($A$2:A312,A312,$D$2:D312,D312)=1)</f>
        <v>1</v>
      </c>
    </row>
    <row r="313" spans="1:5">
      <c r="A313" t="str">
        <f>检查点拆解!A313</f>
        <v>Q0041</v>
      </c>
      <c r="B313" t="str">
        <f>检查点拆解!D313</f>
        <v>C27</v>
      </c>
      <c r="C313" s="2">
        <f>--(COUNTIFS($A$2:A313,A313,$B$2:B313,B313)=1)</f>
        <v>1</v>
      </c>
      <c r="D313" t="str">
        <f>检查点拆解!F313</f>
        <v>D11.02.03</v>
      </c>
      <c r="E313" s="2">
        <f>--(COUNTIFS($A$2:A313,A313,$D$2:D313,D313)=1)</f>
        <v>1</v>
      </c>
    </row>
    <row r="314" spans="1:5">
      <c r="A314" t="str">
        <f>检查点拆解!A314</f>
        <v>Q0041</v>
      </c>
      <c r="B314" t="str">
        <f>检查点拆解!D314</f>
        <v>C30</v>
      </c>
      <c r="C314" s="2">
        <f>--(COUNTIFS($A$2:A314,A314,$B$2:B314,B314)=1)</f>
        <v>0</v>
      </c>
      <c r="D314" t="str">
        <f>检查点拆解!F314</f>
        <v>D15.01.03</v>
      </c>
      <c r="E314" s="2">
        <f>--(COUNTIFS($A$2:A314,A314,$D$2:D314,D314)=1)</f>
        <v>1</v>
      </c>
    </row>
    <row r="315" spans="1:5">
      <c r="A315" t="str">
        <f>检查点拆解!A315</f>
        <v>Q0041</v>
      </c>
      <c r="B315" t="str">
        <f>检查点拆解!D315</f>
        <v>C24</v>
      </c>
      <c r="C315" s="2">
        <f>--(COUNTIFS($A$2:A315,A315,$B$2:B315,B315)=1)</f>
        <v>1</v>
      </c>
      <c r="D315" t="str">
        <f>检查点拆解!F315</f>
        <v>D09.03.03</v>
      </c>
      <c r="E315" s="2">
        <f>--(COUNTIFS($A$2:A315,A315,$D$2:D315,D315)=1)</f>
        <v>1</v>
      </c>
    </row>
    <row r="316" spans="1:5">
      <c r="A316" t="str">
        <f>检查点拆解!A316</f>
        <v>Q0041</v>
      </c>
      <c r="B316" t="str">
        <f>检查点拆解!D316</f>
        <v>C30</v>
      </c>
      <c r="C316" s="2">
        <f>--(COUNTIFS($A$2:A316,A316,$B$2:B316,B316)=1)</f>
        <v>0</v>
      </c>
      <c r="D316" t="str">
        <f>检查点拆解!F316</f>
        <v>D15.01.04</v>
      </c>
      <c r="E316" s="2">
        <f>--(COUNTIFS($A$2:A316,A316,$D$2:D316,D316)=1)</f>
        <v>1</v>
      </c>
    </row>
    <row r="317" spans="1:5">
      <c r="A317" t="str">
        <f>检查点拆解!A317</f>
        <v>Q0041</v>
      </c>
      <c r="B317" t="str">
        <f>检查点拆解!D317</f>
        <v>C28</v>
      </c>
      <c r="C317" s="2">
        <f>--(COUNTIFS($A$2:A317,A317,$B$2:B317,B317)=1)</f>
        <v>1</v>
      </c>
      <c r="D317" t="str">
        <f>检查点拆解!F317</f>
        <v>D13.02.02</v>
      </c>
      <c r="E317" s="2">
        <f>--(COUNTIFS($A$2:A317,A317,$D$2:D317,D317)=1)</f>
        <v>1</v>
      </c>
    </row>
    <row r="318" spans="1:5">
      <c r="A318" t="str">
        <f>检查点拆解!A318</f>
        <v>Q0041</v>
      </c>
      <c r="B318" t="str">
        <f>检查点拆解!D318</f>
        <v>C28</v>
      </c>
      <c r="C318" s="2">
        <f>--(COUNTIFS($A$2:A318,A318,$B$2:B318,B318)=1)</f>
        <v>0</v>
      </c>
      <c r="D318" t="str">
        <f>检查点拆解!F318</f>
        <v>D12.01.01</v>
      </c>
      <c r="E318" s="2">
        <f>--(COUNTIFS($A$2:A318,A318,$D$2:D318,D318)=1)</f>
        <v>1</v>
      </c>
    </row>
    <row r="319" spans="1:5">
      <c r="A319" t="str">
        <f>检查点拆解!A319</f>
        <v>Q0041</v>
      </c>
      <c r="B319" t="str">
        <f>检查点拆解!D319</f>
        <v>C28</v>
      </c>
      <c r="C319" s="2">
        <f>--(COUNTIFS($A$2:A319,A319,$B$2:B319,B319)=1)</f>
        <v>0</v>
      </c>
      <c r="D319" t="str">
        <f>检查点拆解!F319</f>
        <v>D12.01.02</v>
      </c>
      <c r="E319" s="2">
        <f>--(COUNTIFS($A$2:A319,A319,$D$2:D319,D319)=1)</f>
        <v>1</v>
      </c>
    </row>
    <row r="320" spans="1:5">
      <c r="A320" t="str">
        <f>检查点拆解!A320</f>
        <v>Q0042</v>
      </c>
      <c r="B320" t="str">
        <f>检查点拆解!D320</f>
        <v>C17</v>
      </c>
      <c r="C320" s="2">
        <f>--(COUNTIFS($A$2:A320,A320,$B$2:B320,B320)=1)</f>
        <v>1</v>
      </c>
      <c r="D320" t="str">
        <f>检查点拆解!F320</f>
        <v>D06.03.01</v>
      </c>
      <c r="E320" s="2">
        <f>--(COUNTIFS($A$2:A320,A320,$D$2:D320,D320)=1)</f>
        <v>1</v>
      </c>
    </row>
    <row r="321" spans="1:5">
      <c r="A321" t="str">
        <f>检查点拆解!A321</f>
        <v>Q0042</v>
      </c>
      <c r="B321" t="str">
        <f>检查点拆解!D321</f>
        <v>C18</v>
      </c>
      <c r="C321" s="2">
        <f>--(COUNTIFS($A$2:A321,A321,$B$2:B321,B321)=1)</f>
        <v>1</v>
      </c>
      <c r="D321" t="str">
        <f>检查点拆解!F321</f>
        <v>D07.01.04</v>
      </c>
      <c r="E321" s="2">
        <f>--(COUNTIFS($A$2:A321,A321,$D$2:D321,D321)=1)</f>
        <v>1</v>
      </c>
    </row>
    <row r="322" spans="1:5">
      <c r="A322" t="str">
        <f>检查点拆解!A322</f>
        <v>Q0042</v>
      </c>
      <c r="B322" t="str">
        <f>检查点拆解!D322</f>
        <v>C27</v>
      </c>
      <c r="C322" s="2">
        <f>--(COUNTIFS($A$2:A322,A322,$B$2:B322,B322)=1)</f>
        <v>1</v>
      </c>
      <c r="D322" t="str">
        <f>检查点拆解!F322</f>
        <v>D11.02.03</v>
      </c>
      <c r="E322" s="2">
        <f>--(COUNTIFS($A$2:A322,A322,$D$2:D322,D322)=1)</f>
        <v>1</v>
      </c>
    </row>
    <row r="323" spans="1:5">
      <c r="A323" t="str">
        <f>检查点拆解!A323</f>
        <v>Q0042</v>
      </c>
      <c r="B323" t="str">
        <f>检查点拆解!D323</f>
        <v>C27</v>
      </c>
      <c r="C323" s="2">
        <f>--(COUNTIFS($A$2:A323,A323,$B$2:B323,B323)=1)</f>
        <v>0</v>
      </c>
      <c r="D323" t="str">
        <f>检查点拆解!F323</f>
        <v>D11.01.02</v>
      </c>
      <c r="E323" s="2">
        <f>--(COUNTIFS($A$2:A323,A323,$D$2:D323,D323)=1)</f>
        <v>1</v>
      </c>
    </row>
    <row r="324" spans="1:5">
      <c r="A324" t="str">
        <f>检查点拆解!A324</f>
        <v>Q0042</v>
      </c>
      <c r="B324" t="str">
        <f>检查点拆解!D324</f>
        <v>C24</v>
      </c>
      <c r="C324" s="2">
        <f>--(COUNTIFS($A$2:A324,A324,$B$2:B324,B324)=1)</f>
        <v>1</v>
      </c>
      <c r="D324" t="str">
        <f>检查点拆解!F324</f>
        <v>D09.03.03</v>
      </c>
      <c r="E324" s="2">
        <f>--(COUNTIFS($A$2:A324,A324,$D$2:D324,D324)=1)</f>
        <v>1</v>
      </c>
    </row>
    <row r="325" spans="1:5">
      <c r="A325" t="str">
        <f>检查点拆解!A325</f>
        <v>Q0042</v>
      </c>
      <c r="B325" t="str">
        <f>检查点拆解!D325</f>
        <v>C21</v>
      </c>
      <c r="C325" s="2">
        <f>--(COUNTIFS($A$2:A325,A325,$B$2:B325,B325)=1)</f>
        <v>1</v>
      </c>
      <c r="D325" t="str">
        <f>检查点拆解!F325</f>
        <v>D07.03.01</v>
      </c>
      <c r="E325" s="2">
        <f>--(COUNTIFS($A$2:A325,A325,$D$2:D325,D325)=1)</f>
        <v>1</v>
      </c>
    </row>
    <row r="326" spans="1:5">
      <c r="A326" t="str">
        <f>检查点拆解!A326</f>
        <v>Q0042</v>
      </c>
      <c r="B326" t="str">
        <f>检查点拆解!D326</f>
        <v>C09</v>
      </c>
      <c r="C326" s="2">
        <f>--(COUNTIFS($A$2:A326,A326,$B$2:B326,B326)=1)</f>
        <v>1</v>
      </c>
      <c r="D326" t="str">
        <f>检查点拆解!F326</f>
        <v>D04.02.02</v>
      </c>
      <c r="E326" s="2">
        <f>--(COUNTIFS($A$2:A326,A326,$D$2:D326,D326)=1)</f>
        <v>1</v>
      </c>
    </row>
    <row r="327" spans="1:5">
      <c r="A327" t="str">
        <f>检查点拆解!A327</f>
        <v>Q0042</v>
      </c>
      <c r="B327" t="str">
        <f>检查点拆解!D327</f>
        <v>C30</v>
      </c>
      <c r="C327" s="2">
        <f>--(COUNTIFS($A$2:A327,A327,$B$2:B327,B327)=1)</f>
        <v>1</v>
      </c>
      <c r="D327" t="str">
        <f>检查点拆解!F327</f>
        <v>D15.01.04</v>
      </c>
      <c r="E327" s="2">
        <f>--(COUNTIFS($A$2:A327,A327,$D$2:D327,D327)=1)</f>
        <v>1</v>
      </c>
    </row>
    <row r="328" spans="1:5">
      <c r="A328" t="str">
        <f>检查点拆解!A328</f>
        <v>Q0042</v>
      </c>
      <c r="B328" t="str">
        <f>检查点拆解!D328</f>
        <v>C28</v>
      </c>
      <c r="C328" s="2">
        <f>--(COUNTIFS($A$2:A328,A328,$B$2:B328,B328)=1)</f>
        <v>1</v>
      </c>
      <c r="D328" t="str">
        <f>检查点拆解!F328</f>
        <v>D12.02.01</v>
      </c>
      <c r="E328" s="2">
        <f>--(COUNTIFS($A$2:A328,A328,$D$2:D328,D328)=1)</f>
        <v>1</v>
      </c>
    </row>
    <row r="329" spans="1:5">
      <c r="A329" t="str">
        <f>检查点拆解!A329</f>
        <v>Q0042</v>
      </c>
      <c r="B329" t="str">
        <f>检查点拆解!D329</f>
        <v>C26</v>
      </c>
      <c r="C329" s="2">
        <f>--(COUNTIFS($A$2:A329,A329,$B$2:B329,B329)=1)</f>
        <v>1</v>
      </c>
      <c r="D329" t="str">
        <f>检查点拆解!F329</f>
        <v>D10.02.01</v>
      </c>
      <c r="E329" s="2">
        <f>--(COUNTIFS($A$2:A329,A329,$D$2:D329,D329)=1)</f>
        <v>1</v>
      </c>
    </row>
    <row r="330" spans="1:5">
      <c r="A330" t="str">
        <f>检查点拆解!A330</f>
        <v>Q0042</v>
      </c>
      <c r="B330" t="str">
        <f>检查点拆解!D330</f>
        <v>C28</v>
      </c>
      <c r="C330" s="2">
        <f>--(COUNTIFS($A$2:A330,A330,$B$2:B330,B330)=1)</f>
        <v>0</v>
      </c>
      <c r="D330" t="str">
        <f>检查点拆解!F330</f>
        <v>D12.01.02</v>
      </c>
      <c r="E330" s="2">
        <f>--(COUNTIFS($A$2:A330,A330,$D$2:D330,D330)=1)</f>
        <v>1</v>
      </c>
    </row>
    <row r="331" spans="1:5">
      <c r="A331" t="str">
        <f>检查点拆解!A331</f>
        <v>Q0042</v>
      </c>
      <c r="B331" t="str">
        <f>检查点拆解!D331</f>
        <v>C17</v>
      </c>
      <c r="C331" s="2">
        <f>--(COUNTIFS($A$2:A331,A331,$B$2:B331,B331)=1)</f>
        <v>0</v>
      </c>
      <c r="D331" t="str">
        <f>检查点拆解!F331</f>
        <v>D06.03.02</v>
      </c>
      <c r="E331" s="2">
        <f>--(COUNTIFS($A$2:A331,A331,$D$2:D331,D331)=1)</f>
        <v>1</v>
      </c>
    </row>
    <row r="332" spans="1:5">
      <c r="A332" t="str">
        <f>检查点拆解!A332</f>
        <v>Q0043</v>
      </c>
      <c r="B332" t="str">
        <f>检查点拆解!D332</f>
        <v>C24</v>
      </c>
      <c r="C332" s="2">
        <f>--(COUNTIFS($A$2:A332,A332,$B$2:B332,B332)=1)</f>
        <v>1</v>
      </c>
      <c r="D332" t="str">
        <f>检查点拆解!F332</f>
        <v>D09.03.03</v>
      </c>
      <c r="E332" s="2">
        <f>--(COUNTIFS($A$2:A332,A332,$D$2:D332,D332)=1)</f>
        <v>1</v>
      </c>
    </row>
    <row r="333" spans="1:5">
      <c r="A333" t="str">
        <f>检查点拆解!A333</f>
        <v>Q0043</v>
      </c>
      <c r="B333" t="str">
        <f>检查点拆解!D333</f>
        <v>C24</v>
      </c>
      <c r="C333" s="2">
        <f>--(COUNTIFS($A$2:A333,A333,$B$2:B333,B333)=1)</f>
        <v>0</v>
      </c>
      <c r="D333" t="str">
        <f>检查点拆解!F333</f>
        <v>D09.02.03</v>
      </c>
      <c r="E333" s="2">
        <f>--(COUNTIFS($A$2:A333,A333,$D$2:D333,D333)=1)</f>
        <v>1</v>
      </c>
    </row>
    <row r="334" spans="1:5">
      <c r="A334" t="str">
        <f>检查点拆解!A334</f>
        <v>Q0043</v>
      </c>
      <c r="B334" t="str">
        <f>检查点拆解!D334</f>
        <v>C25</v>
      </c>
      <c r="C334" s="2">
        <f>--(COUNTIFS($A$2:A334,A334,$B$2:B334,B334)=1)</f>
        <v>1</v>
      </c>
      <c r="D334" t="str">
        <f>检查点拆解!F334</f>
        <v>D10.01.02</v>
      </c>
      <c r="E334" s="2">
        <f>--(COUNTIFS($A$2:A334,A334,$D$2:D334,D334)=1)</f>
        <v>1</v>
      </c>
    </row>
    <row r="335" spans="1:5">
      <c r="A335" t="str">
        <f>检查点拆解!A335</f>
        <v>Q0043</v>
      </c>
      <c r="B335" t="str">
        <f>检查点拆解!D335</f>
        <v>C28</v>
      </c>
      <c r="C335" s="2">
        <f>--(COUNTIFS($A$2:A335,A335,$B$2:B335,B335)=1)</f>
        <v>1</v>
      </c>
      <c r="D335" t="str">
        <f>检查点拆解!F335</f>
        <v>D12.02.01</v>
      </c>
      <c r="E335" s="2">
        <f>--(COUNTIFS($A$2:A335,A335,$D$2:D335,D335)=1)</f>
        <v>1</v>
      </c>
    </row>
    <row r="336" spans="1:5">
      <c r="A336" t="str">
        <f>检查点拆解!A336</f>
        <v>Q0043</v>
      </c>
      <c r="B336" t="str">
        <f>检查点拆解!D336</f>
        <v>C26</v>
      </c>
      <c r="C336" s="2">
        <f>--(COUNTIFS($A$2:A336,A336,$B$2:B336,B336)=1)</f>
        <v>1</v>
      </c>
      <c r="D336" t="str">
        <f>检查点拆解!F336</f>
        <v>D10.02.01</v>
      </c>
      <c r="E336" s="2">
        <f>--(COUNTIFS($A$2:A336,A336,$D$2:D336,D336)=1)</f>
        <v>1</v>
      </c>
    </row>
    <row r="337" spans="1:5">
      <c r="A337" t="str">
        <f>检查点拆解!A337</f>
        <v>Q0043</v>
      </c>
      <c r="B337" t="str">
        <f>检查点拆解!D337</f>
        <v>C28</v>
      </c>
      <c r="C337" s="2">
        <f>--(COUNTIFS($A$2:A337,A337,$B$2:B337,B337)=1)</f>
        <v>0</v>
      </c>
      <c r="D337" t="str">
        <f>检查点拆解!F337</f>
        <v>D12.01.02</v>
      </c>
      <c r="E337" s="2">
        <f>--(COUNTIFS($A$2:A337,A337,$D$2:D337,D337)=1)</f>
        <v>1</v>
      </c>
    </row>
    <row r="338" spans="1:5">
      <c r="A338" t="str">
        <f>检查点拆解!A338</f>
        <v>Q0043</v>
      </c>
      <c r="B338" t="str">
        <f>检查点拆解!D338</f>
        <v>C04</v>
      </c>
      <c r="C338" s="2">
        <f>--(COUNTIFS($A$2:A338,A338,$B$2:B338,B338)=1)</f>
        <v>1</v>
      </c>
      <c r="D338" t="str">
        <f>检查点拆解!F338</f>
        <v>D02.02.03</v>
      </c>
      <c r="E338" s="2">
        <f>--(COUNTIFS($A$2:A338,A338,$D$2:D338,D338)=1)</f>
        <v>1</v>
      </c>
    </row>
    <row r="339" spans="1:5">
      <c r="A339" t="str">
        <f>检查点拆解!A339</f>
        <v>Q0043</v>
      </c>
      <c r="B339" t="str">
        <f>检查点拆解!D339</f>
        <v>C05</v>
      </c>
      <c r="C339" s="2">
        <f>--(COUNTIFS($A$2:A339,A339,$B$2:B339,B339)=1)</f>
        <v>1</v>
      </c>
      <c r="D339" t="str">
        <f>检查点拆解!F339</f>
        <v>D02.03.01</v>
      </c>
      <c r="E339" s="2">
        <f>--(COUNTIFS($A$2:A339,A339,$D$2:D339,D339)=1)</f>
        <v>1</v>
      </c>
    </row>
    <row r="340" spans="1:5">
      <c r="A340" t="str">
        <f>检查点拆解!A340</f>
        <v>Q0044</v>
      </c>
      <c r="B340" t="str">
        <f>检查点拆解!D340</f>
        <v>C30</v>
      </c>
      <c r="C340" s="2">
        <f>--(COUNTIFS($A$2:A340,A340,$B$2:B340,B340)=1)</f>
        <v>1</v>
      </c>
      <c r="D340" t="str">
        <f>检查点拆解!F340</f>
        <v>D15.01.01</v>
      </c>
      <c r="E340" s="2">
        <f>--(COUNTIFS($A$2:A340,A340,$D$2:D340,D340)=1)</f>
        <v>1</v>
      </c>
    </row>
    <row r="341" spans="1:5">
      <c r="A341" t="str">
        <f>检查点拆解!A341</f>
        <v>Q0044</v>
      </c>
      <c r="B341" t="str">
        <f>检查点拆解!D341</f>
        <v>C18</v>
      </c>
      <c r="C341" s="2">
        <f>--(COUNTIFS($A$2:A341,A341,$B$2:B341,B341)=1)</f>
        <v>1</v>
      </c>
      <c r="D341" t="str">
        <f>检查点拆解!F341</f>
        <v>D07.01.03</v>
      </c>
      <c r="E341" s="2">
        <f>--(COUNTIFS($A$2:A341,A341,$D$2:D341,D341)=1)</f>
        <v>1</v>
      </c>
    </row>
    <row r="342" spans="1:5">
      <c r="A342" t="str">
        <f>检查点拆解!A342</f>
        <v>Q0044</v>
      </c>
      <c r="B342" t="str">
        <f>检查点拆解!D342</f>
        <v>C25</v>
      </c>
      <c r="C342" s="2">
        <f>--(COUNTIFS($A$2:A342,A342,$B$2:B342,B342)=1)</f>
        <v>1</v>
      </c>
      <c r="D342" t="str">
        <f>检查点拆解!F342</f>
        <v>D10.01.03</v>
      </c>
      <c r="E342" s="2">
        <f>--(COUNTIFS($A$2:A342,A342,$D$2:D342,D342)=1)</f>
        <v>1</v>
      </c>
    </row>
    <row r="343" spans="1:5">
      <c r="A343" t="str">
        <f>检查点拆解!A343</f>
        <v>Q0044</v>
      </c>
      <c r="B343" t="str">
        <f>检查点拆解!D343</f>
        <v>C25</v>
      </c>
      <c r="C343" s="2">
        <f>--(COUNTIFS($A$2:A343,A343,$B$2:B343,B343)=1)</f>
        <v>0</v>
      </c>
      <c r="D343" t="str">
        <f>检查点拆解!F343</f>
        <v>D10.01.01</v>
      </c>
      <c r="E343" s="2">
        <f>--(COUNTIFS($A$2:A343,A343,$D$2:D343,D343)=1)</f>
        <v>1</v>
      </c>
    </row>
    <row r="344" spans="1:5">
      <c r="A344" t="str">
        <f>检查点拆解!A344</f>
        <v>Q0044</v>
      </c>
      <c r="B344" t="str">
        <f>检查点拆解!D344</f>
        <v>C06</v>
      </c>
      <c r="C344" s="2">
        <f>--(COUNTIFS($A$2:A344,A344,$B$2:B344,B344)=1)</f>
        <v>1</v>
      </c>
      <c r="D344" t="str">
        <f>检查点拆解!F344</f>
        <v>D03.01.02</v>
      </c>
      <c r="E344" s="2">
        <f>--(COUNTIFS($A$2:A344,A344,$D$2:D344,D344)=1)</f>
        <v>1</v>
      </c>
    </row>
    <row r="345" spans="1:5">
      <c r="A345" t="str">
        <f>检查点拆解!A345</f>
        <v>Q0044</v>
      </c>
      <c r="B345" t="str">
        <f>检查点拆解!D345</f>
        <v>C28</v>
      </c>
      <c r="C345" s="2">
        <f>--(COUNTIFS($A$2:A345,A345,$B$2:B345,B345)=1)</f>
        <v>1</v>
      </c>
      <c r="D345" t="str">
        <f>检查点拆解!F345</f>
        <v>D12.02.01</v>
      </c>
      <c r="E345" s="2">
        <f>--(COUNTIFS($A$2:A345,A345,$D$2:D345,D345)=1)</f>
        <v>1</v>
      </c>
    </row>
    <row r="346" spans="1:5">
      <c r="A346" t="str">
        <f>检查点拆解!A346</f>
        <v>Q0044</v>
      </c>
      <c r="B346" t="str">
        <f>检查点拆解!D346</f>
        <v>C26</v>
      </c>
      <c r="C346" s="2">
        <f>--(COUNTIFS($A$2:A346,A346,$B$2:B346,B346)=1)</f>
        <v>1</v>
      </c>
      <c r="D346" t="str">
        <f>检查点拆解!F346</f>
        <v>D10.02.02</v>
      </c>
      <c r="E346" s="2">
        <f>--(COUNTIFS($A$2:A346,A346,$D$2:D346,D346)=1)</f>
        <v>1</v>
      </c>
    </row>
    <row r="347" spans="1:5">
      <c r="A347" t="str">
        <f>检查点拆解!A347</f>
        <v>Q0044</v>
      </c>
      <c r="B347" t="str">
        <f>检查点拆解!D347</f>
        <v>C26</v>
      </c>
      <c r="C347" s="2">
        <f>--(COUNTIFS($A$2:A347,A347,$B$2:B347,B347)=1)</f>
        <v>0</v>
      </c>
      <c r="D347" t="str">
        <f>检查点拆解!F347</f>
        <v>D10.02.01</v>
      </c>
      <c r="E347" s="2">
        <f>--(COUNTIFS($A$2:A347,A347,$D$2:D347,D347)=1)</f>
        <v>1</v>
      </c>
    </row>
    <row r="348" spans="1:5">
      <c r="A348" t="str">
        <f>检查点拆解!A348</f>
        <v>Q0044</v>
      </c>
      <c r="B348" t="str">
        <f>检查点拆解!D348</f>
        <v>C06</v>
      </c>
      <c r="C348" s="2">
        <f>--(COUNTIFS($A$2:A348,A348,$B$2:B348,B348)=1)</f>
        <v>0</v>
      </c>
      <c r="D348" t="str">
        <f>检查点拆解!F348</f>
        <v>D03.01.01</v>
      </c>
      <c r="E348" s="2">
        <f>--(COUNTIFS($A$2:A348,A348,$D$2:D348,D348)=1)</f>
        <v>1</v>
      </c>
    </row>
    <row r="349" spans="1:5">
      <c r="A349" t="str">
        <f>检查点拆解!A349</f>
        <v>Q0044</v>
      </c>
      <c r="B349" t="str">
        <f>检查点拆解!D349</f>
        <v>C28</v>
      </c>
      <c r="C349" s="2">
        <f>--(COUNTIFS($A$2:A349,A349,$B$2:B349,B349)=1)</f>
        <v>0</v>
      </c>
      <c r="D349" t="str">
        <f>检查点拆解!F349</f>
        <v>D13.01.01</v>
      </c>
      <c r="E349" s="2">
        <f>--(COUNTIFS($A$2:A349,A349,$D$2:D349,D349)=1)</f>
        <v>1</v>
      </c>
    </row>
    <row r="350" spans="1:5">
      <c r="A350" t="str">
        <f>检查点拆解!A350</f>
        <v>Q0045</v>
      </c>
      <c r="B350" t="str">
        <f>检查点拆解!D350</f>
        <v>C20</v>
      </c>
      <c r="C350" s="2">
        <f>--(COUNTIFS($A$2:A350,A350,$B$2:B350,B350)=1)</f>
        <v>1</v>
      </c>
      <c r="D350" t="str">
        <f>检查点拆解!F350</f>
        <v>D07.02.04</v>
      </c>
      <c r="E350" s="2">
        <f>--(COUNTIFS($A$2:A350,A350,$D$2:D350,D350)=1)</f>
        <v>1</v>
      </c>
    </row>
    <row r="351" spans="1:5">
      <c r="A351" t="str">
        <f>检查点拆解!A351</f>
        <v>Q0045</v>
      </c>
      <c r="B351" t="str">
        <f>检查点拆解!D351</f>
        <v>C29</v>
      </c>
      <c r="C351" s="2">
        <f>--(COUNTIFS($A$2:A351,A351,$B$2:B351,B351)=1)</f>
        <v>1</v>
      </c>
      <c r="D351" t="str">
        <f>检查点拆解!F351</f>
        <v>D14.01.01</v>
      </c>
      <c r="E351" s="2">
        <f>--(COUNTIFS($A$2:A351,A351,$D$2:D351,D351)=1)</f>
        <v>1</v>
      </c>
    </row>
    <row r="352" spans="1:5">
      <c r="A352" t="str">
        <f>检查点拆解!A352</f>
        <v>Q0045</v>
      </c>
      <c r="B352" t="str">
        <f>检查点拆解!D352</f>
        <v>C23</v>
      </c>
      <c r="C352" s="2">
        <f>--(COUNTIFS($A$2:A352,A352,$B$2:B352,B352)=1)</f>
        <v>1</v>
      </c>
      <c r="D352" t="str">
        <f>检查点拆解!F352</f>
        <v>D09.01.03</v>
      </c>
      <c r="E352" s="2">
        <f>--(COUNTIFS($A$2:A352,A352,$D$2:D352,D352)=1)</f>
        <v>1</v>
      </c>
    </row>
    <row r="353" spans="1:5">
      <c r="A353" t="str">
        <f>检查点拆解!A353</f>
        <v>Q0045</v>
      </c>
      <c r="B353" t="str">
        <f>检查点拆解!D353</f>
        <v>C16</v>
      </c>
      <c r="C353" s="2">
        <f>--(COUNTIFS($A$2:A353,A353,$B$2:B353,B353)=1)</f>
        <v>1</v>
      </c>
      <c r="D353" t="str">
        <f>检查点拆解!F353</f>
        <v>D05.02.04</v>
      </c>
      <c r="E353" s="2">
        <f>--(COUNTIFS($A$2:A353,A353,$D$2:D353,D353)=1)</f>
        <v>1</v>
      </c>
    </row>
    <row r="354" spans="1:5">
      <c r="A354" t="str">
        <f>检查点拆解!A354</f>
        <v>Q0045</v>
      </c>
      <c r="B354" t="str">
        <f>检查点拆解!D354</f>
        <v>C25</v>
      </c>
      <c r="C354" s="2">
        <f>--(COUNTIFS($A$2:A354,A354,$B$2:B354,B354)=1)</f>
        <v>1</v>
      </c>
      <c r="D354" t="str">
        <f>检查点拆解!F354</f>
        <v>D10.01.01</v>
      </c>
      <c r="E354" s="2">
        <f>--(COUNTIFS($A$2:A354,A354,$D$2:D354,D354)=1)</f>
        <v>1</v>
      </c>
    </row>
    <row r="355" spans="1:5">
      <c r="A355" t="str">
        <f>检查点拆解!A355</f>
        <v>Q0045</v>
      </c>
      <c r="B355" t="str">
        <f>检查点拆解!D355</f>
        <v>C28</v>
      </c>
      <c r="C355" s="2">
        <f>--(COUNTIFS($A$2:A355,A355,$B$2:B355,B355)=1)</f>
        <v>1</v>
      </c>
      <c r="D355" t="str">
        <f>检查点拆解!F355</f>
        <v>D12.02.02</v>
      </c>
      <c r="E355" s="2">
        <f>--(COUNTIFS($A$2:A355,A355,$D$2:D355,D355)=1)</f>
        <v>1</v>
      </c>
    </row>
    <row r="356" spans="1:5">
      <c r="A356" t="str">
        <f>检查点拆解!A356</f>
        <v>Q0045</v>
      </c>
      <c r="B356" t="str">
        <f>检查点拆解!D356</f>
        <v>C26</v>
      </c>
      <c r="C356" s="2">
        <f>--(COUNTIFS($A$2:A356,A356,$B$2:B356,B356)=1)</f>
        <v>1</v>
      </c>
      <c r="D356" t="str">
        <f>检查点拆解!F356</f>
        <v>D10.02.01</v>
      </c>
      <c r="E356" s="2">
        <f>--(COUNTIFS($A$2:A356,A356,$D$2:D356,D356)=1)</f>
        <v>1</v>
      </c>
    </row>
    <row r="357" spans="1:5">
      <c r="A357" t="str">
        <f>检查点拆解!A357</f>
        <v>Q0045</v>
      </c>
      <c r="B357" t="str">
        <f>检查点拆解!D357</f>
        <v>C06</v>
      </c>
      <c r="C357" s="2">
        <f>--(COUNTIFS($A$2:A357,A357,$B$2:B357,B357)=1)</f>
        <v>1</v>
      </c>
      <c r="D357" t="str">
        <f>检查点拆解!F357</f>
        <v>D03.01.01</v>
      </c>
      <c r="E357" s="2">
        <f>--(COUNTIFS($A$2:A357,A357,$D$2:D357,D357)=1)</f>
        <v>1</v>
      </c>
    </row>
    <row r="358" spans="1:5">
      <c r="A358" t="str">
        <f>检查点拆解!A358</f>
        <v>Q0045</v>
      </c>
      <c r="B358" t="str">
        <f>检查点拆解!D358</f>
        <v>C04</v>
      </c>
      <c r="C358" s="2">
        <f>--(COUNTIFS($A$2:A358,A358,$B$2:B358,B358)=1)</f>
        <v>1</v>
      </c>
      <c r="D358" t="str">
        <f>检查点拆解!F358</f>
        <v>D02.02.03</v>
      </c>
      <c r="E358" s="2">
        <f>--(COUNTIFS($A$2:A358,A358,$D$2:D358,D358)=1)</f>
        <v>1</v>
      </c>
    </row>
    <row r="359" spans="1:5">
      <c r="A359" t="str">
        <f>检查点拆解!A359</f>
        <v>Q0045</v>
      </c>
      <c r="B359" t="str">
        <f>检查点拆解!D359</f>
        <v>C28</v>
      </c>
      <c r="C359" s="2">
        <f>--(COUNTIFS($A$2:A359,A359,$B$2:B359,B359)=1)</f>
        <v>0</v>
      </c>
      <c r="D359" t="str">
        <f>检查点拆解!F359</f>
        <v>D13.01.01</v>
      </c>
      <c r="E359" s="2">
        <f>--(COUNTIFS($A$2:A359,A359,$D$2:D359,D359)=1)</f>
        <v>1</v>
      </c>
    </row>
    <row r="360" spans="1:5">
      <c r="A360" t="str">
        <f>检查点拆解!A360</f>
        <v>Q0046</v>
      </c>
      <c r="B360" t="str">
        <f>检查点拆解!D360</f>
        <v>C27</v>
      </c>
      <c r="C360" s="2">
        <f>--(COUNTIFS($A$2:A360,A360,$B$2:B360,B360)=1)</f>
        <v>1</v>
      </c>
      <c r="D360" t="str">
        <f>检查点拆解!F360</f>
        <v>D11.02.01</v>
      </c>
      <c r="E360" s="2">
        <f>--(COUNTIFS($A$2:A360,A360,$D$2:D360,D360)=1)</f>
        <v>1</v>
      </c>
    </row>
    <row r="361" spans="1:5">
      <c r="A361" t="str">
        <f>检查点拆解!A361</f>
        <v>Q0046</v>
      </c>
      <c r="B361" t="str">
        <f>检查点拆解!D361</f>
        <v>C12</v>
      </c>
      <c r="C361" s="2">
        <f>--(COUNTIFS($A$2:A361,A361,$B$2:B361,B361)=1)</f>
        <v>1</v>
      </c>
      <c r="D361" t="str">
        <f>检查点拆解!F361</f>
        <v>D04.03.04</v>
      </c>
      <c r="E361" s="2">
        <f>--(COUNTIFS($A$2:A361,A361,$D$2:D361,D361)=1)</f>
        <v>1</v>
      </c>
    </row>
    <row r="362" spans="1:5">
      <c r="A362" t="str">
        <f>检查点拆解!A362</f>
        <v>Q0046</v>
      </c>
      <c r="B362" t="str">
        <f>检查点拆解!D362</f>
        <v>C27</v>
      </c>
      <c r="C362" s="2">
        <f>--(COUNTIFS($A$2:A362,A362,$B$2:B362,B362)=1)</f>
        <v>0</v>
      </c>
      <c r="D362" t="str">
        <f>检查点拆解!F362</f>
        <v>D11.01.01</v>
      </c>
      <c r="E362" s="2">
        <f>--(COUNTIFS($A$2:A362,A362,$D$2:D362,D362)=1)</f>
        <v>1</v>
      </c>
    </row>
    <row r="363" spans="1:5">
      <c r="A363" t="str">
        <f>检查点拆解!A363</f>
        <v>Q0046</v>
      </c>
      <c r="B363" t="str">
        <f>检查点拆解!D363</f>
        <v>C25</v>
      </c>
      <c r="C363" s="2">
        <f>--(COUNTIFS($A$2:A363,A363,$B$2:B363,B363)=1)</f>
        <v>1</v>
      </c>
      <c r="D363" t="str">
        <f>检查点拆解!F363</f>
        <v>D10.01.01</v>
      </c>
      <c r="E363" s="2">
        <f>--(COUNTIFS($A$2:A363,A363,$D$2:D363,D363)=1)</f>
        <v>1</v>
      </c>
    </row>
    <row r="364" spans="1:5">
      <c r="A364" t="str">
        <f>检查点拆解!A364</f>
        <v>Q0046</v>
      </c>
      <c r="B364" t="str">
        <f>检查点拆解!D364</f>
        <v>C17</v>
      </c>
      <c r="C364" s="2">
        <f>--(COUNTIFS($A$2:A364,A364,$B$2:B364,B364)=1)</f>
        <v>1</v>
      </c>
      <c r="D364" t="str">
        <f>检查点拆解!F364</f>
        <v>D06.01.01</v>
      </c>
      <c r="E364" s="2">
        <f>--(COUNTIFS($A$2:A364,A364,$D$2:D364,D364)=1)</f>
        <v>1</v>
      </c>
    </row>
    <row r="365" spans="1:5">
      <c r="A365" t="str">
        <f>检查点拆解!A365</f>
        <v>Q0046</v>
      </c>
      <c r="B365" t="str">
        <f>检查点拆解!D365</f>
        <v>C30</v>
      </c>
      <c r="C365" s="2">
        <f>--(COUNTIFS($A$2:A365,A365,$B$2:B365,B365)=1)</f>
        <v>1</v>
      </c>
      <c r="D365" t="str">
        <f>检查点拆解!F365</f>
        <v>D15.01.04</v>
      </c>
      <c r="E365" s="2">
        <f>--(COUNTIFS($A$2:A365,A365,$D$2:D365,D365)=1)</f>
        <v>1</v>
      </c>
    </row>
    <row r="366" spans="1:5">
      <c r="A366" t="str">
        <f>检查点拆解!A366</f>
        <v>Q0046</v>
      </c>
      <c r="B366" t="str">
        <f>检查点拆解!D366</f>
        <v>C23</v>
      </c>
      <c r="C366" s="2">
        <f>--(COUNTIFS($A$2:A366,A366,$B$2:B366,B366)=1)</f>
        <v>1</v>
      </c>
      <c r="D366" t="str">
        <f>检查点拆解!F366</f>
        <v>D09.01.01</v>
      </c>
      <c r="E366" s="2">
        <f>--(COUNTIFS($A$2:A366,A366,$D$2:D366,D366)=1)</f>
        <v>1</v>
      </c>
    </row>
    <row r="367" spans="1:5">
      <c r="A367" t="str">
        <f>检查点拆解!A367</f>
        <v>Q0046</v>
      </c>
      <c r="B367" t="str">
        <f>检查点拆解!D367</f>
        <v>C08</v>
      </c>
      <c r="C367" s="2">
        <f>--(COUNTIFS($A$2:A367,A367,$B$2:B367,B367)=1)</f>
        <v>1</v>
      </c>
      <c r="D367" t="str">
        <f>检查点拆解!F367</f>
        <v>D04.01.02</v>
      </c>
      <c r="E367" s="2">
        <f>--(COUNTIFS($A$2:A367,A367,$D$2:D367,D367)=1)</f>
        <v>1</v>
      </c>
    </row>
    <row r="368" spans="1:5">
      <c r="A368" t="str">
        <f>检查点拆解!A368</f>
        <v>Q0046</v>
      </c>
      <c r="B368" t="str">
        <f>检查点拆解!D368</f>
        <v>C26</v>
      </c>
      <c r="C368" s="2">
        <f>--(COUNTIFS($A$2:A368,A368,$B$2:B368,B368)=1)</f>
        <v>1</v>
      </c>
      <c r="D368" t="str">
        <f>检查点拆解!F368</f>
        <v>D10.02.01</v>
      </c>
      <c r="E368" s="2">
        <f>--(COUNTIFS($A$2:A368,A368,$D$2:D368,D368)=1)</f>
        <v>1</v>
      </c>
    </row>
    <row r="369" spans="1:5">
      <c r="A369" t="str">
        <f>检查点拆解!A369</f>
        <v>Q0046</v>
      </c>
      <c r="B369" t="str">
        <f>检查点拆解!D369</f>
        <v>C28</v>
      </c>
      <c r="C369" s="2">
        <f>--(COUNTIFS($A$2:A369,A369,$B$2:B369,B369)=1)</f>
        <v>1</v>
      </c>
      <c r="D369" t="str">
        <f>检查点拆解!F369</f>
        <v>D12.01.02</v>
      </c>
      <c r="E369" s="2">
        <f>--(COUNTIFS($A$2:A369,A369,$D$2:D369,D369)=1)</f>
        <v>1</v>
      </c>
    </row>
    <row r="370" spans="1:5">
      <c r="A370" t="str">
        <f>检查点拆解!A370</f>
        <v>Q0047</v>
      </c>
      <c r="B370" t="str">
        <f>检查点拆解!D370</f>
        <v>C30</v>
      </c>
      <c r="C370" s="2">
        <f>--(COUNTIFS($A$2:A370,A370,$B$2:B370,B370)=1)</f>
        <v>1</v>
      </c>
      <c r="D370" t="str">
        <f>检查点拆解!F370</f>
        <v>D15.01.02</v>
      </c>
      <c r="E370" s="2">
        <f>--(COUNTIFS($A$2:A370,A370,$D$2:D370,D370)=1)</f>
        <v>1</v>
      </c>
    </row>
    <row r="371" spans="1:5">
      <c r="A371" t="str">
        <f>检查点拆解!A371</f>
        <v>Q0047</v>
      </c>
      <c r="B371" t="str">
        <f>检查点拆解!D371</f>
        <v>C30</v>
      </c>
      <c r="C371" s="2">
        <f>--(COUNTIFS($A$2:A371,A371,$B$2:B371,B371)=1)</f>
        <v>0</v>
      </c>
      <c r="D371" t="str">
        <f>检查点拆解!F371</f>
        <v>D15.01.03</v>
      </c>
      <c r="E371" s="2">
        <f>--(COUNTIFS($A$2:A371,A371,$D$2:D371,D371)=1)</f>
        <v>1</v>
      </c>
    </row>
    <row r="372" spans="1:5">
      <c r="A372" t="str">
        <f>检查点拆解!A372</f>
        <v>Q0047</v>
      </c>
      <c r="B372" t="str">
        <f>检查点拆解!D372</f>
        <v>C24</v>
      </c>
      <c r="C372" s="2">
        <f>--(COUNTIFS($A$2:A372,A372,$B$2:B372,B372)=1)</f>
        <v>1</v>
      </c>
      <c r="D372" t="str">
        <f>检查点拆解!F372</f>
        <v>D09.03.03</v>
      </c>
      <c r="E372" s="2">
        <f>--(COUNTIFS($A$2:A372,A372,$D$2:D372,D372)=1)</f>
        <v>1</v>
      </c>
    </row>
    <row r="373" spans="1:5">
      <c r="A373" t="str">
        <f>检查点拆解!A373</f>
        <v>Q0047</v>
      </c>
      <c r="B373" t="str">
        <f>检查点拆解!D373</f>
        <v>C27</v>
      </c>
      <c r="C373" s="2">
        <f>--(COUNTIFS($A$2:A373,A373,$B$2:B373,B373)=1)</f>
        <v>1</v>
      </c>
      <c r="D373" t="str">
        <f>检查点拆解!F373</f>
        <v>D11.02.04</v>
      </c>
      <c r="E373" s="2">
        <f>--(COUNTIFS($A$2:A373,A373,$D$2:D373,D373)=1)</f>
        <v>1</v>
      </c>
    </row>
    <row r="374" spans="1:5">
      <c r="A374" t="str">
        <f>检查点拆解!A374</f>
        <v>Q0047</v>
      </c>
      <c r="B374" t="str">
        <f>检查点拆解!D374</f>
        <v>C09</v>
      </c>
      <c r="C374" s="2">
        <f>--(COUNTIFS($A$2:A374,A374,$B$2:B374,B374)=1)</f>
        <v>1</v>
      </c>
      <c r="D374" t="str">
        <f>检查点拆解!F374</f>
        <v>D04.02.02</v>
      </c>
      <c r="E374" s="2">
        <f>--(COUNTIFS($A$2:A374,A374,$D$2:D374,D374)=1)</f>
        <v>1</v>
      </c>
    </row>
    <row r="375" spans="1:5">
      <c r="A375" t="str">
        <f>检查点拆解!A375</f>
        <v>Q0047</v>
      </c>
      <c r="B375" t="str">
        <f>检查点拆解!D375</f>
        <v>C28</v>
      </c>
      <c r="C375" s="2">
        <f>--(COUNTIFS($A$2:A375,A375,$B$2:B375,B375)=1)</f>
        <v>1</v>
      </c>
      <c r="D375" t="str">
        <f>检查点拆解!F375</f>
        <v>D12.01.01</v>
      </c>
      <c r="E375" s="2">
        <f>--(COUNTIFS($A$2:A375,A375,$D$2:D375,D375)=1)</f>
        <v>1</v>
      </c>
    </row>
    <row r="376" spans="1:5">
      <c r="A376" t="str">
        <f>检查点拆解!A376</f>
        <v>Q0047</v>
      </c>
      <c r="B376" t="str">
        <f>检查点拆解!D376</f>
        <v>C28</v>
      </c>
      <c r="C376" s="2">
        <f>--(COUNTIFS($A$2:A376,A376,$B$2:B376,B376)=1)</f>
        <v>0</v>
      </c>
      <c r="D376" t="str">
        <f>检查点拆解!F376</f>
        <v>D12.01.02</v>
      </c>
      <c r="E376" s="2">
        <f>--(COUNTIFS($A$2:A376,A376,$D$2:D376,D376)=1)</f>
        <v>1</v>
      </c>
    </row>
    <row r="377" spans="1:5">
      <c r="A377" t="str">
        <f>检查点拆解!A377</f>
        <v>Q0047</v>
      </c>
      <c r="B377" t="str">
        <f>检查点拆解!D377</f>
        <v>C06</v>
      </c>
      <c r="C377" s="2">
        <f>--(COUNTIFS($A$2:A377,A377,$B$2:B377,B377)=1)</f>
        <v>1</v>
      </c>
      <c r="D377" t="str">
        <f>检查点拆解!F377</f>
        <v>D03.01.01</v>
      </c>
      <c r="E377" s="2">
        <f>--(COUNTIFS($A$2:A377,A377,$D$2:D377,D377)=1)</f>
        <v>1</v>
      </c>
    </row>
    <row r="378" spans="1:5">
      <c r="A378" t="str">
        <f>检查点拆解!A378</f>
        <v>Q0047</v>
      </c>
      <c r="B378" t="str">
        <f>检查点拆解!D378</f>
        <v>C28</v>
      </c>
      <c r="C378" s="2">
        <f>--(COUNTIFS($A$2:A378,A378,$B$2:B378,B378)=1)</f>
        <v>0</v>
      </c>
      <c r="D378" t="str">
        <f>检查点拆解!F378</f>
        <v>D12.01.03</v>
      </c>
      <c r="E378" s="2">
        <f>--(COUNTIFS($A$2:A378,A378,$D$2:D378,D378)=1)</f>
        <v>1</v>
      </c>
    </row>
    <row r="379" spans="1:5">
      <c r="A379" t="str">
        <f>检查点拆解!A379</f>
        <v>Q0047</v>
      </c>
      <c r="B379" t="str">
        <f>检查点拆解!D379</f>
        <v>C14</v>
      </c>
      <c r="C379" s="2">
        <f>--(COUNTIFS($A$2:A379,A379,$B$2:B379,B379)=1)</f>
        <v>1</v>
      </c>
      <c r="D379" t="str">
        <f>检查点拆解!F379</f>
        <v>D05.01.01</v>
      </c>
      <c r="E379" s="2">
        <f>--(COUNTIFS($A$2:A379,A379,$D$2:D379,D379)=1)</f>
        <v>1</v>
      </c>
    </row>
    <row r="380" spans="1:5">
      <c r="A380" t="str">
        <f>检查点拆解!A380</f>
        <v>Q0048</v>
      </c>
      <c r="B380" t="str">
        <f>检查点拆解!D380</f>
        <v>C30</v>
      </c>
      <c r="C380" s="2">
        <f>--(COUNTIFS($A$2:A380,A380,$B$2:B380,B380)=1)</f>
        <v>1</v>
      </c>
      <c r="D380" t="str">
        <f>检查点拆解!F380</f>
        <v>D15.01.02</v>
      </c>
      <c r="E380" s="2">
        <f>--(COUNTIFS($A$2:A380,A380,$D$2:D380,D380)=1)</f>
        <v>1</v>
      </c>
    </row>
    <row r="381" spans="1:5">
      <c r="A381" t="str">
        <f>检查点拆解!A381</f>
        <v>Q0048</v>
      </c>
      <c r="B381" t="str">
        <f>检查点拆解!D381</f>
        <v>C24</v>
      </c>
      <c r="C381" s="2">
        <f>--(COUNTIFS($A$2:A381,A381,$B$2:B381,B381)=1)</f>
        <v>1</v>
      </c>
      <c r="D381" t="str">
        <f>检查点拆解!F381</f>
        <v>D09.02.02</v>
      </c>
      <c r="E381" s="2">
        <f>--(COUNTIFS($A$2:A381,A381,$D$2:D381,D381)=1)</f>
        <v>1</v>
      </c>
    </row>
    <row r="382" spans="1:5">
      <c r="A382" t="str">
        <f>检查点拆解!A382</f>
        <v>Q0048</v>
      </c>
      <c r="B382" t="str">
        <f>检查点拆解!D382</f>
        <v>C30</v>
      </c>
      <c r="C382" s="2">
        <f>--(COUNTIFS($A$2:A382,A382,$B$2:B382,B382)=1)</f>
        <v>0</v>
      </c>
      <c r="D382" t="str">
        <f>检查点拆解!F382</f>
        <v>D15.01.03</v>
      </c>
      <c r="E382" s="2">
        <f>--(COUNTIFS($A$2:A382,A382,$D$2:D382,D382)=1)</f>
        <v>1</v>
      </c>
    </row>
    <row r="383" spans="1:5">
      <c r="A383" t="str">
        <f>检查点拆解!A383</f>
        <v>Q0048</v>
      </c>
      <c r="B383" t="str">
        <f>检查点拆解!D383</f>
        <v>C17</v>
      </c>
      <c r="C383" s="2">
        <f>--(COUNTIFS($A$2:A383,A383,$B$2:B383,B383)=1)</f>
        <v>1</v>
      </c>
      <c r="D383" t="str">
        <f>检查点拆解!F383</f>
        <v>D06.01.03</v>
      </c>
      <c r="E383" s="2">
        <f>--(COUNTIFS($A$2:A383,A383,$D$2:D383,D383)=1)</f>
        <v>1</v>
      </c>
    </row>
    <row r="384" spans="1:5">
      <c r="A384" t="str">
        <f>检查点拆解!A384</f>
        <v>Q0048</v>
      </c>
      <c r="B384" t="str">
        <f>检查点拆解!D384</f>
        <v>C23</v>
      </c>
      <c r="C384" s="2">
        <f>--(COUNTIFS($A$2:A384,A384,$B$2:B384,B384)=1)</f>
        <v>1</v>
      </c>
      <c r="D384" t="str">
        <f>检查点拆解!F384</f>
        <v>D09.01.01</v>
      </c>
      <c r="E384" s="2">
        <f>--(COUNTIFS($A$2:A384,A384,$D$2:D384,D384)=1)</f>
        <v>1</v>
      </c>
    </row>
    <row r="385" spans="1:5">
      <c r="A385" t="str">
        <f>检查点拆解!A385</f>
        <v>Q0048</v>
      </c>
      <c r="B385" t="str">
        <f>检查点拆解!D385</f>
        <v>C28</v>
      </c>
      <c r="C385" s="2">
        <f>--(COUNTIFS($A$2:A385,A385,$B$2:B385,B385)=1)</f>
        <v>1</v>
      </c>
      <c r="D385" t="str">
        <f>检查点拆解!F385</f>
        <v>D12.01.01</v>
      </c>
      <c r="E385" s="2">
        <f>--(COUNTIFS($A$2:A385,A385,$D$2:D385,D385)=1)</f>
        <v>1</v>
      </c>
    </row>
    <row r="386" spans="1:5">
      <c r="A386" t="str">
        <f>检查点拆解!A386</f>
        <v>Q0048</v>
      </c>
      <c r="B386" t="str">
        <f>检查点拆解!D386</f>
        <v>C04</v>
      </c>
      <c r="C386" s="2">
        <f>--(COUNTIFS($A$2:A386,A386,$B$2:B386,B386)=1)</f>
        <v>1</v>
      </c>
      <c r="D386" t="str">
        <f>检查点拆解!F386</f>
        <v>D02.02.01</v>
      </c>
      <c r="E386" s="2">
        <f>--(COUNTIFS($A$2:A386,A386,$D$2:D386,D386)=1)</f>
        <v>1</v>
      </c>
    </row>
    <row r="387" spans="1:5">
      <c r="A387" t="str">
        <f>检查点拆解!A387</f>
        <v>Q0049</v>
      </c>
      <c r="B387" t="str">
        <f>检查点拆解!D387</f>
        <v>C30</v>
      </c>
      <c r="C387" s="2">
        <f>--(COUNTIFS($A$2:A387,A387,$B$2:B387,B387)=1)</f>
        <v>1</v>
      </c>
      <c r="D387" t="str">
        <f>检查点拆解!F387</f>
        <v>D15.01.02</v>
      </c>
      <c r="E387" s="2">
        <f>--(COUNTIFS($A$2:A387,A387,$D$2:D387,D387)=1)</f>
        <v>1</v>
      </c>
    </row>
    <row r="388" spans="1:5">
      <c r="A388" t="str">
        <f>检查点拆解!A388</f>
        <v>Q0049</v>
      </c>
      <c r="B388" t="str">
        <f>检查点拆解!D388</f>
        <v>C30</v>
      </c>
      <c r="C388" s="2">
        <f>--(COUNTIFS($A$2:A388,A388,$B$2:B388,B388)=1)</f>
        <v>0</v>
      </c>
      <c r="D388" t="str">
        <f>检查点拆解!F388</f>
        <v>D15.01.03</v>
      </c>
      <c r="E388" s="2">
        <f>--(COUNTIFS($A$2:A388,A388,$D$2:D388,D388)=1)</f>
        <v>1</v>
      </c>
    </row>
    <row r="389" spans="1:5">
      <c r="A389" t="str">
        <f>检查点拆解!A389</f>
        <v>Q0049</v>
      </c>
      <c r="B389" t="str">
        <f>检查点拆解!D389</f>
        <v>C27</v>
      </c>
      <c r="C389" s="2">
        <f>--(COUNTIFS($A$2:A389,A389,$B$2:B389,B389)=1)</f>
        <v>1</v>
      </c>
      <c r="D389" t="str">
        <f>检查点拆解!F389</f>
        <v>D11.01.02</v>
      </c>
      <c r="E389" s="2">
        <f>--(COUNTIFS($A$2:A389,A389,$D$2:D389,D389)=1)</f>
        <v>1</v>
      </c>
    </row>
    <row r="390" spans="1:5">
      <c r="A390" t="str">
        <f>检查点拆解!A390</f>
        <v>Q0049</v>
      </c>
      <c r="B390" t="str">
        <f>检查点拆解!D390</f>
        <v>C24</v>
      </c>
      <c r="C390" s="2">
        <f>--(COUNTIFS($A$2:A390,A390,$B$2:B390,B390)=1)</f>
        <v>1</v>
      </c>
      <c r="D390" t="str">
        <f>检查点拆解!F390</f>
        <v>D09.03.03</v>
      </c>
      <c r="E390" s="2">
        <f>--(COUNTIFS($A$2:A390,A390,$D$2:D390,D390)=1)</f>
        <v>1</v>
      </c>
    </row>
    <row r="391" spans="1:5">
      <c r="A391" t="str">
        <f>检查点拆解!A391</f>
        <v>Q0049</v>
      </c>
      <c r="B391" t="str">
        <f>检查点拆解!D391</f>
        <v>C27</v>
      </c>
      <c r="C391" s="2">
        <f>--(COUNTIFS($A$2:A391,A391,$B$2:B391,B391)=1)</f>
        <v>0</v>
      </c>
      <c r="D391" t="str">
        <f>检查点拆解!F391</f>
        <v>D11.01.03</v>
      </c>
      <c r="E391" s="2">
        <f>--(COUNTIFS($A$2:A391,A391,$D$2:D391,D391)=1)</f>
        <v>1</v>
      </c>
    </row>
    <row r="392" spans="1:5">
      <c r="A392" t="str">
        <f>检查点拆解!A392</f>
        <v>Q0049</v>
      </c>
      <c r="B392" t="str">
        <f>检查点拆解!D392</f>
        <v>C09</v>
      </c>
      <c r="C392" s="2">
        <f>--(COUNTIFS($A$2:A392,A392,$B$2:B392,B392)=1)</f>
        <v>1</v>
      </c>
      <c r="D392" t="str">
        <f>检查点拆解!F392</f>
        <v>D04.02.02</v>
      </c>
      <c r="E392" s="2">
        <f>--(COUNTIFS($A$2:A392,A392,$D$2:D392,D392)=1)</f>
        <v>1</v>
      </c>
    </row>
    <row r="393" spans="1:5">
      <c r="A393" t="str">
        <f>检查点拆解!A393</f>
        <v>Q0049</v>
      </c>
      <c r="B393" t="str">
        <f>检查点拆解!D393</f>
        <v>C25</v>
      </c>
      <c r="C393" s="2">
        <f>--(COUNTIFS($A$2:A393,A393,$B$2:B393,B393)=1)</f>
        <v>1</v>
      </c>
      <c r="D393" t="str">
        <f>检查点拆解!F393</f>
        <v>D10.01.04</v>
      </c>
      <c r="E393" s="2">
        <f>--(COUNTIFS($A$2:A393,A393,$D$2:D393,D393)=1)</f>
        <v>1</v>
      </c>
    </row>
    <row r="394" spans="1:5">
      <c r="A394" t="str">
        <f>检查点拆解!A394</f>
        <v>Q0049</v>
      </c>
      <c r="B394" t="str">
        <f>检查点拆解!D394</f>
        <v>C30</v>
      </c>
      <c r="C394" s="2">
        <f>--(COUNTIFS($A$2:A394,A394,$B$2:B394,B394)=1)</f>
        <v>0</v>
      </c>
      <c r="D394" t="str">
        <f>检查点拆解!F394</f>
        <v>D15.01.04</v>
      </c>
      <c r="E394" s="2">
        <f>--(COUNTIFS($A$2:A394,A394,$D$2:D394,D394)=1)</f>
        <v>1</v>
      </c>
    </row>
    <row r="395" spans="1:5">
      <c r="A395" t="str">
        <f>检查点拆解!A395</f>
        <v>Q0049</v>
      </c>
      <c r="B395" t="str">
        <f>检查点拆解!D395</f>
        <v>C06</v>
      </c>
      <c r="C395" s="2">
        <f>--(COUNTIFS($A$2:A395,A395,$B$2:B395,B395)=1)</f>
        <v>1</v>
      </c>
      <c r="D395" t="str">
        <f>检查点拆解!F395</f>
        <v>D03.01.02</v>
      </c>
      <c r="E395" s="2">
        <f>--(COUNTIFS($A$2:A395,A395,$D$2:D395,D395)=1)</f>
        <v>1</v>
      </c>
    </row>
    <row r="396" spans="1:5">
      <c r="A396" t="str">
        <f>检查点拆解!A396</f>
        <v>Q0049</v>
      </c>
      <c r="B396" t="str">
        <f>检查点拆解!D396</f>
        <v>C28</v>
      </c>
      <c r="C396" s="2">
        <f>--(COUNTIFS($A$2:A396,A396,$B$2:B396,B396)=1)</f>
        <v>1</v>
      </c>
      <c r="D396" t="str">
        <f>检查点拆解!F396</f>
        <v>D12.02.01</v>
      </c>
      <c r="E396" s="2">
        <f>--(COUNTIFS($A$2:A396,A396,$D$2:D396,D396)=1)</f>
        <v>1</v>
      </c>
    </row>
    <row r="397" spans="1:5">
      <c r="A397" t="str">
        <f>检查点拆解!A397</f>
        <v>Q0049</v>
      </c>
      <c r="B397" t="str">
        <f>检查点拆解!D397</f>
        <v>C08</v>
      </c>
      <c r="C397" s="2">
        <f>--(COUNTIFS($A$2:A397,A397,$B$2:B397,B397)=1)</f>
        <v>1</v>
      </c>
      <c r="D397" t="str">
        <f>检查点拆解!F397</f>
        <v>D04.01.02</v>
      </c>
      <c r="E397" s="2">
        <f>--(COUNTIFS($A$2:A397,A397,$D$2:D397,D397)=1)</f>
        <v>1</v>
      </c>
    </row>
    <row r="398" spans="1:5">
      <c r="A398" t="str">
        <f>检查点拆解!A398</f>
        <v>Q0049</v>
      </c>
      <c r="B398" t="str">
        <f>检查点拆解!D398</f>
        <v>C28</v>
      </c>
      <c r="C398" s="2">
        <f>--(COUNTIFS($A$2:A398,A398,$B$2:B398,B398)=1)</f>
        <v>0</v>
      </c>
      <c r="D398" t="str">
        <f>检查点拆解!F398</f>
        <v>D12.02.02</v>
      </c>
      <c r="E398" s="2">
        <f>--(COUNTIFS($A$2:A398,A398,$D$2:D398,D398)=1)</f>
        <v>1</v>
      </c>
    </row>
    <row r="399" spans="1:5">
      <c r="A399" t="str">
        <f>检查点拆解!A399</f>
        <v>Q0050</v>
      </c>
      <c r="B399" t="str">
        <f>检查点拆解!D399</f>
        <v>C29</v>
      </c>
      <c r="C399" s="2">
        <f>--(COUNTIFS($A$2:A399,A399,$B$2:B399,B399)=1)</f>
        <v>1</v>
      </c>
      <c r="D399" t="str">
        <f>检查点拆解!F399</f>
        <v>D14.01.01</v>
      </c>
      <c r="E399" s="2">
        <f>--(COUNTIFS($A$2:A399,A399,$D$2:D399,D399)=1)</f>
        <v>1</v>
      </c>
    </row>
    <row r="400" spans="1:5">
      <c r="A400" t="str">
        <f>检查点拆解!A400</f>
        <v>Q0050</v>
      </c>
      <c r="B400" t="str">
        <f>检查点拆解!D400</f>
        <v>C30</v>
      </c>
      <c r="C400" s="2">
        <f>--(COUNTIFS($A$2:A400,A400,$B$2:B400,B400)=1)</f>
        <v>1</v>
      </c>
      <c r="D400" t="str">
        <f>检查点拆解!F400</f>
        <v>D15.01.01</v>
      </c>
      <c r="E400" s="2">
        <f>--(COUNTIFS($A$2:A400,A400,$D$2:D400,D400)=1)</f>
        <v>1</v>
      </c>
    </row>
    <row r="401" spans="1:5">
      <c r="A401" t="str">
        <f>检查点拆解!A401</f>
        <v>Q0050</v>
      </c>
      <c r="B401" t="str">
        <f>检查点拆解!D401</f>
        <v>C23</v>
      </c>
      <c r="C401" s="2">
        <f>--(COUNTIFS($A$2:A401,A401,$B$2:B401,B401)=1)</f>
        <v>1</v>
      </c>
      <c r="D401" t="str">
        <f>检查点拆解!F401</f>
        <v>D09.01.02</v>
      </c>
      <c r="E401" s="2">
        <f>--(COUNTIFS($A$2:A401,A401,$D$2:D401,D401)=1)</f>
        <v>1</v>
      </c>
    </row>
    <row r="402" spans="1:5">
      <c r="A402" t="str">
        <f>检查点拆解!A402</f>
        <v>Q0050</v>
      </c>
      <c r="B402" t="str">
        <f>检查点拆解!D402</f>
        <v>C18</v>
      </c>
      <c r="C402" s="2">
        <f>--(COUNTIFS($A$2:A402,A402,$B$2:B402,B402)=1)</f>
        <v>1</v>
      </c>
      <c r="D402" t="str">
        <f>检查点拆解!F402</f>
        <v>D07.01.04</v>
      </c>
      <c r="E402" s="2">
        <f>--(COUNTIFS($A$2:A402,A402,$D$2:D402,D402)=1)</f>
        <v>1</v>
      </c>
    </row>
    <row r="403" spans="1:5">
      <c r="A403" t="str">
        <f>检查点拆解!A403</f>
        <v>Q0050</v>
      </c>
      <c r="B403" t="str">
        <f>检查点拆解!D403</f>
        <v>C27</v>
      </c>
      <c r="C403" s="2">
        <f>--(COUNTIFS($A$2:A403,A403,$B$2:B403,B403)=1)</f>
        <v>1</v>
      </c>
      <c r="D403" t="str">
        <f>检查点拆解!F403</f>
        <v>D11.02.03</v>
      </c>
      <c r="E403" s="2">
        <f>--(COUNTIFS($A$2:A403,A403,$D$2:D403,D403)=1)</f>
        <v>1</v>
      </c>
    </row>
    <row r="404" spans="1:5">
      <c r="A404" t="str">
        <f>检查点拆解!A404</f>
        <v>Q0050</v>
      </c>
      <c r="B404" t="str">
        <f>检查点拆解!D404</f>
        <v>C09</v>
      </c>
      <c r="C404" s="2">
        <f>--(COUNTIFS($A$2:A404,A404,$B$2:B404,B404)=1)</f>
        <v>1</v>
      </c>
      <c r="D404" t="str">
        <f>检查点拆解!F404</f>
        <v>D04.02.02</v>
      </c>
      <c r="E404" s="2">
        <f>--(COUNTIFS($A$2:A404,A404,$D$2:D404,D404)=1)</f>
        <v>1</v>
      </c>
    </row>
    <row r="405" spans="1:5">
      <c r="A405" t="str">
        <f>检查点拆解!A405</f>
        <v>Q0050</v>
      </c>
      <c r="B405" t="str">
        <f>检查点拆解!D405</f>
        <v>C08</v>
      </c>
      <c r="C405" s="2">
        <f>--(COUNTIFS($A$2:A405,A405,$B$2:B405,B405)=1)</f>
        <v>1</v>
      </c>
      <c r="D405" t="str">
        <f>检查点拆解!F405</f>
        <v>D04.01.03</v>
      </c>
      <c r="E405" s="2">
        <f>--(COUNTIFS($A$2:A405,A405,$D$2:D405,D405)=1)</f>
        <v>1</v>
      </c>
    </row>
    <row r="406" spans="1:5">
      <c r="A406" t="str">
        <f>检查点拆解!A406</f>
        <v>Q0050</v>
      </c>
      <c r="B406" t="str">
        <f>检查点拆解!D406</f>
        <v>C26</v>
      </c>
      <c r="C406" s="2">
        <f>--(COUNTIFS($A$2:A406,A406,$B$2:B406,B406)=1)</f>
        <v>1</v>
      </c>
      <c r="D406" t="str">
        <f>检查点拆解!F406</f>
        <v>D10.02.02</v>
      </c>
      <c r="E406" s="2">
        <f>--(COUNTIFS($A$2:A406,A406,$D$2:D406,D406)=1)</f>
        <v>1</v>
      </c>
    </row>
    <row r="407" spans="1:5">
      <c r="A407" t="str">
        <f>检查点拆解!A407</f>
        <v>Q0050</v>
      </c>
      <c r="B407" t="str">
        <f>检查点拆解!D407</f>
        <v>C26</v>
      </c>
      <c r="C407" s="2">
        <f>--(COUNTIFS($A$2:A407,A407,$B$2:B407,B407)=1)</f>
        <v>0</v>
      </c>
      <c r="D407" t="str">
        <f>检查点拆解!F407</f>
        <v>D10.02.01</v>
      </c>
      <c r="E407" s="2">
        <f>--(COUNTIFS($A$2:A407,A407,$D$2:D407,D407)=1)</f>
        <v>1</v>
      </c>
    </row>
    <row r="408" spans="1:5">
      <c r="A408" t="str">
        <f>检查点拆解!A408</f>
        <v>Q0050</v>
      </c>
      <c r="B408" t="str">
        <f>检查点拆解!D408</f>
        <v>C28</v>
      </c>
      <c r="C408" s="2">
        <f>--(COUNTIFS($A$2:A408,A408,$B$2:B408,B408)=1)</f>
        <v>1</v>
      </c>
      <c r="D408" t="str">
        <f>检查点拆解!F408</f>
        <v>D12.01.02</v>
      </c>
      <c r="E408" s="2">
        <f>--(COUNTIFS($A$2:A408,A408,$D$2:D408,D408)=1)</f>
        <v>1</v>
      </c>
    </row>
    <row r="409" spans="1:5">
      <c r="A409" t="str">
        <f>检查点拆解!A409</f>
        <v>Q0050</v>
      </c>
      <c r="B409" t="str">
        <f>检查点拆解!D409</f>
        <v>C04</v>
      </c>
      <c r="C409" s="2">
        <f>--(COUNTIFS($A$2:A409,A409,$B$2:B409,B409)=1)</f>
        <v>1</v>
      </c>
      <c r="D409" t="str">
        <f>检查点拆解!F409</f>
        <v>D02.02.03</v>
      </c>
      <c r="E409" s="2">
        <f>--(COUNTIFS($A$2:A409,A409,$D$2:D409,D409)=1)</f>
        <v>1</v>
      </c>
    </row>
    <row r="410" spans="1:5">
      <c r="A410" t="str">
        <f>检查点拆解!A410</f>
        <v>Q0050</v>
      </c>
      <c r="B410" t="str">
        <f>检查点拆解!D410</f>
        <v>C03</v>
      </c>
      <c r="C410" s="2">
        <f>--(COUNTIFS($A$2:A410,A410,$B$2:B410,B410)=1)</f>
        <v>1</v>
      </c>
      <c r="D410" t="str">
        <f>检查点拆解!F410</f>
        <v>D02.01.03</v>
      </c>
      <c r="E410" s="2">
        <f>--(COUNTIFS($A$2:A410,A410,$D$2:D410,D410)=1)</f>
        <v>1</v>
      </c>
    </row>
    <row r="411" spans="1:5">
      <c r="A411" t="str">
        <f>检查点拆解!A411</f>
        <v>Q0051</v>
      </c>
      <c r="B411" t="str">
        <f>检查点拆解!D411</f>
        <v>C25</v>
      </c>
      <c r="C411" s="2">
        <f>--(COUNTIFS($A$2:A411,A411,$B$2:B411,B411)=1)</f>
        <v>1</v>
      </c>
      <c r="D411" t="str">
        <f>检查点拆解!F411</f>
        <v>D10.01.01</v>
      </c>
      <c r="E411" s="2">
        <f>--(COUNTIFS($A$2:A411,A411,$D$2:D411,D411)=1)</f>
        <v>1</v>
      </c>
    </row>
    <row r="412" spans="1:5">
      <c r="A412" t="str">
        <f>检查点拆解!A412</f>
        <v>Q0051</v>
      </c>
      <c r="B412" t="str">
        <f>检查点拆解!D412</f>
        <v>C04</v>
      </c>
      <c r="C412" s="2">
        <f>--(COUNTIFS($A$2:A412,A412,$B$2:B412,B412)=1)</f>
        <v>1</v>
      </c>
      <c r="D412" t="str">
        <f>检查点拆解!F412</f>
        <v>D02.02.03</v>
      </c>
      <c r="E412" s="2">
        <f>--(COUNTIFS($A$2:A412,A412,$D$2:D412,D412)=1)</f>
        <v>1</v>
      </c>
    </row>
    <row r="413" spans="1:5">
      <c r="A413" t="str">
        <f>检查点拆解!A413</f>
        <v>Q0052</v>
      </c>
      <c r="B413" t="str">
        <f>检查点拆解!D413</f>
        <v>C24</v>
      </c>
      <c r="C413" s="2">
        <f>--(COUNTIFS($A$2:A413,A413,$B$2:B413,B413)=1)</f>
        <v>1</v>
      </c>
      <c r="D413" t="str">
        <f>检查点拆解!F413</f>
        <v>D09.03.02</v>
      </c>
      <c r="E413" s="2">
        <f>--(COUNTIFS($A$2:A413,A413,$D$2:D413,D413)=1)</f>
        <v>1</v>
      </c>
    </row>
    <row r="414" spans="1:5">
      <c r="A414" t="str">
        <f>检查点拆解!A414</f>
        <v>Q0052</v>
      </c>
      <c r="B414" t="str">
        <f>检查点拆解!D414</f>
        <v>C17</v>
      </c>
      <c r="C414" s="2">
        <f>--(COUNTIFS($A$2:A414,A414,$B$2:B414,B414)=1)</f>
        <v>1</v>
      </c>
      <c r="D414" t="str">
        <f>检查点拆解!F414</f>
        <v>D06.02.01</v>
      </c>
      <c r="E414" s="2">
        <f>--(COUNTIFS($A$2:A414,A414,$D$2:D414,D414)=1)</f>
        <v>1</v>
      </c>
    </row>
    <row r="415" spans="1:5">
      <c r="A415" t="str">
        <f>检查点拆解!A415</f>
        <v>Q0052</v>
      </c>
      <c r="B415" t="str">
        <f>检查点拆解!D415</f>
        <v>C30</v>
      </c>
      <c r="C415" s="2">
        <f>--(COUNTIFS($A$2:A415,A415,$B$2:B415,B415)=1)</f>
        <v>1</v>
      </c>
      <c r="D415" t="str">
        <f>检查点拆解!F415</f>
        <v>D15.01.04</v>
      </c>
      <c r="E415" s="2">
        <f>--(COUNTIFS($A$2:A415,A415,$D$2:D415,D415)=1)</f>
        <v>1</v>
      </c>
    </row>
    <row r="416" spans="1:5">
      <c r="A416" t="str">
        <f>检查点拆解!A416</f>
        <v>Q0052</v>
      </c>
      <c r="B416" t="str">
        <f>检查点拆解!D416</f>
        <v>C08</v>
      </c>
      <c r="C416" s="2">
        <f>--(COUNTIFS($A$2:A416,A416,$B$2:B416,B416)=1)</f>
        <v>1</v>
      </c>
      <c r="D416" t="str">
        <f>检查点拆解!F416</f>
        <v>D04.01.02</v>
      </c>
      <c r="E416" s="2">
        <f>--(COUNTIFS($A$2:A416,A416,$D$2:D416,D416)=1)</f>
        <v>1</v>
      </c>
    </row>
    <row r="417" spans="1:5">
      <c r="A417" t="str">
        <f>检查点拆解!A417</f>
        <v>Q0052</v>
      </c>
      <c r="B417" t="str">
        <f>检查点拆解!D417</f>
        <v>C26</v>
      </c>
      <c r="C417" s="2">
        <f>--(COUNTIFS($A$2:A417,A417,$B$2:B417,B417)=1)</f>
        <v>1</v>
      </c>
      <c r="D417" t="str">
        <f>检查点拆解!F417</f>
        <v>D10.02.01</v>
      </c>
      <c r="E417" s="2">
        <f>--(COUNTIFS($A$2:A417,A417,$D$2:D417,D417)=1)</f>
        <v>1</v>
      </c>
    </row>
    <row r="418" spans="1:5">
      <c r="A418" t="str">
        <f>检查点拆解!A418</f>
        <v>Q0052</v>
      </c>
      <c r="B418" t="str">
        <f>检查点拆解!D418</f>
        <v>C28</v>
      </c>
      <c r="C418" s="2">
        <f>--(COUNTIFS($A$2:A418,A418,$B$2:B418,B418)=1)</f>
        <v>1</v>
      </c>
      <c r="D418" t="str">
        <f>检查点拆解!F418</f>
        <v>D12.01.01</v>
      </c>
      <c r="E418" s="2">
        <f>--(COUNTIFS($A$2:A418,A418,$D$2:D418,D418)=1)</f>
        <v>1</v>
      </c>
    </row>
    <row r="419" spans="1:5">
      <c r="A419" t="str">
        <f>检查点拆解!A419</f>
        <v>Q0052</v>
      </c>
      <c r="B419" t="str">
        <f>检查点拆解!D419</f>
        <v>C04</v>
      </c>
      <c r="C419" s="2">
        <f>--(COUNTIFS($A$2:A419,A419,$B$2:B419,B419)=1)</f>
        <v>1</v>
      </c>
      <c r="D419" t="str">
        <f>检查点拆解!F419</f>
        <v>D02.02.01</v>
      </c>
      <c r="E419" s="2">
        <f>--(COUNTIFS($A$2:A419,A419,$D$2:D419,D419)=1)</f>
        <v>1</v>
      </c>
    </row>
    <row r="420" spans="1:5">
      <c r="A420" t="str">
        <f>检查点拆解!A420</f>
        <v>Q0052</v>
      </c>
      <c r="B420" t="str">
        <f>检查点拆解!D420</f>
        <v>C17</v>
      </c>
      <c r="C420" s="2">
        <f>--(COUNTIFS($A$2:A420,A420,$B$2:B420,B420)=1)</f>
        <v>0</v>
      </c>
      <c r="D420" t="str">
        <f>检查点拆解!F420</f>
        <v>D06.03.02</v>
      </c>
      <c r="E420" s="2">
        <f>--(COUNTIFS($A$2:A420,A420,$D$2:D420,D420)=1)</f>
        <v>1</v>
      </c>
    </row>
    <row r="421" spans="1:5">
      <c r="A421" t="str">
        <f>检查点拆解!A421</f>
        <v>Q0052</v>
      </c>
      <c r="B421" t="str">
        <f>检查点拆解!D421</f>
        <v>C14</v>
      </c>
      <c r="C421" s="2">
        <f>--(COUNTIFS($A$2:A421,A421,$B$2:B421,B421)=1)</f>
        <v>1</v>
      </c>
      <c r="D421" t="str">
        <f>检查点拆解!F421</f>
        <v>D05.01.01</v>
      </c>
      <c r="E421" s="2">
        <f>--(COUNTIFS($A$2:A421,A421,$D$2:D421,D421)=1)</f>
        <v>1</v>
      </c>
    </row>
    <row r="422" spans="1:5">
      <c r="A422" t="str">
        <f>检查点拆解!A422</f>
        <v>Q0052</v>
      </c>
      <c r="B422" t="str">
        <f>检查点拆解!D422</f>
        <v>C03</v>
      </c>
      <c r="C422" s="2">
        <f>--(COUNTIFS($A$2:A422,A422,$B$2:B422,B422)=1)</f>
        <v>1</v>
      </c>
      <c r="D422" t="str">
        <f>检查点拆解!F422</f>
        <v>D02.01.01</v>
      </c>
      <c r="E422" s="2">
        <f>--(COUNTIFS($A$2:A422,A422,$D$2:D422,D422)=1)</f>
        <v>1</v>
      </c>
    </row>
    <row r="423" spans="1:5">
      <c r="A423" t="str">
        <f>检查点拆解!A423</f>
        <v>Q0053</v>
      </c>
      <c r="B423" t="str">
        <f>检查点拆解!D423</f>
        <v>C04</v>
      </c>
      <c r="C423" s="2">
        <f>--(COUNTIFS($A$2:A423,A423,$B$2:B423,B423)=1)</f>
        <v>1</v>
      </c>
      <c r="D423" t="str">
        <f>检查点拆解!F423</f>
        <v>D02.02.01</v>
      </c>
      <c r="E423" s="2">
        <f>--(COUNTIFS($A$2:A423,A423,$D$2:D423,D423)=1)</f>
        <v>1</v>
      </c>
    </row>
    <row r="424" spans="1:5">
      <c r="A424" t="str">
        <f>检查点拆解!A424</f>
        <v>Q0053</v>
      </c>
      <c r="B424" t="str">
        <f>检查点拆解!D424</f>
        <v>C05</v>
      </c>
      <c r="C424" s="2">
        <f>--(COUNTIFS($A$2:A424,A424,$B$2:B424,B424)=1)</f>
        <v>1</v>
      </c>
      <c r="D424" t="str">
        <f>检查点拆解!F424</f>
        <v>D02.03.02</v>
      </c>
      <c r="E424" s="2">
        <f>--(COUNTIFS($A$2:A424,A424,$D$2:D424,D424)=1)</f>
        <v>1</v>
      </c>
    </row>
    <row r="425" spans="1:5">
      <c r="A425" t="str">
        <f>检查点拆解!A425</f>
        <v>Q0054</v>
      </c>
      <c r="B425" t="str">
        <f>检查点拆解!D425</f>
        <v>C28</v>
      </c>
      <c r="C425" s="2">
        <f>--(COUNTIFS($A$2:A425,A425,$B$2:B425,B425)=1)</f>
        <v>1</v>
      </c>
      <c r="D425" t="str">
        <f>检查点拆解!F425</f>
        <v>D13.01.01</v>
      </c>
      <c r="E425" s="2">
        <f>--(COUNTIFS($A$2:A425,A425,$D$2:D425,D425)=1)</f>
        <v>1</v>
      </c>
    </row>
    <row r="426" spans="1:5">
      <c r="A426" t="str">
        <f>检查点拆解!A426</f>
        <v>Q0054</v>
      </c>
      <c r="B426" t="str">
        <f>检查点拆解!D426</f>
        <v>C05</v>
      </c>
      <c r="C426" s="2">
        <f>--(COUNTIFS($A$2:A426,A426,$B$2:B426,B426)=1)</f>
        <v>1</v>
      </c>
      <c r="D426" t="str">
        <f>检查点拆解!F426</f>
        <v>D02.03.02</v>
      </c>
      <c r="E426" s="2">
        <f>--(COUNTIFS($A$2:A426,A426,$D$2:D426,D426)=1)</f>
        <v>1</v>
      </c>
    </row>
    <row r="427" spans="1:5">
      <c r="A427" t="str">
        <f>检查点拆解!A427</f>
        <v>Q0055</v>
      </c>
      <c r="B427" t="str">
        <f>检查点拆解!D427</f>
        <v>C27</v>
      </c>
      <c r="C427" s="2">
        <f>--(COUNTIFS($A$2:A427,A427,$B$2:B427,B427)=1)</f>
        <v>1</v>
      </c>
      <c r="D427" t="str">
        <f>检查点拆解!F427</f>
        <v>D11.01.02</v>
      </c>
      <c r="E427" s="2">
        <f>--(COUNTIFS($A$2:A427,A427,$D$2:D427,D427)=1)</f>
        <v>1</v>
      </c>
    </row>
    <row r="428" spans="1:5">
      <c r="A428" t="str">
        <f>检查点拆解!A428</f>
        <v>Q0055</v>
      </c>
      <c r="B428" t="str">
        <f>检查点拆解!D428</f>
        <v>C06</v>
      </c>
      <c r="C428" s="2">
        <f>--(COUNTIFS($A$2:A428,A428,$B$2:B428,B428)=1)</f>
        <v>1</v>
      </c>
      <c r="D428" t="str">
        <f>检查点拆解!F428</f>
        <v>D03.01.03</v>
      </c>
      <c r="E428" s="2">
        <f>--(COUNTIFS($A$2:A428,A428,$D$2:D428,D428)=1)</f>
        <v>1</v>
      </c>
    </row>
    <row r="429" spans="1:5">
      <c r="A429" t="str">
        <f>检查点拆解!A429</f>
        <v>Q0055</v>
      </c>
      <c r="B429" t="str">
        <f>检查点拆解!D429</f>
        <v>C25</v>
      </c>
      <c r="C429" s="2">
        <f>--(COUNTIFS($A$2:A429,A429,$B$2:B429,B429)=1)</f>
        <v>1</v>
      </c>
      <c r="D429" t="str">
        <f>检查点拆解!F429</f>
        <v>D10.01.01</v>
      </c>
      <c r="E429" s="2">
        <f>--(COUNTIFS($A$2:A429,A429,$D$2:D429,D429)=1)</f>
        <v>1</v>
      </c>
    </row>
    <row r="430" spans="1:5">
      <c r="A430" t="str">
        <f>检查点拆解!A430</f>
        <v>Q0055</v>
      </c>
      <c r="B430" t="str">
        <f>检查点拆解!D430</f>
        <v>C23</v>
      </c>
      <c r="C430" s="2">
        <f>--(COUNTIFS($A$2:A430,A430,$B$2:B430,B430)=1)</f>
        <v>1</v>
      </c>
      <c r="D430" t="str">
        <f>检查点拆解!F430</f>
        <v>D09.01.01</v>
      </c>
      <c r="E430" s="2">
        <f>--(COUNTIFS($A$2:A430,A430,$D$2:D430,D430)=1)</f>
        <v>1</v>
      </c>
    </row>
    <row r="431" spans="1:5">
      <c r="A431" t="str">
        <f>检查点拆解!A431</f>
        <v>Q0055</v>
      </c>
      <c r="B431" t="str">
        <f>检查点拆解!D431</f>
        <v>C26</v>
      </c>
      <c r="C431" s="2">
        <f>--(COUNTIFS($A$2:A431,A431,$B$2:B431,B431)=1)</f>
        <v>1</v>
      </c>
      <c r="D431" t="str">
        <f>检查点拆解!F431</f>
        <v>D10.02.01</v>
      </c>
      <c r="E431" s="2">
        <f>--(COUNTIFS($A$2:A431,A431,$D$2:D431,D431)=1)</f>
        <v>1</v>
      </c>
    </row>
    <row r="432" spans="1:5">
      <c r="A432" t="str">
        <f>检查点拆解!A432</f>
        <v>Q0055</v>
      </c>
      <c r="B432" t="str">
        <f>检查点拆解!D432</f>
        <v>C28</v>
      </c>
      <c r="C432" s="2">
        <f>--(COUNTIFS($A$2:A432,A432,$B$2:B432,B432)=1)</f>
        <v>1</v>
      </c>
      <c r="D432" t="str">
        <f>检查点拆解!F432</f>
        <v>D12.01.01</v>
      </c>
      <c r="E432" s="2">
        <f>--(COUNTIFS($A$2:A432,A432,$D$2:D432,D432)=1)</f>
        <v>1</v>
      </c>
    </row>
    <row r="433" spans="1:5">
      <c r="A433" t="str">
        <f>检查点拆解!A433</f>
        <v>Q0055</v>
      </c>
      <c r="B433" t="str">
        <f>检查点拆解!D433</f>
        <v>C28</v>
      </c>
      <c r="C433" s="2">
        <f>--(COUNTIFS($A$2:A433,A433,$B$2:B433,B433)=1)</f>
        <v>0</v>
      </c>
      <c r="D433" t="str">
        <f>检查点拆解!F433</f>
        <v>D12.01.02</v>
      </c>
      <c r="E433" s="2">
        <f>--(COUNTIFS($A$2:A433,A433,$D$2:D433,D433)=1)</f>
        <v>1</v>
      </c>
    </row>
    <row r="434" spans="1:5">
      <c r="A434" t="str">
        <f>检查点拆解!A434</f>
        <v>Q0055</v>
      </c>
      <c r="B434" t="str">
        <f>检查点拆解!D434</f>
        <v>C04</v>
      </c>
      <c r="C434" s="2">
        <f>--(COUNTIFS($A$2:A434,A434,$B$2:B434,B434)=1)</f>
        <v>1</v>
      </c>
      <c r="D434" t="str">
        <f>检查点拆解!F434</f>
        <v>D02.02.01</v>
      </c>
      <c r="E434" s="2">
        <f>--(COUNTIFS($A$2:A434,A434,$D$2:D434,D434)=1)</f>
        <v>1</v>
      </c>
    </row>
    <row r="435" spans="1:5">
      <c r="A435" t="str">
        <f>检查点拆解!A435</f>
        <v>Q0055</v>
      </c>
      <c r="B435" t="str">
        <f>检查点拆解!D435</f>
        <v>C06</v>
      </c>
      <c r="C435" s="2">
        <f>--(COUNTIFS($A$2:A435,A435,$B$2:B435,B435)=1)</f>
        <v>0</v>
      </c>
      <c r="D435" t="str">
        <f>检查点拆解!F435</f>
        <v>D03.01.01</v>
      </c>
      <c r="E435" s="2">
        <f>--(COUNTIFS($A$2:A435,A435,$D$2:D435,D435)=1)</f>
        <v>1</v>
      </c>
    </row>
    <row r="436" spans="1:5">
      <c r="A436" t="str">
        <f>检查点拆解!A436</f>
        <v>Q0055</v>
      </c>
      <c r="B436" t="str">
        <f>检查点拆解!D436</f>
        <v>C14</v>
      </c>
      <c r="C436" s="2">
        <f>--(COUNTIFS($A$2:A436,A436,$B$2:B436,B436)=1)</f>
        <v>1</v>
      </c>
      <c r="D436" t="str">
        <f>检查点拆解!F436</f>
        <v>D05.01.01</v>
      </c>
      <c r="E436" s="2">
        <f>--(COUNTIFS($A$2:A436,A436,$D$2:D436,D436)=1)</f>
        <v>1</v>
      </c>
    </row>
    <row r="437" spans="1:5">
      <c r="A437" t="str">
        <f>检查点拆解!A437</f>
        <v>Q0056</v>
      </c>
      <c r="B437" t="str">
        <f>检查点拆解!D437</f>
        <v>C24</v>
      </c>
      <c r="C437" s="2">
        <f>--(COUNTIFS($A$2:A437,A437,$B$2:B437,B437)=1)</f>
        <v>1</v>
      </c>
      <c r="D437" t="str">
        <f>检查点拆解!F437</f>
        <v>D09.02.02</v>
      </c>
      <c r="E437" s="2">
        <f>--(COUNTIFS($A$2:A437,A437,$D$2:D437,D437)=1)</f>
        <v>1</v>
      </c>
    </row>
    <row r="438" spans="1:5">
      <c r="A438" t="str">
        <f>检查点拆解!A438</f>
        <v>Q0056</v>
      </c>
      <c r="B438" t="str">
        <f>检查点拆解!D438</f>
        <v>C23</v>
      </c>
      <c r="C438" s="2">
        <f>--(COUNTIFS($A$2:A438,A438,$B$2:B438,B438)=1)</f>
        <v>1</v>
      </c>
      <c r="D438" t="str">
        <f>检查点拆解!F438</f>
        <v>D09.01.01</v>
      </c>
      <c r="E438" s="2">
        <f>--(COUNTIFS($A$2:A438,A438,$D$2:D438,D438)=1)</f>
        <v>1</v>
      </c>
    </row>
    <row r="439" spans="1:5">
      <c r="A439" t="str">
        <f>检查点拆解!A439</f>
        <v>Q0056</v>
      </c>
      <c r="B439" t="str">
        <f>检查点拆解!D439</f>
        <v>C17</v>
      </c>
      <c r="C439" s="2">
        <f>--(COUNTIFS($A$2:A439,A439,$B$2:B439,B439)=1)</f>
        <v>1</v>
      </c>
      <c r="D439" t="str">
        <f>检查点拆解!F439</f>
        <v>D06.03.02</v>
      </c>
      <c r="E439" s="2">
        <f>--(COUNTIFS($A$2:A439,A439,$D$2:D439,D439)=1)</f>
        <v>1</v>
      </c>
    </row>
    <row r="440" spans="1:5">
      <c r="A440" t="str">
        <f>检查点拆解!A440</f>
        <v>Q0056</v>
      </c>
      <c r="B440" t="str">
        <f>检查点拆解!D440</f>
        <v>C05</v>
      </c>
      <c r="C440" s="2">
        <f>--(COUNTIFS($A$2:A440,A440,$B$2:B440,B440)=1)</f>
        <v>1</v>
      </c>
      <c r="D440" t="str">
        <f>检查点拆解!F440</f>
        <v>D02.03.02</v>
      </c>
      <c r="E440" s="2">
        <f>--(COUNTIFS($A$2:A440,A440,$D$2:D440,D440)=1)</f>
        <v>1</v>
      </c>
    </row>
    <row r="441" spans="1:5">
      <c r="A441" t="str">
        <f>检查点拆解!A441</f>
        <v>Q0057</v>
      </c>
      <c r="B441" t="str">
        <f>检查点拆解!D441</f>
        <v>C06</v>
      </c>
      <c r="C441" s="2">
        <f>--(COUNTIFS($A$2:A441,A441,$B$2:B441,B441)=1)</f>
        <v>1</v>
      </c>
      <c r="D441" t="str">
        <f>检查点拆解!F441</f>
        <v>D03.01.03</v>
      </c>
      <c r="E441" s="2">
        <f>--(COUNTIFS($A$2:A441,A441,$D$2:D441,D441)=1)</f>
        <v>1</v>
      </c>
    </row>
    <row r="442" spans="1:5">
      <c r="A442" t="str">
        <f>检查点拆解!A442</f>
        <v>Q0057</v>
      </c>
      <c r="B442" t="str">
        <f>检查点拆解!D442</f>
        <v>C04</v>
      </c>
      <c r="C442" s="2">
        <f>--(COUNTIFS($A$2:A442,A442,$B$2:B442,B442)=1)</f>
        <v>1</v>
      </c>
      <c r="D442" t="str">
        <f>检查点拆解!F442</f>
        <v>D02.02.01</v>
      </c>
      <c r="E442" s="2">
        <f>--(COUNTIFS($A$2:A442,A442,$D$2:D442,D442)=1)</f>
        <v>1</v>
      </c>
    </row>
    <row r="443" spans="1:5">
      <c r="A443" t="str">
        <f>检查点拆解!A443</f>
        <v>Q0058</v>
      </c>
      <c r="B443" t="str">
        <f>检查点拆解!D443</f>
        <v>C30</v>
      </c>
      <c r="C443" s="2">
        <f>--(COUNTIFS($A$2:A443,A443,$B$2:B443,B443)=1)</f>
        <v>1</v>
      </c>
      <c r="D443" t="str">
        <f>检查点拆解!F443</f>
        <v>D15.01.02</v>
      </c>
      <c r="E443" s="2">
        <f>--(COUNTIFS($A$2:A443,A443,$D$2:D443,D443)=1)</f>
        <v>1</v>
      </c>
    </row>
    <row r="444" spans="1:5">
      <c r="A444" t="str">
        <f>检查点拆解!A444</f>
        <v>Q0058</v>
      </c>
      <c r="B444" t="str">
        <f>检查点拆解!D444</f>
        <v>C23</v>
      </c>
      <c r="C444" s="2">
        <f>--(COUNTIFS($A$2:A444,A444,$B$2:B444,B444)=1)</f>
        <v>1</v>
      </c>
      <c r="D444" t="str">
        <f>检查点拆解!F444</f>
        <v>D09.01.03</v>
      </c>
      <c r="E444" s="2">
        <f>--(COUNTIFS($A$2:A444,A444,$D$2:D444,D444)=1)</f>
        <v>1</v>
      </c>
    </row>
    <row r="445" spans="1:5">
      <c r="A445" t="str">
        <f>检查点拆解!A445</f>
        <v>Q0058</v>
      </c>
      <c r="B445" t="str">
        <f>检查点拆解!D445</f>
        <v>C25</v>
      </c>
      <c r="C445" s="2">
        <f>--(COUNTIFS($A$2:A445,A445,$B$2:B445,B445)=1)</f>
        <v>1</v>
      </c>
      <c r="D445" t="str">
        <f>检查点拆解!F445</f>
        <v>D10.01.01</v>
      </c>
      <c r="E445" s="2">
        <f>--(COUNTIFS($A$2:A445,A445,$D$2:D445,D445)=1)</f>
        <v>1</v>
      </c>
    </row>
    <row r="446" spans="1:5">
      <c r="A446" t="str">
        <f>检查点拆解!A446</f>
        <v>Q0058</v>
      </c>
      <c r="B446" t="str">
        <f>检查点拆解!D446</f>
        <v>C17</v>
      </c>
      <c r="C446" s="2">
        <f>--(COUNTIFS($A$2:A446,A446,$B$2:B446,B446)=1)</f>
        <v>1</v>
      </c>
      <c r="D446" t="str">
        <f>检查点拆解!F446</f>
        <v>D06.01.01</v>
      </c>
      <c r="E446" s="2">
        <f>--(COUNTIFS($A$2:A446,A446,$D$2:D446,D446)=1)</f>
        <v>1</v>
      </c>
    </row>
    <row r="447" spans="1:5">
      <c r="A447" t="str">
        <f>检查点拆解!A447</f>
        <v>Q0058</v>
      </c>
      <c r="B447" t="str">
        <f>检查点拆解!D447</f>
        <v>C04</v>
      </c>
      <c r="C447" s="2">
        <f>--(COUNTIFS($A$2:A447,A447,$B$2:B447,B447)=1)</f>
        <v>1</v>
      </c>
      <c r="D447" t="str">
        <f>检查点拆解!F447</f>
        <v>D02.02.01</v>
      </c>
      <c r="E447" s="2">
        <f>--(COUNTIFS($A$2:A447,A447,$D$2:D447,D447)=1)</f>
        <v>1</v>
      </c>
    </row>
    <row r="448" spans="1:5">
      <c r="A448" t="str">
        <f>检查点拆解!A448</f>
        <v>Q0059</v>
      </c>
      <c r="B448" t="str">
        <f>检查点拆解!D448</f>
        <v>C24</v>
      </c>
      <c r="C448" s="2">
        <f>--(COUNTIFS($A$2:A448,A448,$B$2:B448,B448)=1)</f>
        <v>1</v>
      </c>
      <c r="D448" t="str">
        <f>检查点拆解!F448</f>
        <v>D09.03.03</v>
      </c>
      <c r="E448" s="2">
        <f>--(COUNTIFS($A$2:A448,A448,$D$2:D448,D448)=1)</f>
        <v>1</v>
      </c>
    </row>
    <row r="449" spans="1:5">
      <c r="A449" t="str">
        <f>检查点拆解!A449</f>
        <v>Q0059</v>
      </c>
      <c r="B449" t="str">
        <f>检查点拆解!D449</f>
        <v>C25</v>
      </c>
      <c r="C449" s="2">
        <f>--(COUNTIFS($A$2:A449,A449,$B$2:B449,B449)=1)</f>
        <v>1</v>
      </c>
      <c r="D449" t="str">
        <f>检查点拆解!F449</f>
        <v>D10.01.02</v>
      </c>
      <c r="E449" s="2">
        <f>--(COUNTIFS($A$2:A449,A449,$D$2:D449,D449)=1)</f>
        <v>1</v>
      </c>
    </row>
    <row r="450" spans="1:5">
      <c r="A450" t="str">
        <f>检查点拆解!A450</f>
        <v>Q0059</v>
      </c>
      <c r="B450" t="str">
        <f>检查点拆解!D450</f>
        <v>C28</v>
      </c>
      <c r="C450" s="2">
        <f>--(COUNTIFS($A$2:A450,A450,$B$2:B450,B450)=1)</f>
        <v>1</v>
      </c>
      <c r="D450" t="str">
        <f>检查点拆解!F450</f>
        <v>D12.01.02</v>
      </c>
      <c r="E450" s="2">
        <f>--(COUNTIFS($A$2:A450,A450,$D$2:D450,D450)=1)</f>
        <v>1</v>
      </c>
    </row>
    <row r="451" spans="1:5">
      <c r="A451" t="str">
        <f>检查点拆解!A451</f>
        <v>Q0059</v>
      </c>
      <c r="B451" t="str">
        <f>检查点拆解!D451</f>
        <v>C04</v>
      </c>
      <c r="C451" s="2">
        <f>--(COUNTIFS($A$2:A451,A451,$B$2:B451,B451)=1)</f>
        <v>1</v>
      </c>
      <c r="D451" t="str">
        <f>检查点拆解!F451</f>
        <v>D02.02.01</v>
      </c>
      <c r="E451" s="2">
        <f>--(COUNTIFS($A$2:A451,A451,$D$2:D451,D451)=1)</f>
        <v>1</v>
      </c>
    </row>
    <row r="452" spans="1:5">
      <c r="A452" t="str">
        <f>检查点拆解!A452</f>
        <v>Q0060</v>
      </c>
      <c r="B452" t="str">
        <f>检查点拆解!D452</f>
        <v>C17</v>
      </c>
      <c r="C452" s="2">
        <f>--(COUNTIFS($A$2:A452,A452,$B$2:B452,B452)=1)</f>
        <v>1</v>
      </c>
      <c r="D452" t="str">
        <f>检查点拆解!F452</f>
        <v>D06.03.01</v>
      </c>
      <c r="E452" s="2">
        <f>--(COUNTIFS($A$2:A452,A452,$D$2:D452,D452)=1)</f>
        <v>1</v>
      </c>
    </row>
    <row r="453" spans="1:5">
      <c r="A453" t="str">
        <f>检查点拆解!A453</f>
        <v>Q0060</v>
      </c>
      <c r="B453" t="str">
        <f>检查点拆解!D453</f>
        <v>C21</v>
      </c>
      <c r="C453" s="2">
        <f>--(COUNTIFS($A$2:A453,A453,$B$2:B453,B453)=1)</f>
        <v>1</v>
      </c>
      <c r="D453" t="str">
        <f>检查点拆解!F453</f>
        <v>D07.03.01</v>
      </c>
      <c r="E453" s="2">
        <f>--(COUNTIFS($A$2:A453,A453,$D$2:D453,D453)=1)</f>
        <v>1</v>
      </c>
    </row>
    <row r="454" spans="1:5">
      <c r="A454" t="str">
        <f>检查点拆解!A454</f>
        <v>Q0060</v>
      </c>
      <c r="B454" t="str">
        <f>检查点拆解!D454</f>
        <v>C17</v>
      </c>
      <c r="C454" s="2">
        <f>--(COUNTIFS($A$2:A454,A454,$B$2:B454,B454)=1)</f>
        <v>0</v>
      </c>
      <c r="D454" t="str">
        <f>检查点拆解!F454</f>
        <v>D06.03.02</v>
      </c>
      <c r="E454" s="2">
        <f>--(COUNTIFS($A$2:A454,A454,$D$2:D454,D454)=1)</f>
        <v>1</v>
      </c>
    </row>
    <row r="455" spans="1:5">
      <c r="A455" t="str">
        <f>检查点拆解!A455</f>
        <v>Q0060</v>
      </c>
      <c r="B455" t="str">
        <f>检查点拆解!D455</f>
        <v>C04</v>
      </c>
      <c r="C455" s="2">
        <f>--(COUNTIFS($A$2:A455,A455,$B$2:B455,B455)=1)</f>
        <v>1</v>
      </c>
      <c r="D455" t="str">
        <f>检查点拆解!F455</f>
        <v>D02.02.03</v>
      </c>
      <c r="E455" s="2">
        <f>--(COUNTIFS($A$2:A455,A455,$D$2:D455,D455)=1)</f>
        <v>1</v>
      </c>
    </row>
    <row r="456" spans="1:5">
      <c r="A456" t="str">
        <f>检查点拆解!A456</f>
        <v>Q0061</v>
      </c>
      <c r="B456" t="str">
        <f>检查点拆解!D456</f>
        <v>C24</v>
      </c>
      <c r="C456" s="2">
        <f>--(COUNTIFS($A$2:A456,A456,$B$2:B456,B456)=1)</f>
        <v>1</v>
      </c>
      <c r="D456" t="str">
        <f>检查点拆解!F456</f>
        <v>D09.02.02</v>
      </c>
      <c r="E456" s="2">
        <f>--(COUNTIFS($A$2:A456,A456,$D$2:D456,D456)=1)</f>
        <v>1</v>
      </c>
    </row>
    <row r="457" spans="1:5">
      <c r="A457" t="str">
        <f>检查点拆解!A457</f>
        <v>Q0061</v>
      </c>
      <c r="B457" t="str">
        <f>检查点拆解!D457</f>
        <v>C06</v>
      </c>
      <c r="C457" s="2">
        <f>--(COUNTIFS($A$2:A457,A457,$B$2:B457,B457)=1)</f>
        <v>1</v>
      </c>
      <c r="D457" t="str">
        <f>检查点拆解!F457</f>
        <v>D03.01.03</v>
      </c>
      <c r="E457" s="2">
        <f>--(COUNTIFS($A$2:A457,A457,$D$2:D457,D457)=1)</f>
        <v>1</v>
      </c>
    </row>
    <row r="458" spans="1:5">
      <c r="A458" t="str">
        <f>检查点拆解!A458</f>
        <v>Q0061</v>
      </c>
      <c r="B458" t="str">
        <f>检查点拆解!D458</f>
        <v>C30</v>
      </c>
      <c r="C458" s="2">
        <f>--(COUNTIFS($A$2:A458,A458,$B$2:B458,B458)=1)</f>
        <v>1</v>
      </c>
      <c r="D458" t="str">
        <f>检查点拆解!F458</f>
        <v>D15.01.04</v>
      </c>
      <c r="E458" s="2">
        <f>--(COUNTIFS($A$2:A458,A458,$D$2:D458,D458)=1)</f>
        <v>1</v>
      </c>
    </row>
    <row r="459" spans="1:5">
      <c r="A459" t="str">
        <f>检查点拆解!A459</f>
        <v>Q0061</v>
      </c>
      <c r="B459" t="str">
        <f>检查点拆解!D459</f>
        <v>C06</v>
      </c>
      <c r="C459" s="2">
        <f>--(COUNTIFS($A$2:A459,A459,$B$2:B459,B459)=1)</f>
        <v>0</v>
      </c>
      <c r="D459" t="str">
        <f>检查点拆解!F459</f>
        <v>D03.01.02</v>
      </c>
      <c r="E459" s="2">
        <f>--(COUNTIFS($A$2:A459,A459,$D$2:D459,D459)=1)</f>
        <v>1</v>
      </c>
    </row>
    <row r="460" spans="1:5">
      <c r="A460" t="str">
        <f>检查点拆解!A460</f>
        <v>Q0061</v>
      </c>
      <c r="B460" t="str">
        <f>检查点拆解!D460</f>
        <v>C26</v>
      </c>
      <c r="C460" s="2">
        <f>--(COUNTIFS($A$2:A460,A460,$B$2:B460,B460)=1)</f>
        <v>1</v>
      </c>
      <c r="D460" t="str">
        <f>检查点拆解!F460</f>
        <v>D10.02.01</v>
      </c>
      <c r="E460" s="2">
        <f>--(COUNTIFS($A$2:A460,A460,$D$2:D460,D460)=1)</f>
        <v>1</v>
      </c>
    </row>
    <row r="461" spans="1:5">
      <c r="A461" t="str">
        <f>检查点拆解!A461</f>
        <v>Q0061</v>
      </c>
      <c r="B461" t="str">
        <f>检查点拆解!D461</f>
        <v>C28</v>
      </c>
      <c r="C461" s="2">
        <f>--(COUNTIFS($A$2:A461,A461,$B$2:B461,B461)=1)</f>
        <v>1</v>
      </c>
      <c r="D461" t="str">
        <f>检查点拆解!F461</f>
        <v>D12.01.01</v>
      </c>
      <c r="E461" s="2">
        <f>--(COUNTIFS($A$2:A461,A461,$D$2:D461,D461)=1)</f>
        <v>1</v>
      </c>
    </row>
    <row r="462" spans="1:5">
      <c r="A462" t="str">
        <f>检查点拆解!A462</f>
        <v>Q0061</v>
      </c>
      <c r="B462" t="str">
        <f>检查点拆解!D462</f>
        <v>C06</v>
      </c>
      <c r="C462" s="2">
        <f>--(COUNTIFS($A$2:A462,A462,$B$2:B462,B462)=1)</f>
        <v>0</v>
      </c>
      <c r="D462" t="str">
        <f>检查点拆解!F462</f>
        <v>D03.01.01</v>
      </c>
      <c r="E462" s="2">
        <f>--(COUNTIFS($A$2:A462,A462,$D$2:D462,D462)=1)</f>
        <v>1</v>
      </c>
    </row>
    <row r="463" spans="1:5">
      <c r="A463" t="str">
        <f>检查点拆解!A463</f>
        <v>Q0061</v>
      </c>
      <c r="B463" t="str">
        <f>检查点拆解!D463</f>
        <v>C09</v>
      </c>
      <c r="C463" s="2">
        <f>--(COUNTIFS($A$2:A463,A463,$B$2:B463,B463)=1)</f>
        <v>1</v>
      </c>
      <c r="D463" t="str">
        <f>检查点拆解!F463</f>
        <v>D04.02.01</v>
      </c>
      <c r="E463" s="2">
        <f>--(COUNTIFS($A$2:A463,A463,$D$2:D463,D463)=1)</f>
        <v>1</v>
      </c>
    </row>
    <row r="464" spans="1:5">
      <c r="A464" t="str">
        <f>检查点拆解!A464</f>
        <v>Q0062</v>
      </c>
      <c r="B464" t="str">
        <f>检查点拆解!D464</f>
        <v>C27</v>
      </c>
      <c r="C464" s="2">
        <f>--(COUNTIFS($A$2:A464,A464,$B$2:B464,B464)=1)</f>
        <v>1</v>
      </c>
      <c r="D464" t="str">
        <f>检查点拆解!F464</f>
        <v>D11.02.03</v>
      </c>
      <c r="E464" s="2">
        <f>--(COUNTIFS($A$2:A464,A464,$D$2:D464,D464)=1)</f>
        <v>1</v>
      </c>
    </row>
    <row r="465" spans="1:5">
      <c r="A465" t="str">
        <f>检查点拆解!A465</f>
        <v>Q0062</v>
      </c>
      <c r="B465" t="str">
        <f>检查点拆解!D465</f>
        <v>C24</v>
      </c>
      <c r="C465" s="2">
        <f>--(COUNTIFS($A$2:A465,A465,$B$2:B465,B465)=1)</f>
        <v>1</v>
      </c>
      <c r="D465" t="str">
        <f>检查点拆解!F465</f>
        <v>D09.03.03</v>
      </c>
      <c r="E465" s="2">
        <f>--(COUNTIFS($A$2:A465,A465,$D$2:D465,D465)=1)</f>
        <v>1</v>
      </c>
    </row>
    <row r="466" spans="1:5">
      <c r="A466" t="str">
        <f>检查点拆解!A466</f>
        <v>Q0062</v>
      </c>
      <c r="B466" t="str">
        <f>检查点拆解!D466</f>
        <v>C27</v>
      </c>
      <c r="C466" s="2">
        <f>--(COUNTIFS($A$2:A466,A466,$B$2:B466,B466)=1)</f>
        <v>0</v>
      </c>
      <c r="D466" t="str">
        <f>检查点拆解!F466</f>
        <v>D11.01.03</v>
      </c>
      <c r="E466" s="2">
        <f>--(COUNTIFS($A$2:A466,A466,$D$2:D466,D466)=1)</f>
        <v>1</v>
      </c>
    </row>
    <row r="467" spans="1:5">
      <c r="A467" t="str">
        <f>检查点拆解!A467</f>
        <v>Q0062</v>
      </c>
      <c r="B467" t="str">
        <f>检查点拆解!D467</f>
        <v>C06</v>
      </c>
      <c r="C467" s="2">
        <f>--(COUNTIFS($A$2:A467,A467,$B$2:B467,B467)=1)</f>
        <v>1</v>
      </c>
      <c r="D467" t="str">
        <f>检查点拆解!F467</f>
        <v>D03.01.03</v>
      </c>
      <c r="E467" s="2">
        <f>--(COUNTIFS($A$2:A467,A467,$D$2:D467,D467)=1)</f>
        <v>1</v>
      </c>
    </row>
    <row r="468" spans="1:5">
      <c r="A468" t="str">
        <f>检查点拆解!A468</f>
        <v>Q0062</v>
      </c>
      <c r="B468" t="str">
        <f>检查点拆解!D468</f>
        <v>C09</v>
      </c>
      <c r="C468" s="2">
        <f>--(COUNTIFS($A$2:A468,A468,$B$2:B468,B468)=1)</f>
        <v>1</v>
      </c>
      <c r="D468" t="str">
        <f>检查点拆解!F468</f>
        <v>D04.02.02</v>
      </c>
      <c r="E468" s="2">
        <f>--(COUNTIFS($A$2:A468,A468,$D$2:D468,D468)=1)</f>
        <v>1</v>
      </c>
    </row>
    <row r="469" spans="1:5">
      <c r="A469" t="str">
        <f>检查点拆解!A469</f>
        <v>Q0062</v>
      </c>
      <c r="B469" t="str">
        <f>检查点拆解!D469</f>
        <v>C28</v>
      </c>
      <c r="C469" s="2">
        <f>--(COUNTIFS($A$2:A469,A469,$B$2:B469,B469)=1)</f>
        <v>1</v>
      </c>
      <c r="D469" t="str">
        <f>检查点拆解!F469</f>
        <v>D12.02.01</v>
      </c>
      <c r="E469" s="2">
        <f>--(COUNTIFS($A$2:A469,A469,$D$2:D469,D469)=1)</f>
        <v>1</v>
      </c>
    </row>
    <row r="470" spans="1:5">
      <c r="A470" t="str">
        <f>检查点拆解!A470</f>
        <v>Q0062</v>
      </c>
      <c r="B470" t="str">
        <f>检查点拆解!D470</f>
        <v>C26</v>
      </c>
      <c r="C470" s="2">
        <f>--(COUNTIFS($A$2:A470,A470,$B$2:B470,B470)=1)</f>
        <v>1</v>
      </c>
      <c r="D470" t="str">
        <f>检查点拆解!F470</f>
        <v>D10.02.01</v>
      </c>
      <c r="E470" s="2">
        <f>--(COUNTIFS($A$2:A470,A470,$D$2:D470,D470)=1)</f>
        <v>1</v>
      </c>
    </row>
    <row r="471" spans="1:5">
      <c r="A471" t="str">
        <f>检查点拆解!A471</f>
        <v>Q0062</v>
      </c>
      <c r="B471" t="str">
        <f>检查点拆解!D471</f>
        <v>C28</v>
      </c>
      <c r="C471" s="2">
        <f>--(COUNTIFS($A$2:A471,A471,$B$2:B471,B471)=1)</f>
        <v>0</v>
      </c>
      <c r="D471" t="str">
        <f>检查点拆解!F471</f>
        <v>D12.01.01</v>
      </c>
      <c r="E471" s="2">
        <f>--(COUNTIFS($A$2:A471,A471,$D$2:D471,D471)=1)</f>
        <v>1</v>
      </c>
    </row>
    <row r="472" spans="1:5">
      <c r="A472" t="str">
        <f>检查点拆解!A472</f>
        <v>Q0062</v>
      </c>
      <c r="B472" t="str">
        <f>检查点拆解!D472</f>
        <v>C03</v>
      </c>
      <c r="C472" s="2">
        <f>--(COUNTIFS($A$2:A472,A472,$B$2:B472,B472)=1)</f>
        <v>1</v>
      </c>
      <c r="D472" t="str">
        <f>检查点拆解!F472</f>
        <v>D02.01.01</v>
      </c>
      <c r="E472" s="2">
        <f>--(COUNTIFS($A$2:A472,A472,$D$2:D472,D472)=1)</f>
        <v>1</v>
      </c>
    </row>
    <row r="473" spans="1:5">
      <c r="A473" t="str">
        <f>检查点拆解!A473</f>
        <v>Q0062</v>
      </c>
      <c r="B473" t="str">
        <f>检查点拆解!D473</f>
        <v>C05</v>
      </c>
      <c r="C473" s="2">
        <f>--(COUNTIFS($A$2:A473,A473,$B$2:B473,B473)=1)</f>
        <v>1</v>
      </c>
      <c r="D473" t="str">
        <f>检查点拆解!F473</f>
        <v>D02.03.01</v>
      </c>
      <c r="E473" s="2">
        <f>--(COUNTIFS($A$2:A473,A473,$D$2:D473,D473)=1)</f>
        <v>1</v>
      </c>
    </row>
    <row r="474" spans="1:5">
      <c r="A474" t="str">
        <f>检查点拆解!A474</f>
        <v>Q0063</v>
      </c>
      <c r="B474" t="str">
        <f>检查点拆解!D474</f>
        <v>C20</v>
      </c>
      <c r="C474" s="2">
        <f>--(COUNTIFS($A$2:A474,A474,$B$2:B474,B474)=1)</f>
        <v>1</v>
      </c>
      <c r="D474" t="str">
        <f>检查点拆解!F474</f>
        <v>D07.02.04</v>
      </c>
      <c r="E474" s="2">
        <f>--(COUNTIFS($A$2:A474,A474,$D$2:D474,D474)=1)</f>
        <v>1</v>
      </c>
    </row>
    <row r="475" spans="1:5">
      <c r="A475" t="str">
        <f>检查点拆解!A475</f>
        <v>Q0063</v>
      </c>
      <c r="B475" t="str">
        <f>检查点拆解!D475</f>
        <v>C30</v>
      </c>
      <c r="C475" s="2">
        <f>--(COUNTIFS($A$2:A475,A475,$B$2:B475,B475)=1)</f>
        <v>1</v>
      </c>
      <c r="D475" t="str">
        <f>检查点拆解!F475</f>
        <v>D15.01.01</v>
      </c>
      <c r="E475" s="2">
        <f>--(COUNTIFS($A$2:A475,A475,$D$2:D475,D475)=1)</f>
        <v>1</v>
      </c>
    </row>
    <row r="476" spans="1:5">
      <c r="A476" t="str">
        <f>检查点拆解!A476</f>
        <v>Q0063</v>
      </c>
      <c r="B476" t="str">
        <f>检查点拆解!D476</f>
        <v>C30</v>
      </c>
      <c r="C476" s="2">
        <f>--(COUNTIFS($A$2:A476,A476,$B$2:B476,B476)=1)</f>
        <v>0</v>
      </c>
      <c r="D476" t="str">
        <f>检查点拆解!F476</f>
        <v>D15.01.02</v>
      </c>
      <c r="E476" s="2">
        <f>--(COUNTIFS($A$2:A476,A476,$D$2:D476,D476)=1)</f>
        <v>1</v>
      </c>
    </row>
    <row r="477" spans="1:5">
      <c r="A477" t="str">
        <f>检查点拆解!A477</f>
        <v>Q0063</v>
      </c>
      <c r="B477" t="str">
        <f>检查点拆解!D477</f>
        <v>C29</v>
      </c>
      <c r="C477" s="2">
        <f>--(COUNTIFS($A$2:A477,A477,$B$2:B477,B477)=1)</f>
        <v>1</v>
      </c>
      <c r="D477" t="str">
        <f>检查点拆解!F477</f>
        <v>D14.02.01</v>
      </c>
      <c r="E477" s="2">
        <f>--(COUNTIFS($A$2:A477,A477,$D$2:D477,D477)=1)</f>
        <v>1</v>
      </c>
    </row>
    <row r="478" spans="1:5">
      <c r="A478" t="str">
        <f>检查点拆解!A478</f>
        <v>Q0063</v>
      </c>
      <c r="B478" t="str">
        <f>检查点拆解!D478</f>
        <v>C30</v>
      </c>
      <c r="C478" s="2">
        <f>--(COUNTIFS($A$2:A478,A478,$B$2:B478,B478)=1)</f>
        <v>0</v>
      </c>
      <c r="D478" t="str">
        <f>检查点拆解!F478</f>
        <v>D15.02.01</v>
      </c>
      <c r="E478" s="2">
        <f>--(COUNTIFS($A$2:A478,A478,$D$2:D478,D478)=1)</f>
        <v>1</v>
      </c>
    </row>
    <row r="479" spans="1:5">
      <c r="A479" t="str">
        <f>检查点拆解!A479</f>
        <v>Q0063</v>
      </c>
      <c r="B479" t="str">
        <f>检查点拆解!D479</f>
        <v>C23</v>
      </c>
      <c r="C479" s="2">
        <f>--(COUNTIFS($A$2:A479,A479,$B$2:B479,B479)=1)</f>
        <v>1</v>
      </c>
      <c r="D479" t="str">
        <f>检查点拆解!F479</f>
        <v>D09.01.03</v>
      </c>
      <c r="E479" s="2">
        <f>--(COUNTIFS($A$2:A479,A479,$D$2:D479,D479)=1)</f>
        <v>1</v>
      </c>
    </row>
    <row r="480" spans="1:5">
      <c r="A480" t="str">
        <f>检查点拆解!A480</f>
        <v>Q0063</v>
      </c>
      <c r="B480" t="str">
        <f>检查点拆解!D480</f>
        <v>C27</v>
      </c>
      <c r="C480" s="2">
        <f>--(COUNTIFS($A$2:A480,A480,$B$2:B480,B480)=1)</f>
        <v>1</v>
      </c>
      <c r="D480" t="str">
        <f>检查点拆解!F480</f>
        <v>D11.02.01</v>
      </c>
      <c r="E480" s="2">
        <f>--(COUNTIFS($A$2:A480,A480,$D$2:D480,D480)=1)</f>
        <v>1</v>
      </c>
    </row>
    <row r="481" spans="1:5">
      <c r="A481" t="str">
        <f>检查点拆解!A481</f>
        <v>Q0063</v>
      </c>
      <c r="B481" t="str">
        <f>检查点拆解!D481</f>
        <v>C24</v>
      </c>
      <c r="C481" s="2">
        <f>--(COUNTIFS($A$2:A481,A481,$B$2:B481,B481)=1)</f>
        <v>1</v>
      </c>
      <c r="D481" t="str">
        <f>检查点拆解!F481</f>
        <v>D09.03.02</v>
      </c>
      <c r="E481" s="2">
        <f>--(COUNTIFS($A$2:A481,A481,$D$2:D481,D481)=1)</f>
        <v>1</v>
      </c>
    </row>
    <row r="482" spans="1:5">
      <c r="A482" t="str">
        <f>检查点拆解!A482</f>
        <v>Q0063</v>
      </c>
      <c r="B482" t="str">
        <f>检查点拆解!D482</f>
        <v>C30</v>
      </c>
      <c r="C482" s="2">
        <f>--(COUNTIFS($A$2:A482,A482,$B$2:B482,B482)=1)</f>
        <v>0</v>
      </c>
      <c r="D482" t="str">
        <f>检查点拆解!F482</f>
        <v>D15.01.03</v>
      </c>
      <c r="E482" s="2">
        <f>--(COUNTIFS($A$2:A482,A482,$D$2:D482,D482)=1)</f>
        <v>1</v>
      </c>
    </row>
    <row r="483" spans="1:5">
      <c r="A483" t="str">
        <f>检查点拆解!A483</f>
        <v>Q0063</v>
      </c>
      <c r="B483" t="str">
        <f>检查点拆解!D483</f>
        <v>C27</v>
      </c>
      <c r="C483" s="2">
        <f>--(COUNTIFS($A$2:A483,A483,$B$2:B483,B483)=1)</f>
        <v>0</v>
      </c>
      <c r="D483" t="str">
        <f>检查点拆解!F483</f>
        <v>D11.01.01</v>
      </c>
      <c r="E483" s="2">
        <f>--(COUNTIFS($A$2:A483,A483,$D$2:D483,D483)=1)</f>
        <v>1</v>
      </c>
    </row>
    <row r="484" spans="1:5">
      <c r="A484" t="str">
        <f>检查点拆解!A484</f>
        <v>Q0063</v>
      </c>
      <c r="B484" t="str">
        <f>检查点拆解!D484</f>
        <v>C27</v>
      </c>
      <c r="C484" s="2">
        <f>--(COUNTIFS($A$2:A484,A484,$B$2:B484,B484)=1)</f>
        <v>0</v>
      </c>
      <c r="D484" t="str">
        <f>检查点拆解!F484</f>
        <v>D11.01.03</v>
      </c>
      <c r="E484" s="2">
        <f>--(COUNTIFS($A$2:A484,A484,$D$2:D484,D484)=1)</f>
        <v>1</v>
      </c>
    </row>
    <row r="485" spans="1:5">
      <c r="A485" t="str">
        <f>检查点拆解!A485</f>
        <v>Q0063</v>
      </c>
      <c r="B485" t="str">
        <f>检查点拆解!D485</f>
        <v>C24</v>
      </c>
      <c r="C485" s="2">
        <f>--(COUNTIFS($A$2:A485,A485,$B$2:B485,B485)=1)</f>
        <v>0</v>
      </c>
      <c r="D485" t="str">
        <f>检查点拆解!F485</f>
        <v>D09.02.03</v>
      </c>
      <c r="E485" s="2">
        <f>--(COUNTIFS($A$2:A485,A485,$D$2:D485,D485)=1)</f>
        <v>1</v>
      </c>
    </row>
    <row r="486" spans="1:5">
      <c r="A486" t="str">
        <f>检查点拆解!A486</f>
        <v>Q0064</v>
      </c>
      <c r="B486" t="str">
        <f>检查点拆解!D486</f>
        <v>C15</v>
      </c>
      <c r="C486" s="2">
        <f>--(COUNTIFS($A$2:A486,A486,$B$2:B486,B486)=1)</f>
        <v>1</v>
      </c>
      <c r="D486" t="str">
        <f>检查点拆解!F486</f>
        <v>D05.02.02</v>
      </c>
      <c r="E486" s="2">
        <f>--(COUNTIFS($A$2:A486,A486,$D$2:D486,D486)=1)</f>
        <v>1</v>
      </c>
    </row>
    <row r="487" spans="1:5">
      <c r="A487" t="str">
        <f>检查点拆解!A487</f>
        <v>Q0064</v>
      </c>
      <c r="B487" t="str">
        <f>检查点拆解!D487</f>
        <v>C14</v>
      </c>
      <c r="C487" s="2">
        <f>--(COUNTIFS($A$2:A487,A487,$B$2:B487,B487)=1)</f>
        <v>1</v>
      </c>
      <c r="D487" t="str">
        <f>检查点拆解!F487</f>
        <v>D05.01.01</v>
      </c>
      <c r="E487" s="2">
        <f>--(COUNTIFS($A$2:A487,A487,$D$2:D487,D487)=1)</f>
        <v>1</v>
      </c>
    </row>
    <row r="488" spans="1:5">
      <c r="A488" t="str">
        <f>检查点拆解!A488</f>
        <v>Q0064</v>
      </c>
      <c r="B488" t="str">
        <f>检查点拆解!D488</f>
        <v>C03</v>
      </c>
      <c r="C488" s="2">
        <f>--(COUNTIFS($A$2:A488,A488,$B$2:B488,B488)=1)</f>
        <v>1</v>
      </c>
      <c r="D488" t="str">
        <f>检查点拆解!F488</f>
        <v>D02.01.01</v>
      </c>
      <c r="E488" s="2">
        <f>--(COUNTIFS($A$2:A488,A488,$D$2:D488,D488)=1)</f>
        <v>1</v>
      </c>
    </row>
    <row r="489" spans="1:5">
      <c r="A489" t="str">
        <f>检查点拆解!A489</f>
        <v>Q0064</v>
      </c>
      <c r="B489" t="str">
        <f>检查点拆解!D489</f>
        <v>C08</v>
      </c>
      <c r="C489" s="2">
        <f>--(COUNTIFS($A$2:A489,A489,$B$2:B489,B489)=1)</f>
        <v>1</v>
      </c>
      <c r="D489" t="str">
        <f>检查点拆解!F489</f>
        <v>D03.03.01</v>
      </c>
      <c r="E489" s="2">
        <f>--(COUNTIFS($A$2:A489,A489,$D$2:D489,D489)=1)</f>
        <v>1</v>
      </c>
    </row>
    <row r="490" spans="1:5">
      <c r="A490" t="str">
        <f>检查点拆解!A490</f>
        <v>Q0065</v>
      </c>
      <c r="B490" t="str">
        <f>检查点拆解!D490</f>
        <v>C30</v>
      </c>
      <c r="C490" s="2">
        <f>--(COUNTIFS($A$2:A490,A490,$B$2:B490,B490)=1)</f>
        <v>1</v>
      </c>
      <c r="D490" t="str">
        <f>检查点拆解!F490</f>
        <v>D15.01.02</v>
      </c>
      <c r="E490" s="2">
        <f>--(COUNTIFS($A$2:A490,A490,$D$2:D490,D490)=1)</f>
        <v>1</v>
      </c>
    </row>
    <row r="491" spans="1:5">
      <c r="A491" t="str">
        <f>检查点拆解!A491</f>
        <v>Q0065</v>
      </c>
      <c r="B491" t="str">
        <f>检查点拆解!D491</f>
        <v>C27</v>
      </c>
      <c r="C491" s="2">
        <f>--(COUNTIFS($A$2:A491,A491,$B$2:B491,B491)=1)</f>
        <v>1</v>
      </c>
      <c r="D491" t="str">
        <f>检查点拆解!F491</f>
        <v>D11.02.01</v>
      </c>
      <c r="E491" s="2">
        <f>--(COUNTIFS($A$2:A491,A491,$D$2:D491,D491)=1)</f>
        <v>1</v>
      </c>
    </row>
    <row r="492" spans="1:5">
      <c r="A492" t="str">
        <f>检查点拆解!A492</f>
        <v>Q0065</v>
      </c>
      <c r="B492" t="str">
        <f>检查点拆解!D492</f>
        <v>C30</v>
      </c>
      <c r="C492" s="2">
        <f>--(COUNTIFS($A$2:A492,A492,$B$2:B492,B492)=1)</f>
        <v>0</v>
      </c>
      <c r="D492" t="str">
        <f>检查点拆解!F492</f>
        <v>D15.01.03</v>
      </c>
      <c r="E492" s="2">
        <f>--(COUNTIFS($A$2:A492,A492,$D$2:D492,D492)=1)</f>
        <v>1</v>
      </c>
    </row>
    <row r="493" spans="1:5">
      <c r="A493" t="str">
        <f>检查点拆解!A493</f>
        <v>Q0065</v>
      </c>
      <c r="B493" t="str">
        <f>检查点拆解!D493</f>
        <v>C06</v>
      </c>
      <c r="C493" s="2">
        <f>--(COUNTIFS($A$2:A493,A493,$B$2:B493,B493)=1)</f>
        <v>1</v>
      </c>
      <c r="D493" t="str">
        <f>检查点拆解!F493</f>
        <v>D03.01.03</v>
      </c>
      <c r="E493" s="2">
        <f>--(COUNTIFS($A$2:A493,A493,$D$2:D493,D493)=1)</f>
        <v>1</v>
      </c>
    </row>
    <row r="494" spans="1:5">
      <c r="A494" t="str">
        <f>检查点拆解!A494</f>
        <v>Q0065</v>
      </c>
      <c r="B494" t="str">
        <f>检查点拆解!D494</f>
        <v>C25</v>
      </c>
      <c r="C494" s="2">
        <f>--(COUNTIFS($A$2:A494,A494,$B$2:B494,B494)=1)</f>
        <v>1</v>
      </c>
      <c r="D494" t="str">
        <f>检查点拆解!F494</f>
        <v>D10.01.04</v>
      </c>
      <c r="E494" s="2">
        <f>--(COUNTIFS($A$2:A494,A494,$D$2:D494,D494)=1)</f>
        <v>1</v>
      </c>
    </row>
    <row r="495" spans="1:5">
      <c r="A495" t="str">
        <f>检查点拆解!A495</f>
        <v>Q0065</v>
      </c>
      <c r="B495" t="str">
        <f>检查点拆解!D495</f>
        <v>C30</v>
      </c>
      <c r="C495" s="2">
        <f>--(COUNTIFS($A$2:A495,A495,$B$2:B495,B495)=1)</f>
        <v>0</v>
      </c>
      <c r="D495" t="str">
        <f>检查点拆解!F495</f>
        <v>D15.01.04</v>
      </c>
      <c r="E495" s="2">
        <f>--(COUNTIFS($A$2:A495,A495,$D$2:D495,D495)=1)</f>
        <v>1</v>
      </c>
    </row>
    <row r="496" spans="1:5">
      <c r="A496" t="str">
        <f>检查点拆解!A496</f>
        <v>Q0065</v>
      </c>
      <c r="B496" t="str">
        <f>检查点拆解!D496</f>
        <v>C08</v>
      </c>
      <c r="C496" s="2">
        <f>--(COUNTIFS($A$2:A496,A496,$B$2:B496,B496)=1)</f>
        <v>1</v>
      </c>
      <c r="D496" t="str">
        <f>检查点拆解!F496</f>
        <v>D04.01.02</v>
      </c>
      <c r="E496" s="2">
        <f>--(COUNTIFS($A$2:A496,A496,$D$2:D496,D496)=1)</f>
        <v>1</v>
      </c>
    </row>
    <row r="497" spans="1:5">
      <c r="A497" t="str">
        <f>检查点拆解!A497</f>
        <v>Q0065</v>
      </c>
      <c r="B497" t="str">
        <f>检查点拆解!D497</f>
        <v>C03</v>
      </c>
      <c r="C497" s="2">
        <f>--(COUNTIFS($A$2:A497,A497,$B$2:B497,B497)=1)</f>
        <v>1</v>
      </c>
      <c r="D497" t="str">
        <f>检查点拆解!F497</f>
        <v>D02.01.01</v>
      </c>
      <c r="E497" s="2">
        <f>--(COUNTIFS($A$2:A497,A497,$D$2:D497,D497)=1)</f>
        <v>1</v>
      </c>
    </row>
    <row r="498" spans="1:5">
      <c r="A498" t="str">
        <f>检查点拆解!A498</f>
        <v>Q0066</v>
      </c>
      <c r="B498" t="str">
        <f>检查点拆解!D498</f>
        <v>C30</v>
      </c>
      <c r="C498" s="2">
        <f>--(COUNTIFS($A$2:A498,A498,$B$2:B498,B498)=1)</f>
        <v>1</v>
      </c>
      <c r="D498" t="str">
        <f>检查点拆解!F498</f>
        <v>D15.01.02</v>
      </c>
      <c r="E498" s="2">
        <f>--(COUNTIFS($A$2:A498,A498,$D$2:D498,D498)=1)</f>
        <v>1</v>
      </c>
    </row>
    <row r="499" spans="1:5">
      <c r="A499" t="str">
        <f>检查点拆解!A499</f>
        <v>Q0066</v>
      </c>
      <c r="B499" t="str">
        <f>检查点拆解!D499</f>
        <v>C29</v>
      </c>
      <c r="C499" s="2">
        <f>--(COUNTIFS($A$2:A499,A499,$B$2:B499,B499)=1)</f>
        <v>1</v>
      </c>
      <c r="D499" t="str">
        <f>检查点拆解!F499</f>
        <v>D14.02.01</v>
      </c>
      <c r="E499" s="2">
        <f>--(COUNTIFS($A$2:A499,A499,$D$2:D499,D499)=1)</f>
        <v>1</v>
      </c>
    </row>
    <row r="500" spans="1:5">
      <c r="A500" t="str">
        <f>检查点拆解!A500</f>
        <v>Q0066</v>
      </c>
      <c r="B500" t="str">
        <f>检查点拆解!D500</f>
        <v>C30</v>
      </c>
      <c r="C500" s="2">
        <f>--(COUNTIFS($A$2:A500,A500,$B$2:B500,B500)=1)</f>
        <v>0</v>
      </c>
      <c r="D500" t="str">
        <f>检查点拆解!F500</f>
        <v>D15.01.03</v>
      </c>
      <c r="E500" s="2">
        <f>--(COUNTIFS($A$2:A500,A500,$D$2:D500,D500)=1)</f>
        <v>1</v>
      </c>
    </row>
    <row r="501" spans="1:5">
      <c r="A501" t="str">
        <f>检查点拆解!A501</f>
        <v>Q0066</v>
      </c>
      <c r="B501" t="str">
        <f>检查点拆解!D501</f>
        <v>C06</v>
      </c>
      <c r="C501" s="2">
        <f>--(COUNTIFS($A$2:A501,A501,$B$2:B501,B501)=1)</f>
        <v>1</v>
      </c>
      <c r="D501" t="str">
        <f>检查点拆解!F501</f>
        <v>D03.01.03</v>
      </c>
      <c r="E501" s="2">
        <f>--(COUNTIFS($A$2:A501,A501,$D$2:D501,D501)=1)</f>
        <v>1</v>
      </c>
    </row>
    <row r="502" spans="1:5">
      <c r="A502" t="str">
        <f>检查点拆解!A502</f>
        <v>Q0066</v>
      </c>
      <c r="B502" t="str">
        <f>检查点拆解!D502</f>
        <v>C30</v>
      </c>
      <c r="C502" s="2">
        <f>--(COUNTIFS($A$2:A502,A502,$B$2:B502,B502)=1)</f>
        <v>0</v>
      </c>
      <c r="D502" t="str">
        <f>检查点拆解!F502</f>
        <v>D15.01.04</v>
      </c>
      <c r="E502" s="2">
        <f>--(COUNTIFS($A$2:A502,A502,$D$2:D502,D502)=1)</f>
        <v>1</v>
      </c>
    </row>
    <row r="503" spans="1:5">
      <c r="A503" t="str">
        <f>检查点拆解!A503</f>
        <v>Q0066</v>
      </c>
      <c r="B503" t="str">
        <f>检查点拆解!D503</f>
        <v>C28</v>
      </c>
      <c r="C503" s="2">
        <f>--(COUNTIFS($A$2:A503,A503,$B$2:B503,B503)=1)</f>
        <v>1</v>
      </c>
      <c r="D503" t="str">
        <f>检查点拆解!F503</f>
        <v>D12.01.01</v>
      </c>
      <c r="E503" s="2">
        <f>--(COUNTIFS($A$2:A503,A503,$D$2:D503,D503)=1)</f>
        <v>1</v>
      </c>
    </row>
    <row r="504" spans="1:5">
      <c r="A504" t="str">
        <f>检查点拆解!A504</f>
        <v>Q0066</v>
      </c>
      <c r="B504" t="str">
        <f>检查点拆解!D504</f>
        <v>C05</v>
      </c>
      <c r="C504" s="2">
        <f>--(COUNTIFS($A$2:A504,A504,$B$2:B504,B504)=1)</f>
        <v>1</v>
      </c>
      <c r="D504" t="str">
        <f>检查点拆解!F504</f>
        <v>D02.03.01</v>
      </c>
      <c r="E504" s="2">
        <f>--(COUNTIFS($A$2:A504,A504,$D$2:D504,D504)=1)</f>
        <v>1</v>
      </c>
    </row>
    <row r="505" spans="1:5">
      <c r="A505" t="str">
        <f>检查点拆解!A505</f>
        <v>Q0067</v>
      </c>
      <c r="B505" t="str">
        <f>检查点拆解!D505</f>
        <v>C30</v>
      </c>
      <c r="C505" s="2">
        <f>--(COUNTIFS($A$2:A505,A505,$B$2:B505,B505)=1)</f>
        <v>1</v>
      </c>
      <c r="D505" t="str">
        <f>检查点拆解!F505</f>
        <v>D15.01.02</v>
      </c>
      <c r="E505" s="2">
        <f>--(COUNTIFS($A$2:A505,A505,$D$2:D505,D505)=1)</f>
        <v>1</v>
      </c>
    </row>
    <row r="506" spans="1:5">
      <c r="A506" t="str">
        <f>检查点拆解!A506</f>
        <v>Q0067</v>
      </c>
      <c r="B506" t="str">
        <f>检查点拆解!D506</f>
        <v>C27</v>
      </c>
      <c r="C506" s="2">
        <f>--(COUNTIFS($A$2:A506,A506,$B$2:B506,B506)=1)</f>
        <v>1</v>
      </c>
      <c r="D506" t="str">
        <f>检查点拆解!F506</f>
        <v>D11.02.01</v>
      </c>
      <c r="E506" s="2">
        <f>--(COUNTIFS($A$2:A506,A506,$D$2:D506,D506)=1)</f>
        <v>1</v>
      </c>
    </row>
    <row r="507" spans="1:5">
      <c r="A507" t="str">
        <f>检查点拆解!A507</f>
        <v>Q0067</v>
      </c>
      <c r="B507" t="str">
        <f>检查点拆解!D507</f>
        <v>C12</v>
      </c>
      <c r="C507" s="2">
        <f>--(COUNTIFS($A$2:A507,A507,$B$2:B507,B507)=1)</f>
        <v>1</v>
      </c>
      <c r="D507" t="str">
        <f>检查点拆解!F507</f>
        <v>D04.03.04</v>
      </c>
      <c r="E507" s="2">
        <f>--(COUNTIFS($A$2:A507,A507,$D$2:D507,D507)=1)</f>
        <v>1</v>
      </c>
    </row>
    <row r="508" spans="1:5">
      <c r="A508" t="str">
        <f>检查点拆解!A508</f>
        <v>Q0067</v>
      </c>
      <c r="B508" t="str">
        <f>检查点拆解!D508</f>
        <v>C30</v>
      </c>
      <c r="C508" s="2">
        <f>--(COUNTIFS($A$2:A508,A508,$B$2:B508,B508)=1)</f>
        <v>0</v>
      </c>
      <c r="D508" t="str">
        <f>检查点拆解!F508</f>
        <v>D15.01.03</v>
      </c>
      <c r="E508" s="2">
        <f>--(COUNTIFS($A$2:A508,A508,$D$2:D508,D508)=1)</f>
        <v>1</v>
      </c>
    </row>
    <row r="509" spans="1:5">
      <c r="A509" t="str">
        <f>检查点拆解!A509</f>
        <v>Q0067</v>
      </c>
      <c r="B509" t="str">
        <f>检查点拆解!D509</f>
        <v>C25</v>
      </c>
      <c r="C509" s="2">
        <f>--(COUNTIFS($A$2:A509,A509,$B$2:B509,B509)=1)</f>
        <v>1</v>
      </c>
      <c r="D509" t="str">
        <f>检查点拆解!F509</f>
        <v>D10.01.04</v>
      </c>
      <c r="E509" s="2">
        <f>--(COUNTIFS($A$2:A509,A509,$D$2:D509,D509)=1)</f>
        <v>1</v>
      </c>
    </row>
    <row r="510" spans="1:5">
      <c r="A510" t="str">
        <f>检查点拆解!A510</f>
        <v>Q0067</v>
      </c>
      <c r="B510" t="str">
        <f>检查点拆解!D510</f>
        <v>C30</v>
      </c>
      <c r="C510" s="2">
        <f>--(COUNTIFS($A$2:A510,A510,$B$2:B510,B510)=1)</f>
        <v>0</v>
      </c>
      <c r="D510" t="str">
        <f>检查点拆解!F510</f>
        <v>D15.01.04</v>
      </c>
      <c r="E510" s="2">
        <f>--(COUNTIFS($A$2:A510,A510,$D$2:D510,D510)=1)</f>
        <v>1</v>
      </c>
    </row>
    <row r="511" spans="1:5">
      <c r="A511" t="str">
        <f>检查点拆解!A511</f>
        <v>Q0067</v>
      </c>
      <c r="B511" t="str">
        <f>检查点拆解!D511</f>
        <v>C08</v>
      </c>
      <c r="C511" s="2">
        <f>--(COUNTIFS($A$2:A511,A511,$B$2:B511,B511)=1)</f>
        <v>1</v>
      </c>
      <c r="D511" t="str">
        <f>检查点拆解!F511</f>
        <v>D04.01.02</v>
      </c>
      <c r="E511" s="2">
        <f>--(COUNTIFS($A$2:A511,A511,$D$2:D511,D511)=1)</f>
        <v>1</v>
      </c>
    </row>
    <row r="512" spans="1:5">
      <c r="A512" t="str">
        <f>检查点拆解!A512</f>
        <v>Q0067</v>
      </c>
      <c r="B512" t="str">
        <f>检查点拆解!D512</f>
        <v>C15</v>
      </c>
      <c r="C512" s="2">
        <f>--(COUNTIFS($A$2:A512,A512,$B$2:B512,B512)=1)</f>
        <v>1</v>
      </c>
      <c r="D512" t="str">
        <f>检查点拆解!F512</f>
        <v>D05.02.01</v>
      </c>
      <c r="E512" s="2">
        <f>--(COUNTIFS($A$2:A512,A512,$D$2:D512,D512)=1)</f>
        <v>1</v>
      </c>
    </row>
    <row r="513" spans="1:5">
      <c r="A513" t="str">
        <f>检查点拆解!A513</f>
        <v>Q0068</v>
      </c>
      <c r="B513" t="str">
        <f>检查点拆解!D513</f>
        <v>C18</v>
      </c>
      <c r="C513" s="2">
        <f>--(COUNTIFS($A$2:A513,A513,$B$2:B513,B513)=1)</f>
        <v>1</v>
      </c>
      <c r="D513" t="str">
        <f>检查点拆解!F513</f>
        <v>D07.01.03</v>
      </c>
      <c r="E513" s="2">
        <f>--(COUNTIFS($A$2:A513,A513,$D$2:D513,D513)=1)</f>
        <v>1</v>
      </c>
    </row>
    <row r="514" spans="1:5">
      <c r="A514" t="str">
        <f>检查点拆解!A514</f>
        <v>Q0068</v>
      </c>
      <c r="B514" t="str">
        <f>检查点拆解!D514</f>
        <v>C24</v>
      </c>
      <c r="C514" s="2">
        <f>--(COUNTIFS($A$2:A514,A514,$B$2:B514,B514)=1)</f>
        <v>1</v>
      </c>
      <c r="D514" t="str">
        <f>检查点拆解!F514</f>
        <v>D09.02.02</v>
      </c>
      <c r="E514" s="2">
        <f>--(COUNTIFS($A$2:A514,A514,$D$2:D514,D514)=1)</f>
        <v>1</v>
      </c>
    </row>
    <row r="515" spans="1:5">
      <c r="A515" t="str">
        <f>检查点拆解!A515</f>
        <v>Q0068</v>
      </c>
      <c r="B515" t="str">
        <f>检查点拆解!D515</f>
        <v>C25</v>
      </c>
      <c r="C515" s="2">
        <f>--(COUNTIFS($A$2:A515,A515,$B$2:B515,B515)=1)</f>
        <v>1</v>
      </c>
      <c r="D515" t="str">
        <f>检查点拆解!F515</f>
        <v>D10.01.04</v>
      </c>
      <c r="E515" s="2">
        <f>--(COUNTIFS($A$2:A515,A515,$D$2:D515,D515)=1)</f>
        <v>1</v>
      </c>
    </row>
    <row r="516" spans="1:5">
      <c r="A516" t="str">
        <f>检查点拆解!A516</f>
        <v>Q0068</v>
      </c>
      <c r="B516" t="str">
        <f>检查点拆解!D516</f>
        <v>C15</v>
      </c>
      <c r="C516" s="2">
        <f>--(COUNTIFS($A$2:A516,A516,$B$2:B516,B516)=1)</f>
        <v>1</v>
      </c>
      <c r="D516" t="str">
        <f>检查点拆解!F516</f>
        <v>D05.02.01</v>
      </c>
      <c r="E516" s="2">
        <f>--(COUNTIFS($A$2:A516,A516,$D$2:D516,D516)=1)</f>
        <v>1</v>
      </c>
    </row>
    <row r="517" spans="1:5">
      <c r="A517" t="str">
        <f>检查点拆解!A517</f>
        <v>Q0068</v>
      </c>
      <c r="B517" t="str">
        <f>检查点拆解!D517</f>
        <v>C03</v>
      </c>
      <c r="C517" s="2">
        <f>--(COUNTIFS($A$2:A517,A517,$B$2:B517,B517)=1)</f>
        <v>1</v>
      </c>
      <c r="D517" t="str">
        <f>检查点拆解!F517</f>
        <v>D02.01.01</v>
      </c>
      <c r="E517" s="2">
        <f>--(COUNTIFS($A$2:A517,A517,$D$2:D517,D517)=1)</f>
        <v>1</v>
      </c>
    </row>
    <row r="518" spans="1:5">
      <c r="A518" t="str">
        <f>检查点拆解!A518</f>
        <v>Q0068</v>
      </c>
      <c r="B518" t="str">
        <f>检查点拆解!D518</f>
        <v>C04</v>
      </c>
      <c r="C518" s="2">
        <f>--(COUNTIFS($A$2:A518,A518,$B$2:B518,B518)=1)</f>
        <v>1</v>
      </c>
      <c r="D518" t="str">
        <f>检查点拆解!F518</f>
        <v>D02.02.02</v>
      </c>
      <c r="E518" s="2">
        <f>--(COUNTIFS($A$2:A518,A518,$D$2:D518,D518)=1)</f>
        <v>1</v>
      </c>
    </row>
    <row r="519" spans="1:5">
      <c r="A519" t="str">
        <f>检查点拆解!A519</f>
        <v>Q0068</v>
      </c>
      <c r="B519" t="str">
        <f>检查点拆解!D519</f>
        <v>C05</v>
      </c>
      <c r="C519" s="2">
        <f>--(COUNTIFS($A$2:A519,A519,$B$2:B519,B519)=1)</f>
        <v>1</v>
      </c>
      <c r="D519" t="str">
        <f>检查点拆解!F519</f>
        <v>D02.03.01</v>
      </c>
      <c r="E519" s="2">
        <f>--(COUNTIFS($A$2:A519,A519,$D$2:D519,D519)=1)</f>
        <v>1</v>
      </c>
    </row>
    <row r="520" spans="1:5">
      <c r="A520" t="str">
        <f>检查点拆解!A520</f>
        <v>Q0068</v>
      </c>
      <c r="B520" t="str">
        <f>检查点拆解!D520</f>
        <v>C08</v>
      </c>
      <c r="C520" s="2">
        <f>--(COUNTIFS($A$2:A520,A520,$B$2:B520,B520)=1)</f>
        <v>1</v>
      </c>
      <c r="D520" t="str">
        <f>检查点拆解!F520</f>
        <v>D03.03.01</v>
      </c>
      <c r="E520" s="2">
        <f>--(COUNTIFS($A$2:A520,A520,$D$2:D520,D520)=1)</f>
        <v>1</v>
      </c>
    </row>
    <row r="521" spans="1:5">
      <c r="A521" t="str">
        <f>检查点拆解!A521</f>
        <v>Q0069</v>
      </c>
      <c r="B521" t="str">
        <f>检查点拆解!D521</f>
        <v>C30</v>
      </c>
      <c r="C521" s="2">
        <f>--(COUNTIFS($A$2:A521,A521,$B$2:B521,B521)=1)</f>
        <v>1</v>
      </c>
      <c r="D521" t="str">
        <f>检查点拆解!F521</f>
        <v>D15.01.02</v>
      </c>
      <c r="E521" s="2">
        <f>--(COUNTIFS($A$2:A521,A521,$D$2:D521,D521)=1)</f>
        <v>1</v>
      </c>
    </row>
    <row r="522" spans="1:5">
      <c r="A522" t="str">
        <f>检查点拆解!A522</f>
        <v>Q0069</v>
      </c>
      <c r="B522" t="str">
        <f>检查点拆解!D522</f>
        <v>C30</v>
      </c>
      <c r="C522" s="2">
        <f>--(COUNTIFS($A$2:A522,A522,$B$2:B522,B522)=1)</f>
        <v>0</v>
      </c>
      <c r="D522" t="str">
        <f>检查点拆解!F522</f>
        <v>D15.01.03</v>
      </c>
      <c r="E522" s="2">
        <f>--(COUNTIFS($A$2:A522,A522,$D$2:D522,D522)=1)</f>
        <v>1</v>
      </c>
    </row>
    <row r="523" spans="1:5">
      <c r="A523" t="str">
        <f>检查点拆解!A523</f>
        <v>Q0069</v>
      </c>
      <c r="B523" t="str">
        <f>检查点拆解!D523</f>
        <v>C15</v>
      </c>
      <c r="C523" s="2">
        <f>--(COUNTIFS($A$2:A523,A523,$B$2:B523,B523)=1)</f>
        <v>1</v>
      </c>
      <c r="D523" t="str">
        <f>检查点拆解!F523</f>
        <v>D05.02.03</v>
      </c>
      <c r="E523" s="2">
        <f>--(COUNTIFS($A$2:A523,A523,$D$2:D523,D523)=1)</f>
        <v>1</v>
      </c>
    </row>
    <row r="524" spans="1:5">
      <c r="A524" t="str">
        <f>检查点拆解!A524</f>
        <v>Q0069</v>
      </c>
      <c r="B524" t="str">
        <f>检查点拆解!D524</f>
        <v>C27</v>
      </c>
      <c r="C524" s="2">
        <f>--(COUNTIFS($A$2:A524,A524,$B$2:B524,B524)=1)</f>
        <v>1</v>
      </c>
      <c r="D524" t="str">
        <f>检查点拆解!F524</f>
        <v>D11.01.01</v>
      </c>
      <c r="E524" s="2">
        <f>--(COUNTIFS($A$2:A524,A524,$D$2:D524,D524)=1)</f>
        <v>1</v>
      </c>
    </row>
    <row r="525" spans="1:5">
      <c r="A525" t="str">
        <f>检查点拆解!A525</f>
        <v>Q0069</v>
      </c>
      <c r="B525" t="str">
        <f>检查点拆解!D525</f>
        <v>C06</v>
      </c>
      <c r="C525" s="2">
        <f>--(COUNTIFS($A$2:A525,A525,$B$2:B525,B525)=1)</f>
        <v>1</v>
      </c>
      <c r="D525" t="str">
        <f>检查点拆解!F525</f>
        <v>D03.01.03</v>
      </c>
      <c r="E525" s="2">
        <f>--(COUNTIFS($A$2:A525,A525,$D$2:D525,D525)=1)</f>
        <v>1</v>
      </c>
    </row>
    <row r="526" spans="1:5">
      <c r="A526" t="str">
        <f>检查点拆解!A526</f>
        <v>Q0069</v>
      </c>
      <c r="B526" t="str">
        <f>检查点拆解!D526</f>
        <v>C18</v>
      </c>
      <c r="C526" s="2">
        <f>--(COUNTIFS($A$2:A526,A526,$B$2:B526,B526)=1)</f>
        <v>1</v>
      </c>
      <c r="D526" t="str">
        <f>检查点拆解!F526</f>
        <v>D07.01.01</v>
      </c>
      <c r="E526" s="2">
        <f>--(COUNTIFS($A$2:A526,A526,$D$2:D526,D526)=1)</f>
        <v>1</v>
      </c>
    </row>
    <row r="527" spans="1:5">
      <c r="A527" t="str">
        <f>检查点拆解!A527</f>
        <v>Q0069</v>
      </c>
      <c r="B527" t="str">
        <f>检查点拆解!D527</f>
        <v>C24</v>
      </c>
      <c r="C527" s="2">
        <f>--(COUNTIFS($A$2:A527,A527,$B$2:B527,B527)=1)</f>
        <v>1</v>
      </c>
      <c r="D527" t="str">
        <f>检查点拆解!F527</f>
        <v>D09.02.01</v>
      </c>
      <c r="E527" s="2">
        <f>--(COUNTIFS($A$2:A527,A527,$D$2:D527,D527)=1)</f>
        <v>1</v>
      </c>
    </row>
    <row r="528" spans="1:5">
      <c r="A528" t="str">
        <f>检查点拆解!A528</f>
        <v>Q0069</v>
      </c>
      <c r="B528" t="str">
        <f>检查点拆解!D528</f>
        <v>C23</v>
      </c>
      <c r="C528" s="2">
        <f>--(COUNTIFS($A$2:A528,A528,$B$2:B528,B528)=1)</f>
        <v>1</v>
      </c>
      <c r="D528" t="str">
        <f>检查点拆解!F528</f>
        <v>D09.01.01</v>
      </c>
      <c r="E528" s="2">
        <f>--(COUNTIFS($A$2:A528,A528,$D$2:D528,D528)=1)</f>
        <v>1</v>
      </c>
    </row>
    <row r="529" spans="1:5">
      <c r="A529" t="str">
        <f>检查点拆解!A529</f>
        <v>Q0069</v>
      </c>
      <c r="B529" t="str">
        <f>检查点拆解!D529</f>
        <v>C15</v>
      </c>
      <c r="C529" s="2">
        <f>--(COUNTIFS($A$2:A529,A529,$B$2:B529,B529)=1)</f>
        <v>0</v>
      </c>
      <c r="D529" t="str">
        <f>检查点拆解!F529</f>
        <v>D05.02.01</v>
      </c>
      <c r="E529" s="2">
        <f>--(COUNTIFS($A$2:A529,A529,$D$2:D529,D529)=1)</f>
        <v>1</v>
      </c>
    </row>
    <row r="530" spans="1:5">
      <c r="A530" t="str">
        <f>检查点拆解!A530</f>
        <v>Q0069</v>
      </c>
      <c r="B530" t="str">
        <f>检查点拆解!D530</f>
        <v>C28</v>
      </c>
      <c r="C530" s="2">
        <f>--(COUNTIFS($A$2:A530,A530,$B$2:B530,B530)=1)</f>
        <v>1</v>
      </c>
      <c r="D530" t="str">
        <f>检查点拆解!F530</f>
        <v>D12.02.02</v>
      </c>
      <c r="E530" s="2">
        <f>--(COUNTIFS($A$2:A530,A530,$D$2:D530,D530)=1)</f>
        <v>1</v>
      </c>
    </row>
    <row r="531" spans="1:5">
      <c r="A531" t="str">
        <f>检查点拆解!A531</f>
        <v>Q0069</v>
      </c>
      <c r="B531" t="str">
        <f>检查点拆解!D531</f>
        <v>C28</v>
      </c>
      <c r="C531" s="2">
        <f>--(COUNTIFS($A$2:A531,A531,$B$2:B531,B531)=1)</f>
        <v>0</v>
      </c>
      <c r="D531" t="str">
        <f>检查点拆解!F531</f>
        <v>D12.01.01</v>
      </c>
      <c r="E531" s="2">
        <f>--(COUNTIFS($A$2:A531,A531,$D$2:D531,D531)=1)</f>
        <v>1</v>
      </c>
    </row>
    <row r="532" spans="1:5">
      <c r="A532" t="str">
        <f>检查点拆解!A532</f>
        <v>Q0069</v>
      </c>
      <c r="B532" t="str">
        <f>检查点拆解!D532</f>
        <v>C28</v>
      </c>
      <c r="C532" s="2">
        <f>--(COUNTIFS($A$2:A532,A532,$B$2:B532,B532)=1)</f>
        <v>0</v>
      </c>
      <c r="D532" t="str">
        <f>检查点拆解!F532</f>
        <v>D12.01.02</v>
      </c>
      <c r="E532" s="2">
        <f>--(COUNTIFS($A$2:A532,A532,$D$2:D532,D532)=1)</f>
        <v>1</v>
      </c>
    </row>
    <row r="533" spans="1:5">
      <c r="A533" t="str">
        <f>检查点拆解!A533</f>
        <v>Q0070</v>
      </c>
      <c r="B533" t="str">
        <f>检查点拆解!D533</f>
        <v>C24</v>
      </c>
      <c r="C533" s="2">
        <f>--(COUNTIFS($A$2:A533,A533,$B$2:B533,B533)=1)</f>
        <v>1</v>
      </c>
      <c r="D533" t="str">
        <f>检查点拆解!F533</f>
        <v>D09.02.02</v>
      </c>
      <c r="E533" s="2">
        <f>--(COUNTIFS($A$2:A533,A533,$D$2:D533,D533)=1)</f>
        <v>1</v>
      </c>
    </row>
    <row r="534" spans="1:5">
      <c r="A534" t="str">
        <f>检查点拆解!A534</f>
        <v>Q0070</v>
      </c>
      <c r="B534" t="str">
        <f>检查点拆解!D534</f>
        <v>C24</v>
      </c>
      <c r="C534" s="2">
        <f>--(COUNTIFS($A$2:A534,A534,$B$2:B534,B534)=1)</f>
        <v>0</v>
      </c>
      <c r="D534" t="str">
        <f>检查点拆解!F534</f>
        <v>D09.03.02</v>
      </c>
      <c r="E534" s="2">
        <f>--(COUNTIFS($A$2:A534,A534,$D$2:D534,D534)=1)</f>
        <v>1</v>
      </c>
    </row>
    <row r="535" spans="1:5">
      <c r="A535" t="str">
        <f>检查点拆解!A535</f>
        <v>Q0070</v>
      </c>
      <c r="B535" t="str">
        <f>检查点拆解!D535</f>
        <v>C27</v>
      </c>
      <c r="C535" s="2">
        <f>--(COUNTIFS($A$2:A535,A535,$B$2:B535,B535)=1)</f>
        <v>1</v>
      </c>
      <c r="D535" t="str">
        <f>检查点拆解!F535</f>
        <v>D11.01.02</v>
      </c>
      <c r="E535" s="2">
        <f>--(COUNTIFS($A$2:A535,A535,$D$2:D535,D535)=1)</f>
        <v>1</v>
      </c>
    </row>
    <row r="536" spans="1:5">
      <c r="A536" t="str">
        <f>检查点拆解!A536</f>
        <v>Q0070</v>
      </c>
      <c r="B536" t="str">
        <f>检查点拆解!D536</f>
        <v>C24</v>
      </c>
      <c r="C536" s="2">
        <f>--(COUNTIFS($A$2:A536,A536,$B$2:B536,B536)=1)</f>
        <v>0</v>
      </c>
      <c r="D536" t="str">
        <f>检查点拆解!F536</f>
        <v>D09.03.03</v>
      </c>
      <c r="E536" s="2">
        <f>--(COUNTIFS($A$2:A536,A536,$D$2:D536,D536)=1)</f>
        <v>1</v>
      </c>
    </row>
    <row r="537" spans="1:5">
      <c r="A537" t="str">
        <f>检查点拆解!A537</f>
        <v>Q0070</v>
      </c>
      <c r="B537" t="str">
        <f>检查点拆解!D537</f>
        <v>C27</v>
      </c>
      <c r="C537" s="2">
        <f>--(COUNTIFS($A$2:A537,A537,$B$2:B537,B537)=1)</f>
        <v>0</v>
      </c>
      <c r="D537" t="str">
        <f>检查点拆解!F537</f>
        <v>D11.01.01</v>
      </c>
      <c r="E537" s="2">
        <f>--(COUNTIFS($A$2:A537,A537,$D$2:D537,D537)=1)</f>
        <v>1</v>
      </c>
    </row>
    <row r="538" spans="1:5">
      <c r="A538" t="str">
        <f>检查点拆解!A538</f>
        <v>Q0070</v>
      </c>
      <c r="B538" t="str">
        <f>检查点拆解!D538</f>
        <v>C06</v>
      </c>
      <c r="C538" s="2">
        <f>--(COUNTIFS($A$2:A538,A538,$B$2:B538,B538)=1)</f>
        <v>1</v>
      </c>
      <c r="D538" t="str">
        <f>检查点拆解!F538</f>
        <v>D03.01.03</v>
      </c>
      <c r="E538" s="2">
        <f>--(COUNTIFS($A$2:A538,A538,$D$2:D538,D538)=1)</f>
        <v>1</v>
      </c>
    </row>
    <row r="539" spans="1:5">
      <c r="A539" t="str">
        <f>检查点拆解!A539</f>
        <v>Q0070</v>
      </c>
      <c r="B539" t="str">
        <f>检查点拆解!D539</f>
        <v>C24</v>
      </c>
      <c r="C539" s="2">
        <f>--(COUNTIFS($A$2:A539,A539,$B$2:B539,B539)=1)</f>
        <v>0</v>
      </c>
      <c r="D539" t="str">
        <f>检查点拆解!F539</f>
        <v>D09.02.03</v>
      </c>
      <c r="E539" s="2">
        <f>--(COUNTIFS($A$2:A539,A539,$D$2:D539,D539)=1)</f>
        <v>1</v>
      </c>
    </row>
    <row r="540" spans="1:5">
      <c r="A540" t="str">
        <f>检查点拆解!A540</f>
        <v>Q0070</v>
      </c>
      <c r="B540" t="str">
        <f>检查点拆解!D540</f>
        <v>C16</v>
      </c>
      <c r="C540" s="2">
        <f>--(COUNTIFS($A$2:A540,A540,$B$2:B540,B540)=1)</f>
        <v>1</v>
      </c>
      <c r="D540" t="str">
        <f>检查点拆解!F540</f>
        <v>D05.02.04</v>
      </c>
      <c r="E540" s="2">
        <f>--(COUNTIFS($A$2:A540,A540,$D$2:D540,D540)=1)</f>
        <v>1</v>
      </c>
    </row>
    <row r="541" spans="1:5">
      <c r="A541" t="str">
        <f>检查点拆解!A541</f>
        <v>Q0070</v>
      </c>
      <c r="B541" t="str">
        <f>检查点拆解!D541</f>
        <v>C30</v>
      </c>
      <c r="C541" s="2">
        <f>--(COUNTIFS($A$2:A541,A541,$B$2:B541,B541)=1)</f>
        <v>1</v>
      </c>
      <c r="D541" t="str">
        <f>检查点拆解!F541</f>
        <v>D15.01.04</v>
      </c>
      <c r="E541" s="2">
        <f>--(COUNTIFS($A$2:A541,A541,$D$2:D541,D541)=1)</f>
        <v>1</v>
      </c>
    </row>
    <row r="542" spans="1:5">
      <c r="A542" t="str">
        <f>检查点拆解!A542</f>
        <v>Q0070</v>
      </c>
      <c r="B542" t="str">
        <f>检查点拆解!D542</f>
        <v>C06</v>
      </c>
      <c r="C542" s="2">
        <f>--(COUNTIFS($A$2:A542,A542,$B$2:B542,B542)=1)</f>
        <v>0</v>
      </c>
      <c r="D542" t="str">
        <f>检查点拆解!F542</f>
        <v>D03.01.02</v>
      </c>
      <c r="E542" s="2">
        <f>--(COUNTIFS($A$2:A542,A542,$D$2:D542,D542)=1)</f>
        <v>1</v>
      </c>
    </row>
    <row r="543" spans="1:5">
      <c r="A543" t="str">
        <f>检查点拆解!A543</f>
        <v>Q0070</v>
      </c>
      <c r="B543" t="str">
        <f>检查点拆解!D543</f>
        <v>C14</v>
      </c>
      <c r="C543" s="2">
        <f>--(COUNTIFS($A$2:A543,A543,$B$2:B543,B543)=1)</f>
        <v>1</v>
      </c>
      <c r="D543" t="str">
        <f>检查点拆解!F543</f>
        <v>D05.01.03</v>
      </c>
      <c r="E543" s="2">
        <f>--(COUNTIFS($A$2:A543,A543,$D$2:D543,D543)=1)</f>
        <v>1</v>
      </c>
    </row>
    <row r="544" spans="1:5">
      <c r="A544" t="str">
        <f>检查点拆解!A544</f>
        <v>Q0070</v>
      </c>
      <c r="B544" t="str">
        <f>检查点拆解!D544</f>
        <v>C26</v>
      </c>
      <c r="C544" s="2">
        <f>--(COUNTIFS($A$2:A544,A544,$B$2:B544,B544)=1)</f>
        <v>1</v>
      </c>
      <c r="D544" t="str">
        <f>检查点拆解!F544</f>
        <v>D10.02.01</v>
      </c>
      <c r="E544" s="2">
        <f>--(COUNTIFS($A$2:A544,A544,$D$2:D544,D544)=1)</f>
        <v>1</v>
      </c>
    </row>
    <row r="545" spans="1:5">
      <c r="A545" t="str">
        <f>检查点拆解!A545</f>
        <v>Q0071</v>
      </c>
      <c r="B545" t="str">
        <f>检查点拆解!D545</f>
        <v>C27</v>
      </c>
      <c r="C545" s="2">
        <f>--(COUNTIFS($A$2:A545,A545,$B$2:B545,B545)=1)</f>
        <v>1</v>
      </c>
      <c r="D545" t="str">
        <f>检查点拆解!F545</f>
        <v>D11.02.03</v>
      </c>
      <c r="E545" s="2">
        <f>--(COUNTIFS($A$2:A545,A545,$D$2:D545,D545)=1)</f>
        <v>1</v>
      </c>
    </row>
    <row r="546" spans="1:5">
      <c r="A546" t="str">
        <f>检查点拆解!A546</f>
        <v>Q0071</v>
      </c>
      <c r="B546" t="str">
        <f>检查点拆解!D546</f>
        <v>C01</v>
      </c>
      <c r="C546" s="2">
        <f>--(COUNTIFS($A$2:A546,A546,$B$2:B546,B546)=1)</f>
        <v>1</v>
      </c>
      <c r="D546" t="str">
        <f>检查点拆解!F546</f>
        <v>D01.01.01</v>
      </c>
      <c r="E546" s="2">
        <f>--(COUNTIFS($A$2:A546,A546,$D$2:D546,D546)=1)</f>
        <v>1</v>
      </c>
    </row>
    <row r="547" spans="1:5">
      <c r="A547" t="str">
        <f>检查点拆解!A547</f>
        <v>Q0072</v>
      </c>
      <c r="B547" t="str">
        <f>检查点拆解!D547</f>
        <v>C20</v>
      </c>
      <c r="C547" s="2">
        <f>--(COUNTIFS($A$2:A547,A547,$B$2:B547,B547)=1)</f>
        <v>1</v>
      </c>
      <c r="D547" t="str">
        <f>检查点拆解!F547</f>
        <v>D07.02.04</v>
      </c>
      <c r="E547" s="2">
        <f>--(COUNTIFS($A$2:A547,A547,$D$2:D547,D547)=1)</f>
        <v>1</v>
      </c>
    </row>
    <row r="548" spans="1:5">
      <c r="A548" t="str">
        <f>检查点拆解!A548</f>
        <v>Q0072</v>
      </c>
      <c r="B548" t="str">
        <f>检查点拆解!D548</f>
        <v>C19</v>
      </c>
      <c r="C548" s="2">
        <f>--(COUNTIFS($A$2:A548,A548,$B$2:B548,B548)=1)</f>
        <v>1</v>
      </c>
      <c r="D548" t="str">
        <f>检查点拆解!F548</f>
        <v>D07.02.03</v>
      </c>
      <c r="E548" s="2">
        <f>--(COUNTIFS($A$2:A548,A548,$D$2:D548,D548)=1)</f>
        <v>1</v>
      </c>
    </row>
    <row r="549" spans="1:5">
      <c r="A549" t="str">
        <f>检查点拆解!A549</f>
        <v>Q0072</v>
      </c>
      <c r="B549" t="str">
        <f>检查点拆解!D549</f>
        <v>C27</v>
      </c>
      <c r="C549" s="2">
        <f>--(COUNTIFS($A$2:A549,A549,$B$2:B549,B549)=1)</f>
        <v>1</v>
      </c>
      <c r="D549" t="str">
        <f>检查点拆解!F549</f>
        <v>D11.01.02</v>
      </c>
      <c r="E549" s="2">
        <f>--(COUNTIFS($A$2:A549,A549,$D$2:D549,D549)=1)</f>
        <v>1</v>
      </c>
    </row>
    <row r="550" spans="1:5">
      <c r="A550" t="str">
        <f>检查点拆解!A550</f>
        <v>Q0072</v>
      </c>
      <c r="B550" t="str">
        <f>检查点拆解!D550</f>
        <v>C24</v>
      </c>
      <c r="C550" s="2">
        <f>--(COUNTIFS($A$2:A550,A550,$B$2:B550,B550)=1)</f>
        <v>1</v>
      </c>
      <c r="D550" t="str">
        <f>检查点拆解!F550</f>
        <v>D09.02.03</v>
      </c>
      <c r="E550" s="2">
        <f>--(COUNTIFS($A$2:A550,A550,$D$2:D550,D550)=1)</f>
        <v>1</v>
      </c>
    </row>
    <row r="551" spans="1:5">
      <c r="A551" t="str">
        <f>检查点拆解!A551</f>
        <v>Q0072</v>
      </c>
      <c r="B551" t="str">
        <f>检查点拆解!D551</f>
        <v>C30</v>
      </c>
      <c r="C551" s="2">
        <f>--(COUNTIFS($A$2:A551,A551,$B$2:B551,B551)=1)</f>
        <v>1</v>
      </c>
      <c r="D551" t="str">
        <f>检查点拆解!F551</f>
        <v>D15.01.04</v>
      </c>
      <c r="E551" s="2">
        <f>--(COUNTIFS($A$2:A551,A551,$D$2:D551,D551)=1)</f>
        <v>1</v>
      </c>
    </row>
    <row r="552" spans="1:5">
      <c r="A552" t="str">
        <f>检查点拆解!A552</f>
        <v>Q0072</v>
      </c>
      <c r="B552" t="str">
        <f>检查点拆解!D552</f>
        <v>C28</v>
      </c>
      <c r="C552" s="2">
        <f>--(COUNTIFS($A$2:A552,A552,$B$2:B552,B552)=1)</f>
        <v>1</v>
      </c>
      <c r="D552" t="str">
        <f>检查点拆解!F552</f>
        <v>D12.01.01</v>
      </c>
      <c r="E552" s="2">
        <f>--(COUNTIFS($A$2:A552,A552,$D$2:D552,D552)=1)</f>
        <v>1</v>
      </c>
    </row>
    <row r="553" spans="1:5">
      <c r="A553" t="str">
        <f>检查点拆解!A553</f>
        <v>Q0072</v>
      </c>
      <c r="B553" t="str">
        <f>检查点拆解!D553</f>
        <v>C14</v>
      </c>
      <c r="C553" s="2">
        <f>--(COUNTIFS($A$2:A553,A553,$B$2:B553,B553)=1)</f>
        <v>1</v>
      </c>
      <c r="D553" t="str">
        <f>检查点拆解!F553</f>
        <v>D05.01.01</v>
      </c>
      <c r="E553" s="2">
        <f>--(COUNTIFS($A$2:A553,A553,$D$2:D553,D553)=1)</f>
        <v>1</v>
      </c>
    </row>
    <row r="554" spans="1:5">
      <c r="A554" t="str">
        <f>检查点拆解!A554</f>
        <v>Q0072</v>
      </c>
      <c r="B554" t="str">
        <f>检查点拆解!D554</f>
        <v>C04</v>
      </c>
      <c r="C554" s="2">
        <f>--(COUNTIFS($A$2:A554,A554,$B$2:B554,B554)=1)</f>
        <v>1</v>
      </c>
      <c r="D554" t="str">
        <f>检查点拆解!F554</f>
        <v>D02.02.02</v>
      </c>
      <c r="E554" s="2">
        <f>--(COUNTIFS($A$2:A554,A554,$D$2:D554,D554)=1)</f>
        <v>1</v>
      </c>
    </row>
    <row r="555" spans="1:5">
      <c r="A555" t="str">
        <f>检查点拆解!A555</f>
        <v>Q0073</v>
      </c>
      <c r="B555" t="str">
        <f>检查点拆解!D555</f>
        <v>C25</v>
      </c>
      <c r="C555" s="2">
        <f>--(COUNTIFS($A$2:A555,A555,$B$2:B555,B555)=1)</f>
        <v>1</v>
      </c>
      <c r="D555" t="str">
        <f>检查点拆解!F555</f>
        <v>D10.01.02</v>
      </c>
      <c r="E555" s="2">
        <f>--(COUNTIFS($A$2:A555,A555,$D$2:D555,D555)=1)</f>
        <v>1</v>
      </c>
    </row>
    <row r="556" spans="1:5">
      <c r="A556" t="str">
        <f>检查点拆解!A556</f>
        <v>Q0073</v>
      </c>
      <c r="B556" t="str">
        <f>检查点拆解!D556</f>
        <v>C04</v>
      </c>
      <c r="C556" s="2">
        <f>--(COUNTIFS($A$2:A556,A556,$B$2:B556,B556)=1)</f>
        <v>1</v>
      </c>
      <c r="D556" t="str">
        <f>检查点拆解!F556</f>
        <v>D02.02.02</v>
      </c>
      <c r="E556" s="2">
        <f>--(COUNTIFS($A$2:A556,A556,$D$2:D556,D556)=1)</f>
        <v>1</v>
      </c>
    </row>
    <row r="557" spans="1:5">
      <c r="A557" t="str">
        <f>检查点拆解!A557</f>
        <v>Q0074</v>
      </c>
      <c r="B557" t="str">
        <f>检查点拆解!D557</f>
        <v>C04</v>
      </c>
      <c r="C557" s="2">
        <f>--(COUNTIFS($A$2:A557,A557,$B$2:B557,B557)=1)</f>
        <v>1</v>
      </c>
      <c r="D557" t="str">
        <f>检查点拆解!F557</f>
        <v>D02.02.02</v>
      </c>
      <c r="E557" s="2">
        <f>--(COUNTIFS($A$2:A557,A557,$D$2:D557,D557)=1)</f>
        <v>1</v>
      </c>
    </row>
    <row r="558" spans="1:5">
      <c r="A558" t="str">
        <f>检查点拆解!A558</f>
        <v>Q0074</v>
      </c>
      <c r="B558" t="str">
        <f>检查点拆解!D558</f>
        <v>C01</v>
      </c>
      <c r="C558" s="2">
        <f>--(COUNTIFS($A$2:A558,A558,$B$2:B558,B558)=1)</f>
        <v>1</v>
      </c>
      <c r="D558" t="str">
        <f>检查点拆解!F558</f>
        <v>D01.01.01</v>
      </c>
      <c r="E558" s="2">
        <f>--(COUNTIFS($A$2:A558,A558,$D$2:D558,D558)=1)</f>
        <v>1</v>
      </c>
    </row>
    <row r="559" spans="1:5">
      <c r="A559" t="str">
        <f>检查点拆解!A559</f>
        <v>Q0075</v>
      </c>
      <c r="B559" t="str">
        <f>检查点拆解!D559</f>
        <v>C30</v>
      </c>
      <c r="C559" s="2">
        <f>--(COUNTIFS($A$2:A559,A559,$B$2:B559,B559)=1)</f>
        <v>1</v>
      </c>
      <c r="D559" t="str">
        <f>检查点拆解!F559</f>
        <v>D15.01.02</v>
      </c>
      <c r="E559" s="2">
        <f>--(COUNTIFS($A$2:A559,A559,$D$2:D559,D559)=1)</f>
        <v>1</v>
      </c>
    </row>
    <row r="560" spans="1:5">
      <c r="A560" t="str">
        <f>检查点拆解!A560</f>
        <v>Q0075</v>
      </c>
      <c r="B560" t="str">
        <f>检查点拆解!D560</f>
        <v>C29</v>
      </c>
      <c r="C560" s="2">
        <f>--(COUNTIFS($A$2:A560,A560,$B$2:B560,B560)=1)</f>
        <v>1</v>
      </c>
      <c r="D560" t="str">
        <f>检查点拆解!F560</f>
        <v>D14.02.01</v>
      </c>
      <c r="E560" s="2">
        <f>--(COUNTIFS($A$2:A560,A560,$D$2:D560,D560)=1)</f>
        <v>1</v>
      </c>
    </row>
    <row r="561" spans="1:5">
      <c r="A561" t="str">
        <f>检查点拆解!A561</f>
        <v>Q0075</v>
      </c>
      <c r="B561" t="str">
        <f>检查点拆解!D561</f>
        <v>C27</v>
      </c>
      <c r="C561" s="2">
        <f>--(COUNTIFS($A$2:A561,A561,$B$2:B561,B561)=1)</f>
        <v>1</v>
      </c>
      <c r="D561" t="str">
        <f>检查点拆解!F561</f>
        <v>D11.02.02</v>
      </c>
      <c r="E561" s="2">
        <f>--(COUNTIFS($A$2:A561,A561,$D$2:D561,D561)=1)</f>
        <v>1</v>
      </c>
    </row>
    <row r="562" spans="1:5">
      <c r="A562" t="str">
        <f>检查点拆解!A562</f>
        <v>Q0075</v>
      </c>
      <c r="B562" t="str">
        <f>检查点拆解!D562</f>
        <v>C17</v>
      </c>
      <c r="C562" s="2">
        <f>--(COUNTIFS($A$2:A562,A562,$B$2:B562,B562)=1)</f>
        <v>1</v>
      </c>
      <c r="D562" t="str">
        <f>检查点拆解!F562</f>
        <v>D06.03.01</v>
      </c>
      <c r="E562" s="2">
        <f>--(COUNTIFS($A$2:A562,A562,$D$2:D562,D562)=1)</f>
        <v>1</v>
      </c>
    </row>
    <row r="563" spans="1:5">
      <c r="A563" t="str">
        <f>检查点拆解!A563</f>
        <v>Q0075</v>
      </c>
      <c r="B563" t="str">
        <f>检查点拆解!D563</f>
        <v>C30</v>
      </c>
      <c r="C563" s="2">
        <f>--(COUNTIFS($A$2:A563,A563,$B$2:B563,B563)=1)</f>
        <v>0</v>
      </c>
      <c r="D563" t="str">
        <f>检查点拆解!F563</f>
        <v>D15.01.03</v>
      </c>
      <c r="E563" s="2">
        <f>--(COUNTIFS($A$2:A563,A563,$D$2:D563,D563)=1)</f>
        <v>1</v>
      </c>
    </row>
    <row r="564" spans="1:5">
      <c r="A564" t="str">
        <f>检查点拆解!A564</f>
        <v>Q0075</v>
      </c>
      <c r="B564" t="str">
        <f>检查点拆解!D564</f>
        <v>C30</v>
      </c>
      <c r="C564" s="2">
        <f>--(COUNTIFS($A$2:A564,A564,$B$2:B564,B564)=1)</f>
        <v>0</v>
      </c>
      <c r="D564" t="str">
        <f>检查点拆解!F564</f>
        <v>D15.01.04</v>
      </c>
      <c r="E564" s="2">
        <f>--(COUNTIFS($A$2:A564,A564,$D$2:D564,D564)=1)</f>
        <v>1</v>
      </c>
    </row>
    <row r="565" spans="1:5">
      <c r="A565" t="str">
        <f>检查点拆解!A565</f>
        <v>Q0075</v>
      </c>
      <c r="B565" t="str">
        <f>检查点拆解!D565</f>
        <v>C28</v>
      </c>
      <c r="C565" s="2">
        <f>--(COUNTIFS($A$2:A565,A565,$B$2:B565,B565)=1)</f>
        <v>1</v>
      </c>
      <c r="D565" t="str">
        <f>检查点拆解!F565</f>
        <v>D12.01.01</v>
      </c>
      <c r="E565" s="2">
        <f>--(COUNTIFS($A$2:A565,A565,$D$2:D565,D565)=1)</f>
        <v>1</v>
      </c>
    </row>
    <row r="566" spans="1:5">
      <c r="A566" t="str">
        <f>检查点拆解!A566</f>
        <v>Q0075</v>
      </c>
      <c r="B566" t="str">
        <f>检查点拆解!D566</f>
        <v>C04</v>
      </c>
      <c r="C566" s="2">
        <f>--(COUNTIFS($A$2:A566,A566,$B$2:B566,B566)=1)</f>
        <v>1</v>
      </c>
      <c r="D566" t="str">
        <f>检查点拆解!F566</f>
        <v>D02.02.03</v>
      </c>
      <c r="E566" s="2">
        <f>--(COUNTIFS($A$2:A566,A566,$D$2:D566,D566)=1)</f>
        <v>1</v>
      </c>
    </row>
    <row r="567" spans="1:5">
      <c r="A567" t="str">
        <f>检查点拆解!A567</f>
        <v>Q0075</v>
      </c>
      <c r="B567" t="str">
        <f>检查点拆解!D567</f>
        <v>C05</v>
      </c>
      <c r="C567" s="2">
        <f>--(COUNTIFS($A$2:A567,A567,$B$2:B567,B567)=1)</f>
        <v>1</v>
      </c>
      <c r="D567" t="str">
        <f>检查点拆解!F567</f>
        <v>D02.03.02</v>
      </c>
      <c r="E567" s="2">
        <f>--(COUNTIFS($A$2:A567,A567,$D$2:D567,D567)=1)</f>
        <v>1</v>
      </c>
    </row>
    <row r="568" spans="1:5">
      <c r="A568" t="str">
        <f>检查点拆解!A568</f>
        <v>Q0076</v>
      </c>
      <c r="B568" t="str">
        <f>检查点拆解!D568</f>
        <v>C20</v>
      </c>
      <c r="C568" s="2">
        <f>--(COUNTIFS($A$2:A568,A568,$B$2:B568,B568)=1)</f>
        <v>1</v>
      </c>
      <c r="D568" t="str">
        <f>检查点拆解!F568</f>
        <v>D07.02.04</v>
      </c>
      <c r="E568" s="2">
        <f>--(COUNTIFS($A$2:A568,A568,$D$2:D568,D568)=1)</f>
        <v>1</v>
      </c>
    </row>
    <row r="569" spans="1:5">
      <c r="A569" t="str">
        <f>检查点拆解!A569</f>
        <v>Q0076</v>
      </c>
      <c r="B569" t="str">
        <f>检查点拆解!D569</f>
        <v>C30</v>
      </c>
      <c r="C569" s="2">
        <f>--(COUNTIFS($A$2:A569,A569,$B$2:B569,B569)=1)</f>
        <v>1</v>
      </c>
      <c r="D569" t="str">
        <f>检查点拆解!F569</f>
        <v>D15.01.02</v>
      </c>
      <c r="E569" s="2">
        <f>--(COUNTIFS($A$2:A569,A569,$D$2:D569,D569)=1)</f>
        <v>1</v>
      </c>
    </row>
    <row r="570" spans="1:5">
      <c r="A570" t="str">
        <f>检查点拆解!A570</f>
        <v>Q0076</v>
      </c>
      <c r="B570" t="str">
        <f>检查点拆解!D570</f>
        <v>C17</v>
      </c>
      <c r="C570" s="2">
        <f>--(COUNTIFS($A$2:A570,A570,$B$2:B570,B570)=1)</f>
        <v>1</v>
      </c>
      <c r="D570" t="str">
        <f>检查点拆解!F570</f>
        <v>D06.03.01</v>
      </c>
      <c r="E570" s="2">
        <f>--(COUNTIFS($A$2:A570,A570,$D$2:D570,D570)=1)</f>
        <v>1</v>
      </c>
    </row>
    <row r="571" spans="1:5">
      <c r="A571" t="str">
        <f>检查点拆解!A571</f>
        <v>Q0076</v>
      </c>
      <c r="B571" t="str">
        <f>检查点拆解!D571</f>
        <v>C30</v>
      </c>
      <c r="C571" s="2">
        <f>--(COUNTIFS($A$2:A571,A571,$B$2:B571,B571)=1)</f>
        <v>0</v>
      </c>
      <c r="D571" t="str">
        <f>检查点拆解!F571</f>
        <v>D15.01.03</v>
      </c>
      <c r="E571" s="2">
        <f>--(COUNTIFS($A$2:A571,A571,$D$2:D571,D571)=1)</f>
        <v>1</v>
      </c>
    </row>
    <row r="572" spans="1:5">
      <c r="A572" t="str">
        <f>检查点拆解!A572</f>
        <v>Q0076</v>
      </c>
      <c r="B572" t="str">
        <f>检查点拆解!D572</f>
        <v>C30</v>
      </c>
      <c r="C572" s="2">
        <f>--(COUNTIFS($A$2:A572,A572,$B$2:B572,B572)=1)</f>
        <v>0</v>
      </c>
      <c r="D572" t="str">
        <f>检查点拆解!F572</f>
        <v>D15.01.04</v>
      </c>
      <c r="E572" s="2">
        <f>--(COUNTIFS($A$2:A572,A572,$D$2:D572,D572)=1)</f>
        <v>1</v>
      </c>
    </row>
    <row r="573" spans="1:5">
      <c r="A573" t="str">
        <f>检查点拆解!A573</f>
        <v>Q0076</v>
      </c>
      <c r="B573" t="str">
        <f>检查点拆解!D573</f>
        <v>C28</v>
      </c>
      <c r="C573" s="2">
        <f>--(COUNTIFS($A$2:A573,A573,$B$2:B573,B573)=1)</f>
        <v>1</v>
      </c>
      <c r="D573" t="str">
        <f>检查点拆解!F573</f>
        <v>D12.02.02</v>
      </c>
      <c r="E573" s="2">
        <f>--(COUNTIFS($A$2:A573,A573,$D$2:D573,D573)=1)</f>
        <v>1</v>
      </c>
    </row>
    <row r="574" spans="1:5">
      <c r="A574" t="str">
        <f>检查点拆解!A574</f>
        <v>Q0076</v>
      </c>
      <c r="B574" t="str">
        <f>检查点拆解!D574</f>
        <v>C28</v>
      </c>
      <c r="C574" s="2">
        <f>--(COUNTIFS($A$2:A574,A574,$B$2:B574,B574)=1)</f>
        <v>0</v>
      </c>
      <c r="D574" t="str">
        <f>检查点拆解!F574</f>
        <v>D12.01.01</v>
      </c>
      <c r="E574" s="2">
        <f>--(COUNTIFS($A$2:A574,A574,$D$2:D574,D574)=1)</f>
        <v>1</v>
      </c>
    </row>
    <row r="575" spans="1:5">
      <c r="A575" t="str">
        <f>检查点拆解!A575</f>
        <v>Q0076</v>
      </c>
      <c r="B575" t="str">
        <f>检查点拆解!D575</f>
        <v>C04</v>
      </c>
      <c r="C575" s="2">
        <f>--(COUNTIFS($A$2:A575,A575,$B$2:B575,B575)=1)</f>
        <v>1</v>
      </c>
      <c r="D575" t="str">
        <f>检查点拆解!F575</f>
        <v>D02.02.03</v>
      </c>
      <c r="E575" s="2">
        <f>--(COUNTIFS($A$2:A575,A575,$D$2:D575,D575)=1)</f>
        <v>1</v>
      </c>
    </row>
    <row r="576" spans="1:5">
      <c r="A576" t="str">
        <f>检查点拆解!A576</f>
        <v>Q0077</v>
      </c>
      <c r="B576" t="str">
        <f>检查点拆解!D576</f>
        <v>C28</v>
      </c>
      <c r="C576" s="2">
        <f>--(COUNTIFS($A$2:A576,A576,$B$2:B576,B576)=1)</f>
        <v>1</v>
      </c>
      <c r="D576" t="str">
        <f>检查点拆解!F576</f>
        <v>D13.01.02</v>
      </c>
      <c r="E576" s="2">
        <f>--(COUNTIFS($A$2:A576,A576,$D$2:D576,D576)=1)</f>
        <v>1</v>
      </c>
    </row>
    <row r="577" spans="1:5">
      <c r="A577" t="str">
        <f>检查点拆解!A577</f>
        <v>Q0077</v>
      </c>
      <c r="B577" t="str">
        <f>检查点拆解!D577</f>
        <v>C28</v>
      </c>
      <c r="C577" s="2">
        <f>--(COUNTIFS($A$2:A577,A577,$B$2:B577,B577)=1)</f>
        <v>0</v>
      </c>
      <c r="D577" t="str">
        <f>检查点拆解!F577</f>
        <v>D13.02.02</v>
      </c>
      <c r="E577" s="2">
        <f>--(COUNTIFS($A$2:A577,A577,$D$2:D577,D577)=1)</f>
        <v>1</v>
      </c>
    </row>
    <row r="578" spans="1:5">
      <c r="A578" t="str">
        <f>检查点拆解!A578</f>
        <v>Q0077</v>
      </c>
      <c r="B578" t="str">
        <f>检查点拆解!D578</f>
        <v>C04</v>
      </c>
      <c r="C578" s="2">
        <f>--(COUNTIFS($A$2:A578,A578,$B$2:B578,B578)=1)</f>
        <v>1</v>
      </c>
      <c r="D578" t="str">
        <f>检查点拆解!F578</f>
        <v>D02.02.01</v>
      </c>
      <c r="E578" s="2">
        <f>--(COUNTIFS($A$2:A578,A578,$D$2:D578,D578)=1)</f>
        <v>1</v>
      </c>
    </row>
    <row r="579" spans="1:5">
      <c r="A579" t="str">
        <f>检查点拆解!A579</f>
        <v>Q0077</v>
      </c>
      <c r="B579" t="str">
        <f>检查点拆解!D579</f>
        <v>C04</v>
      </c>
      <c r="C579" s="2">
        <f>--(COUNTIFS($A$2:A579,A579,$B$2:B579,B579)=1)</f>
        <v>0</v>
      </c>
      <c r="D579" t="str">
        <f>检查点拆解!F579</f>
        <v>D02.02.03</v>
      </c>
      <c r="E579" s="2">
        <f>--(COUNTIFS($A$2:A579,A579,$D$2:D579,D579)=1)</f>
        <v>1</v>
      </c>
    </row>
    <row r="580" spans="1:5">
      <c r="A580" t="str">
        <f>检查点拆解!A580</f>
        <v>Q0078</v>
      </c>
      <c r="B580" t="str">
        <f>检查点拆解!D580</f>
        <v>C24</v>
      </c>
      <c r="C580" s="2">
        <f>--(COUNTIFS($A$2:A580,A580,$B$2:B580,B580)=1)</f>
        <v>1</v>
      </c>
      <c r="D580" t="str">
        <f>检查点拆解!F580</f>
        <v>D09.03.01</v>
      </c>
      <c r="E580" s="2">
        <f>--(COUNTIFS($A$2:A580,A580,$D$2:D580,D580)=1)</f>
        <v>1</v>
      </c>
    </row>
    <row r="581" spans="1:5">
      <c r="A581" t="str">
        <f>检查点拆解!A581</f>
        <v>Q0078</v>
      </c>
      <c r="B581" t="str">
        <f>检查点拆解!D581</f>
        <v>C23</v>
      </c>
      <c r="C581" s="2">
        <f>--(COUNTIFS($A$2:A581,A581,$B$2:B581,B581)=1)</f>
        <v>1</v>
      </c>
      <c r="D581" t="str">
        <f>检查点拆解!F581</f>
        <v>D09.01.02</v>
      </c>
      <c r="E581" s="2">
        <f>--(COUNTIFS($A$2:A581,A581,$D$2:D581,D581)=1)</f>
        <v>1</v>
      </c>
    </row>
    <row r="582" spans="1:5">
      <c r="A582" t="str">
        <f>检查点拆解!A582</f>
        <v>Q0078</v>
      </c>
      <c r="B582" t="str">
        <f>检查点拆解!D582</f>
        <v>C25</v>
      </c>
      <c r="C582" s="2">
        <f>--(COUNTIFS($A$2:A582,A582,$B$2:B582,B582)=1)</f>
        <v>1</v>
      </c>
      <c r="D582" t="str">
        <f>检查点拆解!F582</f>
        <v>D10.01.01</v>
      </c>
      <c r="E582" s="2">
        <f>--(COUNTIFS($A$2:A582,A582,$D$2:D582,D582)=1)</f>
        <v>1</v>
      </c>
    </row>
    <row r="583" spans="1:5">
      <c r="A583" t="str">
        <f>检查点拆解!A583</f>
        <v>Q0078</v>
      </c>
      <c r="B583" t="str">
        <f>检查点拆解!D583</f>
        <v>C28</v>
      </c>
      <c r="C583" s="2">
        <f>--(COUNTIFS($A$2:A583,A583,$B$2:B583,B583)=1)</f>
        <v>1</v>
      </c>
      <c r="D583" t="str">
        <f>检查点拆解!F583</f>
        <v>D12.02.01</v>
      </c>
      <c r="E583" s="2">
        <f>--(COUNTIFS($A$2:A583,A583,$D$2:D583,D583)=1)</f>
        <v>1</v>
      </c>
    </row>
    <row r="584" spans="1:5">
      <c r="A584" t="str">
        <f>检查点拆解!A584</f>
        <v>Q0078</v>
      </c>
      <c r="B584" t="str">
        <f>检查点拆解!D584</f>
        <v>C04</v>
      </c>
      <c r="C584" s="2">
        <f>--(COUNTIFS($A$2:A584,A584,$B$2:B584,B584)=1)</f>
        <v>1</v>
      </c>
      <c r="D584" t="str">
        <f>检查点拆解!F584</f>
        <v>D02.02.02</v>
      </c>
      <c r="E584" s="2">
        <f>--(COUNTIFS($A$2:A584,A584,$D$2:D584,D584)=1)</f>
        <v>1</v>
      </c>
    </row>
    <row r="585" spans="1:5">
      <c r="A585" t="str">
        <f>检查点拆解!A585</f>
        <v>Q0079</v>
      </c>
      <c r="B585" t="str">
        <f>检查点拆解!D585</f>
        <v>C24</v>
      </c>
      <c r="C585" s="2">
        <f>--(COUNTIFS($A$2:A585,A585,$B$2:B585,B585)=1)</f>
        <v>1</v>
      </c>
      <c r="D585" t="str">
        <f>检查点拆解!F585</f>
        <v>D09.02.02</v>
      </c>
      <c r="E585" s="2">
        <f>--(COUNTIFS($A$2:A585,A585,$D$2:D585,D585)=1)</f>
        <v>1</v>
      </c>
    </row>
    <row r="586" spans="1:5">
      <c r="A586" t="str">
        <f>检查点拆解!A586</f>
        <v>Q0079</v>
      </c>
      <c r="B586" t="str">
        <f>检查点拆解!D586</f>
        <v>C27</v>
      </c>
      <c r="C586" s="2">
        <f>--(COUNTIFS($A$2:A586,A586,$B$2:B586,B586)=1)</f>
        <v>1</v>
      </c>
      <c r="D586" t="str">
        <f>检查点拆解!F586</f>
        <v>D11.02.01</v>
      </c>
      <c r="E586" s="2">
        <f>--(COUNTIFS($A$2:A586,A586,$D$2:D586,D586)=1)</f>
        <v>1</v>
      </c>
    </row>
    <row r="587" spans="1:5">
      <c r="A587" t="str">
        <f>检查点拆解!A587</f>
        <v>Q0079</v>
      </c>
      <c r="B587" t="str">
        <f>检查点拆解!D587</f>
        <v>C27</v>
      </c>
      <c r="C587" s="2">
        <f>--(COUNTIFS($A$2:A587,A587,$B$2:B587,B587)=1)</f>
        <v>0</v>
      </c>
      <c r="D587" t="str">
        <f>检查点拆解!F587</f>
        <v>D11.01.02</v>
      </c>
      <c r="E587" s="2">
        <f>--(COUNTIFS($A$2:A587,A587,$D$2:D587,D587)=1)</f>
        <v>1</v>
      </c>
    </row>
    <row r="588" spans="1:5">
      <c r="A588" t="str">
        <f>检查点拆解!A588</f>
        <v>Q0079</v>
      </c>
      <c r="B588" t="str">
        <f>检查点拆解!D588</f>
        <v>C24</v>
      </c>
      <c r="C588" s="2">
        <f>--(COUNTIFS($A$2:A588,A588,$B$2:B588,B588)=1)</f>
        <v>0</v>
      </c>
      <c r="D588" t="str">
        <f>检查点拆解!F588</f>
        <v>D09.02.01</v>
      </c>
      <c r="E588" s="2">
        <f>--(COUNTIFS($A$2:A588,A588,$D$2:D588,D588)=1)</f>
        <v>1</v>
      </c>
    </row>
    <row r="589" spans="1:5">
      <c r="A589" t="str">
        <f>检查点拆解!A589</f>
        <v>Q0079</v>
      </c>
      <c r="B589" t="str">
        <f>检查点拆解!D589</f>
        <v>C30</v>
      </c>
      <c r="C589" s="2">
        <f>--(COUNTIFS($A$2:A589,A589,$B$2:B589,B589)=1)</f>
        <v>1</v>
      </c>
      <c r="D589" t="str">
        <f>检查点拆解!F589</f>
        <v>D15.01.04</v>
      </c>
      <c r="E589" s="2">
        <f>--(COUNTIFS($A$2:A589,A589,$D$2:D589,D589)=1)</f>
        <v>1</v>
      </c>
    </row>
    <row r="590" spans="1:5">
      <c r="A590" t="str">
        <f>检查点拆解!A590</f>
        <v>Q0079</v>
      </c>
      <c r="B590" t="str">
        <f>检查点拆解!D590</f>
        <v>C28</v>
      </c>
      <c r="C590" s="2">
        <f>--(COUNTIFS($A$2:A590,A590,$B$2:B590,B590)=1)</f>
        <v>1</v>
      </c>
      <c r="D590" t="str">
        <f>检查点拆解!F590</f>
        <v>D12.02.02</v>
      </c>
      <c r="E590" s="2">
        <f>--(COUNTIFS($A$2:A590,A590,$D$2:D590,D590)=1)</f>
        <v>1</v>
      </c>
    </row>
    <row r="591" spans="1:5">
      <c r="A591" t="str">
        <f>检查点拆解!A591</f>
        <v>Q0079</v>
      </c>
      <c r="B591" t="str">
        <f>检查点拆解!D591</f>
        <v>C26</v>
      </c>
      <c r="C591" s="2">
        <f>--(COUNTIFS($A$2:A591,A591,$B$2:B591,B591)=1)</f>
        <v>1</v>
      </c>
      <c r="D591" t="str">
        <f>检查点拆解!F591</f>
        <v>D10.02.01</v>
      </c>
      <c r="E591" s="2">
        <f>--(COUNTIFS($A$2:A591,A591,$D$2:D591,D591)=1)</f>
        <v>1</v>
      </c>
    </row>
    <row r="592" spans="1:5">
      <c r="A592" t="str">
        <f>检查点拆解!A592</f>
        <v>Q0079</v>
      </c>
      <c r="B592" t="str">
        <f>检查点拆解!D592</f>
        <v>C28</v>
      </c>
      <c r="C592" s="2">
        <f>--(COUNTIFS($A$2:A592,A592,$B$2:B592,B592)=1)</f>
        <v>0</v>
      </c>
      <c r="D592" t="str">
        <f>检查点拆解!F592</f>
        <v>D12.01.01</v>
      </c>
      <c r="E592" s="2">
        <f>--(COUNTIFS($A$2:A592,A592,$D$2:D592,D592)=1)</f>
        <v>1</v>
      </c>
    </row>
    <row r="593" spans="1:5">
      <c r="A593" t="str">
        <f>检查点拆解!A593</f>
        <v>Q0080</v>
      </c>
      <c r="B593" t="str">
        <f>检查点拆解!D593</f>
        <v>C30</v>
      </c>
      <c r="C593" s="2">
        <f>--(COUNTIFS($A$2:A593,A593,$B$2:B593,B593)=1)</f>
        <v>1</v>
      </c>
      <c r="D593" t="str">
        <f>检查点拆解!F593</f>
        <v>D15.01.02</v>
      </c>
      <c r="E593" s="2">
        <f>--(COUNTIFS($A$2:A593,A593,$D$2:D593,D593)=1)</f>
        <v>1</v>
      </c>
    </row>
    <row r="594" spans="1:5">
      <c r="A594" t="str">
        <f>检查点拆解!A594</f>
        <v>Q0080</v>
      </c>
      <c r="B594" t="str">
        <f>检查点拆解!D594</f>
        <v>C27</v>
      </c>
      <c r="C594" s="2">
        <f>--(COUNTIFS($A$2:A594,A594,$B$2:B594,B594)=1)</f>
        <v>1</v>
      </c>
      <c r="D594" t="str">
        <f>检查点拆解!F594</f>
        <v>D11.01.03</v>
      </c>
      <c r="E594" s="2">
        <f>--(COUNTIFS($A$2:A594,A594,$D$2:D594,D594)=1)</f>
        <v>1</v>
      </c>
    </row>
    <row r="595" spans="1:5">
      <c r="A595" t="str">
        <f>检查点拆解!A595</f>
        <v>Q0080</v>
      </c>
      <c r="B595" t="str">
        <f>检查点拆解!D595</f>
        <v>C28</v>
      </c>
      <c r="C595" s="2">
        <f>--(COUNTIFS($A$2:A595,A595,$B$2:B595,B595)=1)</f>
        <v>1</v>
      </c>
      <c r="D595" t="str">
        <f>检查点拆解!F595</f>
        <v>D12.02.02</v>
      </c>
      <c r="E595" s="2">
        <f>--(COUNTIFS($A$2:A595,A595,$D$2:D595,D595)=1)</f>
        <v>1</v>
      </c>
    </row>
    <row r="596" spans="1:5">
      <c r="A596" t="str">
        <f>检查点拆解!A596</f>
        <v>Q0080</v>
      </c>
      <c r="B596" t="str">
        <f>检查点拆解!D596</f>
        <v>C28</v>
      </c>
      <c r="C596" s="2">
        <f>--(COUNTIFS($A$2:A596,A596,$B$2:B596,B596)=1)</f>
        <v>0</v>
      </c>
      <c r="D596" t="str">
        <f>检查点拆解!F596</f>
        <v>D12.01.01</v>
      </c>
      <c r="E596" s="2">
        <f>--(COUNTIFS($A$2:A596,A596,$D$2:D596,D596)=1)</f>
        <v>1</v>
      </c>
    </row>
    <row r="597" spans="1:5">
      <c r="A597" t="str">
        <f>检查点拆解!A597</f>
        <v>Q0081</v>
      </c>
      <c r="B597" t="str">
        <f>检查点拆解!D597</f>
        <v>C30</v>
      </c>
      <c r="C597" s="2">
        <f>--(COUNTIFS($A$2:A597,A597,$B$2:B597,B597)=1)</f>
        <v>1</v>
      </c>
      <c r="D597" t="str">
        <f>检查点拆解!F597</f>
        <v>D15.01.02</v>
      </c>
      <c r="E597" s="2">
        <f>--(COUNTIFS($A$2:A597,A597,$D$2:D597,D597)=1)</f>
        <v>1</v>
      </c>
    </row>
    <row r="598" spans="1:5">
      <c r="A598" t="str">
        <f>检查点拆解!A598</f>
        <v>Q0081</v>
      </c>
      <c r="B598" t="str">
        <f>检查点拆解!D598</f>
        <v>C18</v>
      </c>
      <c r="C598" s="2">
        <f>--(COUNTIFS($A$2:A598,A598,$B$2:B598,B598)=1)</f>
        <v>1</v>
      </c>
      <c r="D598" t="str">
        <f>检查点拆解!F598</f>
        <v>D07.01.02</v>
      </c>
      <c r="E598" s="2">
        <f>--(COUNTIFS($A$2:A598,A598,$D$2:D598,D598)=1)</f>
        <v>1</v>
      </c>
    </row>
    <row r="599" spans="1:5">
      <c r="A599" t="str">
        <f>检查点拆解!A599</f>
        <v>Q0081</v>
      </c>
      <c r="B599" t="str">
        <f>检查点拆解!D599</f>
        <v>C30</v>
      </c>
      <c r="C599" s="2">
        <f>--(COUNTIFS($A$2:A599,A599,$B$2:B599,B599)=1)</f>
        <v>0</v>
      </c>
      <c r="D599" t="str">
        <f>检查点拆解!F599</f>
        <v>D15.01.03</v>
      </c>
      <c r="E599" s="2">
        <f>--(COUNTIFS($A$2:A599,A599,$D$2:D599,D599)=1)</f>
        <v>1</v>
      </c>
    </row>
    <row r="600" spans="1:5">
      <c r="A600" t="str">
        <f>检查点拆解!A600</f>
        <v>Q0081</v>
      </c>
      <c r="B600" t="str">
        <f>检查点拆解!D600</f>
        <v>C28</v>
      </c>
      <c r="C600" s="2">
        <f>--(COUNTIFS($A$2:A600,A600,$B$2:B600,B600)=1)</f>
        <v>1</v>
      </c>
      <c r="D600" t="str">
        <f>检查点拆解!F600</f>
        <v>D12.01.01</v>
      </c>
      <c r="E600" s="2">
        <f>--(COUNTIFS($A$2:A600,A600,$D$2:D600,D600)=1)</f>
        <v>1</v>
      </c>
    </row>
    <row r="601" spans="1:5">
      <c r="A601" t="str">
        <f>检查点拆解!A601</f>
        <v>Q0081</v>
      </c>
      <c r="B601" t="str">
        <f>检查点拆解!D601</f>
        <v>C14</v>
      </c>
      <c r="C601" s="2">
        <f>--(COUNTIFS($A$2:A601,A601,$B$2:B601,B601)=1)</f>
        <v>1</v>
      </c>
      <c r="D601" t="str">
        <f>检查点拆解!F601</f>
        <v>D05.01.01</v>
      </c>
      <c r="E601" s="2">
        <f>--(COUNTIFS($A$2:A601,A601,$D$2:D601,D601)=1)</f>
        <v>1</v>
      </c>
    </row>
    <row r="602" spans="1:5">
      <c r="A602" t="str">
        <f>检查点拆解!A602</f>
        <v>Q0081</v>
      </c>
      <c r="B602" t="str">
        <f>检查点拆解!D602</f>
        <v>C05</v>
      </c>
      <c r="C602" s="2">
        <f>--(COUNTIFS($A$2:A602,A602,$B$2:B602,B602)=1)</f>
        <v>1</v>
      </c>
      <c r="D602" t="str">
        <f>检查点拆解!F602</f>
        <v>D02.03.01</v>
      </c>
      <c r="E602" s="2">
        <f>--(COUNTIFS($A$2:A602,A602,$D$2:D602,D602)=1)</f>
        <v>1</v>
      </c>
    </row>
    <row r="603" spans="1:5">
      <c r="A603" t="str">
        <f>检查点拆解!A603</f>
        <v>Q0082</v>
      </c>
      <c r="B603" t="str">
        <f>检查点拆解!D603</f>
        <v>C15</v>
      </c>
      <c r="C603" s="2">
        <f>--(COUNTIFS($A$2:A603,A603,$B$2:B603,B603)=1)</f>
        <v>1</v>
      </c>
      <c r="D603" t="str">
        <f>检查点拆解!F603</f>
        <v>D05.02.03</v>
      </c>
      <c r="E603" s="2">
        <f>--(COUNTIFS($A$2:A603,A603,$D$2:D603,D603)=1)</f>
        <v>1</v>
      </c>
    </row>
    <row r="604" spans="1:5">
      <c r="A604" t="str">
        <f>检查点拆解!A604</f>
        <v>Q0082</v>
      </c>
      <c r="B604" t="str">
        <f>检查点拆解!D604</f>
        <v>C05</v>
      </c>
      <c r="C604" s="2">
        <f>--(COUNTIFS($A$2:A604,A604,$B$2:B604,B604)=1)</f>
        <v>1</v>
      </c>
      <c r="D604" t="str">
        <f>检查点拆解!F604</f>
        <v>D02.03.03</v>
      </c>
      <c r="E604" s="2">
        <f>--(COUNTIFS($A$2:A604,A604,$D$2:D604,D604)=1)</f>
        <v>1</v>
      </c>
    </row>
    <row r="605" spans="1:5">
      <c r="A605" t="str">
        <f>检查点拆解!A605</f>
        <v>Q0083</v>
      </c>
      <c r="B605" t="str">
        <f>检查点拆解!D605</f>
        <v>C23</v>
      </c>
      <c r="C605" s="2">
        <f>--(COUNTIFS($A$2:A605,A605,$B$2:B605,B605)=1)</f>
        <v>1</v>
      </c>
      <c r="D605" t="str">
        <f>检查点拆解!F605</f>
        <v>D09.01.03</v>
      </c>
      <c r="E605" s="2">
        <f>--(COUNTIFS($A$2:A605,A605,$D$2:D605,D605)=1)</f>
        <v>1</v>
      </c>
    </row>
    <row r="606" spans="1:5">
      <c r="A606" t="str">
        <f>检查点拆解!A606</f>
        <v>Q0083</v>
      </c>
      <c r="B606" t="str">
        <f>检查点拆解!D606</f>
        <v>C17</v>
      </c>
      <c r="C606" s="2">
        <f>--(COUNTIFS($A$2:A606,A606,$B$2:B606,B606)=1)</f>
        <v>1</v>
      </c>
      <c r="D606" t="str">
        <f>检查点拆解!F606</f>
        <v>D06.01.01</v>
      </c>
      <c r="E606" s="2">
        <f>--(COUNTIFS($A$2:A606,A606,$D$2:D606,D606)=1)</f>
        <v>1</v>
      </c>
    </row>
    <row r="607" spans="1:5">
      <c r="A607" t="str">
        <f>检查点拆解!A607</f>
        <v>Q0083</v>
      </c>
      <c r="B607" t="str">
        <f>检查点拆解!D607</f>
        <v>C30</v>
      </c>
      <c r="C607" s="2">
        <f>--(COUNTIFS($A$2:A607,A607,$B$2:B607,B607)=1)</f>
        <v>1</v>
      </c>
      <c r="D607" t="str">
        <f>检查点拆解!F607</f>
        <v>D15.01.04</v>
      </c>
      <c r="E607" s="2">
        <f>--(COUNTIFS($A$2:A607,A607,$D$2:D607,D607)=1)</f>
        <v>1</v>
      </c>
    </row>
    <row r="608" spans="1:5">
      <c r="A608" t="str">
        <f>检查点拆解!A608</f>
        <v>Q0083</v>
      </c>
      <c r="B608" t="str">
        <f>检查点拆解!D608</f>
        <v>C28</v>
      </c>
      <c r="C608" s="2">
        <f>--(COUNTIFS($A$2:A608,A608,$B$2:B608,B608)=1)</f>
        <v>1</v>
      </c>
      <c r="D608" t="str">
        <f>检查点拆解!F608</f>
        <v>D12.02.02</v>
      </c>
      <c r="E608" s="2">
        <f>--(COUNTIFS($A$2:A608,A608,$D$2:D608,D608)=1)</f>
        <v>1</v>
      </c>
    </row>
    <row r="609" spans="1:5">
      <c r="A609" t="str">
        <f>检查点拆解!A609</f>
        <v>Q0083</v>
      </c>
      <c r="B609" t="str">
        <f>检查点拆解!D609</f>
        <v>C26</v>
      </c>
      <c r="C609" s="2">
        <f>--(COUNTIFS($A$2:A609,A609,$B$2:B609,B609)=1)</f>
        <v>1</v>
      </c>
      <c r="D609" t="str">
        <f>检查点拆解!F609</f>
        <v>D10.02.01</v>
      </c>
      <c r="E609" s="2">
        <f>--(COUNTIFS($A$2:A609,A609,$D$2:D609,D609)=1)</f>
        <v>1</v>
      </c>
    </row>
    <row r="610" spans="1:5">
      <c r="A610" t="str">
        <f>检查点拆解!A610</f>
        <v>Q0083</v>
      </c>
      <c r="B610" t="str">
        <f>检查点拆解!D610</f>
        <v>C28</v>
      </c>
      <c r="C610" s="2">
        <f>--(COUNTIFS($A$2:A610,A610,$B$2:B610,B610)=1)</f>
        <v>0</v>
      </c>
      <c r="D610" t="str">
        <f>检查点拆解!F610</f>
        <v>D12.01.02</v>
      </c>
      <c r="E610" s="2">
        <f>--(COUNTIFS($A$2:A610,A610,$D$2:D610,D610)=1)</f>
        <v>1</v>
      </c>
    </row>
    <row r="611" spans="1:5">
      <c r="A611" t="str">
        <f>检查点拆解!A611</f>
        <v>Q0083</v>
      </c>
      <c r="B611" t="str">
        <f>检查点拆解!D611</f>
        <v>C04</v>
      </c>
      <c r="C611" s="2">
        <f>--(COUNTIFS($A$2:A611,A611,$B$2:B611,B611)=1)</f>
        <v>1</v>
      </c>
      <c r="D611" t="str">
        <f>检查点拆解!F611</f>
        <v>D02.02.01</v>
      </c>
      <c r="E611" s="2">
        <f>--(COUNTIFS($A$2:A611,A611,$D$2:D611,D611)=1)</f>
        <v>1</v>
      </c>
    </row>
    <row r="612" spans="1:5">
      <c r="A612" t="str">
        <f>检查点拆解!A612</f>
        <v>Q0083</v>
      </c>
      <c r="B612" t="str">
        <f>检查点拆解!D612</f>
        <v>C06</v>
      </c>
      <c r="C612" s="2">
        <f>--(COUNTIFS($A$2:A612,A612,$B$2:B612,B612)=1)</f>
        <v>1</v>
      </c>
      <c r="D612" t="str">
        <f>检查点拆解!F612</f>
        <v>D03.01.01</v>
      </c>
      <c r="E612" s="2">
        <f>--(COUNTIFS($A$2:A612,A612,$D$2:D612,D612)=1)</f>
        <v>1</v>
      </c>
    </row>
    <row r="613" spans="1:5">
      <c r="A613" t="str">
        <f>检查点拆解!A613</f>
        <v>Q0083</v>
      </c>
      <c r="B613" t="str">
        <f>检查点拆解!D613</f>
        <v>C05</v>
      </c>
      <c r="C613" s="2">
        <f>--(COUNTIFS($A$2:A613,A613,$B$2:B613,B613)=1)</f>
        <v>1</v>
      </c>
      <c r="D613" t="str">
        <f>检查点拆解!F613</f>
        <v>D02.03.01</v>
      </c>
      <c r="E613" s="2">
        <f>--(COUNTIFS($A$2:A613,A613,$D$2:D613,D613)=1)</f>
        <v>1</v>
      </c>
    </row>
    <row r="614" spans="1:5">
      <c r="A614" t="str">
        <f>检查点拆解!A614</f>
        <v>Q0084</v>
      </c>
      <c r="B614" t="str">
        <f>检查点拆解!D614</f>
        <v>C30</v>
      </c>
      <c r="C614" s="2">
        <f>--(COUNTIFS($A$2:A614,A614,$B$2:B614,B614)=1)</f>
        <v>1</v>
      </c>
      <c r="D614" t="str">
        <f>检查点拆解!F614</f>
        <v>D15.01.01</v>
      </c>
      <c r="E614" s="2">
        <f>--(COUNTIFS($A$2:A614,A614,$D$2:D614,D614)=1)</f>
        <v>1</v>
      </c>
    </row>
    <row r="615" spans="1:5">
      <c r="A615" t="str">
        <f>检查点拆解!A615</f>
        <v>Q0084</v>
      </c>
      <c r="B615" t="str">
        <f>检查点拆解!D615</f>
        <v>C27</v>
      </c>
      <c r="C615" s="2">
        <f>--(COUNTIFS($A$2:A615,A615,$B$2:B615,B615)=1)</f>
        <v>1</v>
      </c>
      <c r="D615" t="str">
        <f>检查点拆解!F615</f>
        <v>D11.02.01</v>
      </c>
      <c r="E615" s="2">
        <f>--(COUNTIFS($A$2:A615,A615,$D$2:D615,D615)=1)</f>
        <v>1</v>
      </c>
    </row>
    <row r="616" spans="1:5">
      <c r="A616" t="str">
        <f>检查点拆解!A616</f>
        <v>Q0084</v>
      </c>
      <c r="B616" t="str">
        <f>检查点拆解!D616</f>
        <v>C27</v>
      </c>
      <c r="C616" s="2">
        <f>--(COUNTIFS($A$2:A616,A616,$B$2:B616,B616)=1)</f>
        <v>0</v>
      </c>
      <c r="D616" t="str">
        <f>检查点拆解!F616</f>
        <v>D11.02.03</v>
      </c>
      <c r="E616" s="2">
        <f>--(COUNTIFS($A$2:A616,A616,$D$2:D616,D616)=1)</f>
        <v>1</v>
      </c>
    </row>
    <row r="617" spans="1:5">
      <c r="A617" t="str">
        <f>检查点拆解!A617</f>
        <v>Q0084</v>
      </c>
      <c r="B617" t="str">
        <f>检查点拆解!D617</f>
        <v>C27</v>
      </c>
      <c r="C617" s="2">
        <f>--(COUNTIFS($A$2:A617,A617,$B$2:B617,B617)=1)</f>
        <v>0</v>
      </c>
      <c r="D617" t="str">
        <f>检查点拆解!F617</f>
        <v>D11.01.02</v>
      </c>
      <c r="E617" s="2">
        <f>--(COUNTIFS($A$2:A617,A617,$D$2:D617,D617)=1)</f>
        <v>1</v>
      </c>
    </row>
    <row r="618" spans="1:5">
      <c r="A618" t="str">
        <f>检查点拆解!A618</f>
        <v>Q0084</v>
      </c>
      <c r="B618" t="str">
        <f>检查点拆解!D618</f>
        <v>C24</v>
      </c>
      <c r="C618" s="2">
        <f>--(COUNTIFS($A$2:A618,A618,$B$2:B618,B618)=1)</f>
        <v>1</v>
      </c>
      <c r="D618" t="str">
        <f>检查点拆解!F618</f>
        <v>D09.03.03</v>
      </c>
      <c r="E618" s="2">
        <f>--(COUNTIFS($A$2:A618,A618,$D$2:D618,D618)=1)</f>
        <v>1</v>
      </c>
    </row>
    <row r="619" spans="1:5">
      <c r="A619" t="str">
        <f>检查点拆解!A619</f>
        <v>Q0084</v>
      </c>
      <c r="B619" t="str">
        <f>检查点拆解!D619</f>
        <v>C27</v>
      </c>
      <c r="C619" s="2">
        <f>--(COUNTIFS($A$2:A619,A619,$B$2:B619,B619)=1)</f>
        <v>0</v>
      </c>
      <c r="D619" t="str">
        <f>检查点拆解!F619</f>
        <v>D11.01.03</v>
      </c>
      <c r="E619" s="2">
        <f>--(COUNTIFS($A$2:A619,A619,$D$2:D619,D619)=1)</f>
        <v>1</v>
      </c>
    </row>
    <row r="620" spans="1:5">
      <c r="A620" t="str">
        <f>检查点拆解!A620</f>
        <v>Q0084</v>
      </c>
      <c r="B620" t="str">
        <f>检查点拆解!D620</f>
        <v>C24</v>
      </c>
      <c r="C620" s="2">
        <f>--(COUNTIFS($A$2:A620,A620,$B$2:B620,B620)=1)</f>
        <v>0</v>
      </c>
      <c r="D620" t="str">
        <f>检查点拆解!F620</f>
        <v>D09.02.03</v>
      </c>
      <c r="E620" s="2">
        <f>--(COUNTIFS($A$2:A620,A620,$D$2:D620,D620)=1)</f>
        <v>1</v>
      </c>
    </row>
    <row r="621" spans="1:5">
      <c r="A621" t="str">
        <f>检查点拆解!A621</f>
        <v>Q0084</v>
      </c>
      <c r="B621" t="str">
        <f>检查点拆解!D621</f>
        <v>C17</v>
      </c>
      <c r="C621" s="2">
        <f>--(COUNTIFS($A$2:A621,A621,$B$2:B621,B621)=1)</f>
        <v>1</v>
      </c>
      <c r="D621" t="str">
        <f>检查点拆解!F621</f>
        <v>D06.01.01</v>
      </c>
      <c r="E621" s="2">
        <f>--(COUNTIFS($A$2:A621,A621,$D$2:D621,D621)=1)</f>
        <v>1</v>
      </c>
    </row>
    <row r="622" spans="1:5">
      <c r="A622" t="str">
        <f>检查点拆解!A622</f>
        <v>Q0084</v>
      </c>
      <c r="B622" t="str">
        <f>检查点拆解!D622</f>
        <v>C30</v>
      </c>
      <c r="C622" s="2">
        <f>--(COUNTIFS($A$2:A622,A622,$B$2:B622,B622)=1)</f>
        <v>0</v>
      </c>
      <c r="D622" t="str">
        <f>检查点拆解!F622</f>
        <v>D15.01.04</v>
      </c>
      <c r="E622" s="2">
        <f>--(COUNTIFS($A$2:A622,A622,$D$2:D622,D622)=1)</f>
        <v>1</v>
      </c>
    </row>
    <row r="623" spans="1:5">
      <c r="A623" t="str">
        <f>检查点拆解!A623</f>
        <v>Q0084</v>
      </c>
      <c r="B623" t="str">
        <f>检查点拆解!D623</f>
        <v>C26</v>
      </c>
      <c r="C623" s="2">
        <f>--(COUNTIFS($A$2:A623,A623,$B$2:B623,B623)=1)</f>
        <v>1</v>
      </c>
      <c r="D623" t="str">
        <f>检查点拆解!F623</f>
        <v>D10.02.02</v>
      </c>
      <c r="E623" s="2">
        <f>--(COUNTIFS($A$2:A623,A623,$D$2:D623,D623)=1)</f>
        <v>1</v>
      </c>
    </row>
    <row r="624" spans="1:5">
      <c r="A624" t="str">
        <f>检查点拆解!A624</f>
        <v>Q0085</v>
      </c>
      <c r="B624" t="str">
        <f>检查点拆解!D624</f>
        <v>C24</v>
      </c>
      <c r="C624" s="2">
        <f>--(COUNTIFS($A$2:A624,A624,$B$2:B624,B624)=1)</f>
        <v>1</v>
      </c>
      <c r="D624" t="str">
        <f>检查点拆解!F624</f>
        <v>D09.02.02</v>
      </c>
      <c r="E624" s="2">
        <f>--(COUNTIFS($A$2:A624,A624,$D$2:D624,D624)=1)</f>
        <v>1</v>
      </c>
    </row>
    <row r="625" spans="1:5">
      <c r="A625" t="str">
        <f>检查点拆解!A625</f>
        <v>Q0085</v>
      </c>
      <c r="B625" t="str">
        <f>检查点拆解!D625</f>
        <v>C24</v>
      </c>
      <c r="C625" s="2">
        <f>--(COUNTIFS($A$2:A625,A625,$B$2:B625,B625)=1)</f>
        <v>0</v>
      </c>
      <c r="D625" t="str">
        <f>检查点拆解!F625</f>
        <v>D09.03.03</v>
      </c>
      <c r="E625" s="2">
        <f>--(COUNTIFS($A$2:A625,A625,$D$2:D625,D625)=1)</f>
        <v>1</v>
      </c>
    </row>
    <row r="626" spans="1:5">
      <c r="A626" t="str">
        <f>检查点拆解!A626</f>
        <v>Q0085</v>
      </c>
      <c r="B626" t="str">
        <f>检查点拆解!D626</f>
        <v>C18</v>
      </c>
      <c r="C626" s="2">
        <f>--(COUNTIFS($A$2:A626,A626,$B$2:B626,B626)=1)</f>
        <v>1</v>
      </c>
      <c r="D626" t="str">
        <f>检查点拆解!F626</f>
        <v>D07.01.01</v>
      </c>
      <c r="E626" s="2">
        <f>--(COUNTIFS($A$2:A626,A626,$D$2:D626,D626)=1)</f>
        <v>1</v>
      </c>
    </row>
    <row r="627" spans="1:5">
      <c r="A627" t="str">
        <f>检查点拆解!A627</f>
        <v>Q0085</v>
      </c>
      <c r="B627" t="str">
        <f>检查点拆解!D627</f>
        <v>C28</v>
      </c>
      <c r="C627" s="2">
        <f>--(COUNTIFS($A$2:A627,A627,$B$2:B627,B627)=1)</f>
        <v>1</v>
      </c>
      <c r="D627" t="str">
        <f>检查点拆解!F627</f>
        <v>D12.02.02</v>
      </c>
      <c r="E627" s="2">
        <f>--(COUNTIFS($A$2:A627,A627,$D$2:D627,D627)=1)</f>
        <v>1</v>
      </c>
    </row>
    <row r="628" spans="1:5">
      <c r="A628" t="str">
        <f>检查点拆解!A628</f>
        <v>Q0085</v>
      </c>
      <c r="B628" t="str">
        <f>检查点拆解!D628</f>
        <v>C26</v>
      </c>
      <c r="C628" s="2">
        <f>--(COUNTIFS($A$2:A628,A628,$B$2:B628,B628)=1)</f>
        <v>1</v>
      </c>
      <c r="D628" t="str">
        <f>检查点拆解!F628</f>
        <v>D10.02.01</v>
      </c>
      <c r="E628" s="2">
        <f>--(COUNTIFS($A$2:A628,A628,$D$2:D628,D628)=1)</f>
        <v>1</v>
      </c>
    </row>
    <row r="629" spans="1:5">
      <c r="A629" t="str">
        <f>检查点拆解!A629</f>
        <v>Q0085</v>
      </c>
      <c r="B629" t="str">
        <f>检查点拆解!D629</f>
        <v>C28</v>
      </c>
      <c r="C629" s="2">
        <f>--(COUNTIFS($A$2:A629,A629,$B$2:B629,B629)=1)</f>
        <v>0</v>
      </c>
      <c r="D629" t="str">
        <f>检查点拆解!F629</f>
        <v>D12.01.02</v>
      </c>
      <c r="E629" s="2">
        <f>--(COUNTIFS($A$2:A629,A629,$D$2:D629,D629)=1)</f>
        <v>1</v>
      </c>
    </row>
    <row r="630" spans="1:5">
      <c r="A630" t="str">
        <f>检查点拆解!A630</f>
        <v>Q0085</v>
      </c>
      <c r="B630" t="str">
        <f>检查点拆解!D630</f>
        <v>C04</v>
      </c>
      <c r="C630" s="2">
        <f>--(COUNTIFS($A$2:A630,A630,$B$2:B630,B630)=1)</f>
        <v>1</v>
      </c>
      <c r="D630" t="str">
        <f>检查点拆解!F630</f>
        <v>D02.02.01</v>
      </c>
      <c r="E630" s="2">
        <f>--(COUNTIFS($A$2:A630,A630,$D$2:D630,D630)=1)</f>
        <v>1</v>
      </c>
    </row>
    <row r="631" spans="1:5">
      <c r="A631" t="str">
        <f>检查点拆解!A631</f>
        <v>Q0085</v>
      </c>
      <c r="B631" t="str">
        <f>检查点拆解!D631</f>
        <v>C06</v>
      </c>
      <c r="C631" s="2">
        <f>--(COUNTIFS($A$2:A631,A631,$B$2:B631,B631)=1)</f>
        <v>1</v>
      </c>
      <c r="D631" t="str">
        <f>检查点拆解!F631</f>
        <v>D03.01.01</v>
      </c>
      <c r="E631" s="2">
        <f>--(COUNTIFS($A$2:A631,A631,$D$2:D631,D631)=1)</f>
        <v>1</v>
      </c>
    </row>
    <row r="632" spans="1:5">
      <c r="A632" t="str">
        <f>检查点拆解!A632</f>
        <v>Q0086</v>
      </c>
      <c r="B632" t="str">
        <f>检查点拆解!D632</f>
        <v>C30</v>
      </c>
      <c r="C632" s="2">
        <f>--(COUNTIFS($A$2:A632,A632,$B$2:B632,B632)=1)</f>
        <v>1</v>
      </c>
      <c r="D632" t="str">
        <f>检查点拆解!F632</f>
        <v>D15.01.02</v>
      </c>
      <c r="E632" s="2">
        <f>--(COUNTIFS($A$2:A632,A632,$D$2:D632,D632)=1)</f>
        <v>1</v>
      </c>
    </row>
    <row r="633" spans="1:5">
      <c r="A633" t="str">
        <f>检查点拆解!A633</f>
        <v>Q0086</v>
      </c>
      <c r="B633" t="str">
        <f>检查点拆解!D633</f>
        <v>C11</v>
      </c>
      <c r="C633" s="2">
        <f>--(COUNTIFS($A$2:A633,A633,$B$2:B633,B633)=1)</f>
        <v>1</v>
      </c>
      <c r="D633" t="str">
        <f>检查点拆解!F633</f>
        <v>D04.03.02</v>
      </c>
      <c r="E633" s="2">
        <f>--(COUNTIFS($A$2:A633,A633,$D$2:D633,D633)=1)</f>
        <v>1</v>
      </c>
    </row>
    <row r="634" spans="1:5">
      <c r="A634" t="str">
        <f>检查点拆解!A634</f>
        <v>Q0086</v>
      </c>
      <c r="B634" t="str">
        <f>检查点拆解!D634</f>
        <v>C18</v>
      </c>
      <c r="C634" s="2">
        <f>--(COUNTIFS($A$2:A634,A634,$B$2:B634,B634)=1)</f>
        <v>1</v>
      </c>
      <c r="D634" t="str">
        <f>检查点拆解!F634</f>
        <v>D07.01.02</v>
      </c>
      <c r="E634" s="2">
        <f>--(COUNTIFS($A$2:A634,A634,$D$2:D634,D634)=1)</f>
        <v>1</v>
      </c>
    </row>
    <row r="635" spans="1:5">
      <c r="A635" t="str">
        <f>检查点拆解!A635</f>
        <v>Q0086</v>
      </c>
      <c r="B635" t="str">
        <f>检查点拆解!D635</f>
        <v>C19</v>
      </c>
      <c r="C635" s="2">
        <f>--(COUNTIFS($A$2:A635,A635,$B$2:B635,B635)=1)</f>
        <v>1</v>
      </c>
      <c r="D635" t="str">
        <f>检查点拆解!F635</f>
        <v>D07.02.03</v>
      </c>
      <c r="E635" s="2">
        <f>--(COUNTIFS($A$2:A635,A635,$D$2:D635,D635)=1)</f>
        <v>1</v>
      </c>
    </row>
    <row r="636" spans="1:5">
      <c r="A636" t="str">
        <f>检查点拆解!A636</f>
        <v>Q0086</v>
      </c>
      <c r="B636" t="str">
        <f>检查点拆解!D636</f>
        <v>C24</v>
      </c>
      <c r="C636" s="2">
        <f>--(COUNTIFS($A$2:A636,A636,$B$2:B636,B636)=1)</f>
        <v>1</v>
      </c>
      <c r="D636" t="str">
        <f>检查点拆解!F636</f>
        <v>D09.03.02</v>
      </c>
      <c r="E636" s="2">
        <f>--(COUNTIFS($A$2:A636,A636,$D$2:D636,D636)=1)</f>
        <v>1</v>
      </c>
    </row>
    <row r="637" spans="1:5">
      <c r="A637" t="str">
        <f>检查点拆解!A637</f>
        <v>Q0086</v>
      </c>
      <c r="B637" t="str">
        <f>检查点拆解!D637</f>
        <v>C30</v>
      </c>
      <c r="C637" s="2">
        <f>--(COUNTIFS($A$2:A637,A637,$B$2:B637,B637)=1)</f>
        <v>0</v>
      </c>
      <c r="D637" t="str">
        <f>检查点拆解!F637</f>
        <v>D15.01.03</v>
      </c>
      <c r="E637" s="2">
        <f>--(COUNTIFS($A$2:A637,A637,$D$2:D637,D637)=1)</f>
        <v>1</v>
      </c>
    </row>
    <row r="638" spans="1:5">
      <c r="A638" t="str">
        <f>检查点拆解!A638</f>
        <v>Q0086</v>
      </c>
      <c r="B638" t="str">
        <f>检查点拆解!D638</f>
        <v>C27</v>
      </c>
      <c r="C638" s="2">
        <f>--(COUNTIFS($A$2:A638,A638,$B$2:B638,B638)=1)</f>
        <v>1</v>
      </c>
      <c r="D638" t="str">
        <f>检查点拆解!F638</f>
        <v>D11.01.02</v>
      </c>
      <c r="E638" s="2">
        <f>--(COUNTIFS($A$2:A638,A638,$D$2:D638,D638)=1)</f>
        <v>1</v>
      </c>
    </row>
    <row r="639" spans="1:5">
      <c r="A639" t="str">
        <f>检查点拆解!A639</f>
        <v>Q0086</v>
      </c>
      <c r="B639" t="str">
        <f>检查点拆解!D639</f>
        <v>C24</v>
      </c>
      <c r="C639" s="2">
        <f>--(COUNTIFS($A$2:A639,A639,$B$2:B639,B639)=1)</f>
        <v>0</v>
      </c>
      <c r="D639" t="str">
        <f>检查点拆解!F639</f>
        <v>D09.03.03</v>
      </c>
      <c r="E639" s="2">
        <f>--(COUNTIFS($A$2:A639,A639,$D$2:D639,D639)=1)</f>
        <v>1</v>
      </c>
    </row>
    <row r="640" spans="1:5">
      <c r="A640" t="str">
        <f>检查点拆解!A640</f>
        <v>Q0086</v>
      </c>
      <c r="B640" t="str">
        <f>检查点拆解!D640</f>
        <v>C27</v>
      </c>
      <c r="C640" s="2">
        <f>--(COUNTIFS($A$2:A640,A640,$B$2:B640,B640)=1)</f>
        <v>0</v>
      </c>
      <c r="D640" t="str">
        <f>检查点拆解!F640</f>
        <v>D11.01.03</v>
      </c>
      <c r="E640" s="2">
        <f>--(COUNTIFS($A$2:A640,A640,$D$2:D640,D640)=1)</f>
        <v>1</v>
      </c>
    </row>
    <row r="641" spans="1:5">
      <c r="A641" t="str">
        <f>检查点拆解!A641</f>
        <v>Q0086</v>
      </c>
      <c r="B641" t="str">
        <f>检查点拆解!D641</f>
        <v>C24</v>
      </c>
      <c r="C641" s="2">
        <f>--(COUNTIFS($A$2:A641,A641,$B$2:B641,B641)=1)</f>
        <v>0</v>
      </c>
      <c r="D641" t="str">
        <f>检查点拆解!F641</f>
        <v>D09.02.03</v>
      </c>
      <c r="E641" s="2">
        <f>--(COUNTIFS($A$2:A641,A641,$D$2:D641,D641)=1)</f>
        <v>1</v>
      </c>
    </row>
    <row r="642" spans="1:5">
      <c r="A642" t="str">
        <f>检查点拆解!A642</f>
        <v>Q0086</v>
      </c>
      <c r="B642" t="str">
        <f>检查点拆解!D642</f>
        <v>C25</v>
      </c>
      <c r="C642" s="2">
        <f>--(COUNTIFS($A$2:A642,A642,$B$2:B642,B642)=1)</f>
        <v>1</v>
      </c>
      <c r="D642" t="str">
        <f>检查点拆解!F642</f>
        <v>D10.01.01</v>
      </c>
      <c r="E642" s="2">
        <f>--(COUNTIFS($A$2:A642,A642,$D$2:D642,D642)=1)</f>
        <v>1</v>
      </c>
    </row>
    <row r="643" spans="1:5">
      <c r="A643" t="str">
        <f>检查点拆解!A643</f>
        <v>Q0086</v>
      </c>
      <c r="B643" t="str">
        <f>检查点拆解!D643</f>
        <v>C28</v>
      </c>
      <c r="C643" s="2">
        <f>--(COUNTIFS($A$2:A643,A643,$B$2:B643,B643)=1)</f>
        <v>1</v>
      </c>
      <c r="D643" t="str">
        <f>检查点拆解!F643</f>
        <v>D12.02.01</v>
      </c>
      <c r="E643" s="2">
        <f>--(COUNTIFS($A$2:A643,A643,$D$2:D643,D643)=1)</f>
        <v>1</v>
      </c>
    </row>
    <row r="644" spans="1:5">
      <c r="A644" t="str">
        <f>检查点拆解!A644</f>
        <v>Q0087</v>
      </c>
      <c r="B644" t="str">
        <f>检查点拆解!D644</f>
        <v>C04</v>
      </c>
      <c r="C644" s="2">
        <f>--(COUNTIFS($A$2:A644,A644,$B$2:B644,B644)=1)</f>
        <v>1</v>
      </c>
      <c r="D644" t="str">
        <f>检查点拆解!F644</f>
        <v>D02.02.01</v>
      </c>
      <c r="E644" s="2">
        <f>--(COUNTIFS($A$2:A644,A644,$D$2:D644,D644)=1)</f>
        <v>1</v>
      </c>
    </row>
    <row r="645" spans="1:5">
      <c r="A645" t="str">
        <f>检查点拆解!A645</f>
        <v>Q0087</v>
      </c>
      <c r="B645" t="str">
        <f>检查点拆解!D645</f>
        <v>C01</v>
      </c>
      <c r="C645" s="2">
        <f>--(COUNTIFS($A$2:A645,A645,$B$2:B645,B645)=1)</f>
        <v>1</v>
      </c>
      <c r="D645" t="str">
        <f>检查点拆解!F645</f>
        <v>D01.01.01</v>
      </c>
      <c r="E645" s="2">
        <f>--(COUNTIFS($A$2:A645,A645,$D$2:D645,D645)=1)</f>
        <v>1</v>
      </c>
    </row>
    <row r="646" spans="1:5">
      <c r="A646" t="str">
        <f>检查点拆解!A646</f>
        <v>Q0088</v>
      </c>
      <c r="B646" t="str">
        <f>检查点拆解!D646</f>
        <v>C12</v>
      </c>
      <c r="C646" s="2">
        <f>--(COUNTIFS($A$2:A646,A646,$B$2:B646,B646)=1)</f>
        <v>1</v>
      </c>
      <c r="D646" t="str">
        <f>检查点拆解!F646</f>
        <v>D04.03.04</v>
      </c>
      <c r="E646" s="2">
        <f>--(COUNTIFS($A$2:A646,A646,$D$2:D646,D646)=1)</f>
        <v>1</v>
      </c>
    </row>
    <row r="647" spans="1:5">
      <c r="A647" t="str">
        <f>检查点拆解!A647</f>
        <v>Q0088</v>
      </c>
      <c r="B647" t="str">
        <f>检查点拆解!D647</f>
        <v>C23</v>
      </c>
      <c r="C647" s="2">
        <f>--(COUNTIFS($A$2:A647,A647,$B$2:B647,B647)=1)</f>
        <v>1</v>
      </c>
      <c r="D647" t="str">
        <f>检查点拆解!F647</f>
        <v>D09.01.01</v>
      </c>
      <c r="E647" s="2">
        <f>--(COUNTIFS($A$2:A647,A647,$D$2:D647,D647)=1)</f>
        <v>1</v>
      </c>
    </row>
    <row r="648" spans="1:5">
      <c r="A648" t="str">
        <f>检查点拆解!A648</f>
        <v>Q0088</v>
      </c>
      <c r="B648" t="str">
        <f>检查点拆解!D648</f>
        <v>C08</v>
      </c>
      <c r="C648" s="2">
        <f>--(COUNTIFS($A$2:A648,A648,$B$2:B648,B648)=1)</f>
        <v>1</v>
      </c>
      <c r="D648" t="str">
        <f>检查点拆解!F648</f>
        <v>D04.01.02</v>
      </c>
      <c r="E648" s="2">
        <f>--(COUNTIFS($A$2:A648,A648,$D$2:D648,D648)=1)</f>
        <v>1</v>
      </c>
    </row>
    <row r="649" spans="1:5">
      <c r="A649" t="str">
        <f>检查点拆解!A649</f>
        <v>Q0088</v>
      </c>
      <c r="B649" t="str">
        <f>检查点拆解!D649</f>
        <v>C28</v>
      </c>
      <c r="C649" s="2">
        <f>--(COUNTIFS($A$2:A649,A649,$B$2:B649,B649)=1)</f>
        <v>1</v>
      </c>
      <c r="D649" t="str">
        <f>检查点拆解!F649</f>
        <v>D12.01.01</v>
      </c>
      <c r="E649" s="2">
        <f>--(COUNTIFS($A$2:A649,A649,$D$2:D649,D649)=1)</f>
        <v>1</v>
      </c>
    </row>
    <row r="650" spans="1:5">
      <c r="A650" t="str">
        <f>检查点拆解!A650</f>
        <v>Q0088</v>
      </c>
      <c r="B650" t="str">
        <f>检查点拆解!D650</f>
        <v>C17</v>
      </c>
      <c r="C650" s="2">
        <f>--(COUNTIFS($A$2:A650,A650,$B$2:B650,B650)=1)</f>
        <v>1</v>
      </c>
      <c r="D650" t="str">
        <f>检查点拆解!F650</f>
        <v>D06.03.02</v>
      </c>
      <c r="E650" s="2">
        <f>--(COUNTIFS($A$2:A650,A650,$D$2:D650,D650)=1)</f>
        <v>1</v>
      </c>
    </row>
    <row r="651" spans="1:5">
      <c r="A651" t="str">
        <f>检查点拆解!A651</f>
        <v>Q0088</v>
      </c>
      <c r="B651" t="str">
        <f>检查点拆解!D651</f>
        <v>C03</v>
      </c>
      <c r="C651" s="2">
        <f>--(COUNTIFS($A$2:A651,A651,$B$2:B651,B651)=1)</f>
        <v>1</v>
      </c>
      <c r="D651" t="str">
        <f>检查点拆解!F651</f>
        <v>D02.01.03</v>
      </c>
      <c r="E651" s="2">
        <f>--(COUNTIFS($A$2:A651,A651,$D$2:D651,D651)=1)</f>
        <v>1</v>
      </c>
    </row>
    <row r="652" spans="1:5">
      <c r="A652" t="str">
        <f>检查点拆解!A652</f>
        <v>Q0088</v>
      </c>
      <c r="B652" t="str">
        <f>检查点拆解!D652</f>
        <v>C05</v>
      </c>
      <c r="C652" s="2">
        <f>--(COUNTIFS($A$2:A652,A652,$B$2:B652,B652)=1)</f>
        <v>1</v>
      </c>
      <c r="D652" t="str">
        <f>检查点拆解!F652</f>
        <v>D02.03.02</v>
      </c>
      <c r="E652" s="2">
        <f>--(COUNTIFS($A$2:A652,A652,$D$2:D652,D652)=1)</f>
        <v>1</v>
      </c>
    </row>
    <row r="653" spans="1:5">
      <c r="A653" t="str">
        <f>检查点拆解!A653</f>
        <v>Q0088</v>
      </c>
      <c r="B653" t="str">
        <f>检查点拆解!D653</f>
        <v>C08</v>
      </c>
      <c r="C653" s="2">
        <f>--(COUNTIFS($A$2:A653,A653,$B$2:B653,B653)=1)</f>
        <v>0</v>
      </c>
      <c r="D653" t="str">
        <f>检查点拆解!F653</f>
        <v>D03.03.01</v>
      </c>
      <c r="E653" s="2">
        <f>--(COUNTIFS($A$2:A653,A653,$D$2:D653,D653)=1)</f>
        <v>1</v>
      </c>
    </row>
    <row r="654" spans="1:5">
      <c r="A654" t="str">
        <f>检查点拆解!A654</f>
        <v>Q0089</v>
      </c>
      <c r="B654" t="str">
        <f>检查点拆解!D654</f>
        <v>C27</v>
      </c>
      <c r="C654" s="2">
        <f>--(COUNTIFS($A$2:A654,A654,$B$2:B654,B654)=1)</f>
        <v>1</v>
      </c>
      <c r="D654" t="str">
        <f>检查点拆解!F654</f>
        <v>D11.02.01</v>
      </c>
      <c r="E654" s="2">
        <f>--(COUNTIFS($A$2:A654,A654,$D$2:D654,D654)=1)</f>
        <v>1</v>
      </c>
    </row>
    <row r="655" spans="1:5">
      <c r="A655" t="str">
        <f>检查点拆解!A655</f>
        <v>Q0089</v>
      </c>
      <c r="B655" t="str">
        <f>检查点拆解!D655</f>
        <v>C27</v>
      </c>
      <c r="C655" s="2">
        <f>--(COUNTIFS($A$2:A655,A655,$B$2:B655,B655)=1)</f>
        <v>0</v>
      </c>
      <c r="D655" t="str">
        <f>检查点拆解!F655</f>
        <v>D11.01.02</v>
      </c>
      <c r="E655" s="2">
        <f>--(COUNTIFS($A$2:A655,A655,$D$2:D655,D655)=1)</f>
        <v>1</v>
      </c>
    </row>
    <row r="656" spans="1:5">
      <c r="A656" t="str">
        <f>检查点拆解!A656</f>
        <v>Q0089</v>
      </c>
      <c r="B656" t="str">
        <f>检查点拆解!D656</f>
        <v>C04</v>
      </c>
      <c r="C656" s="2">
        <f>--(COUNTIFS($A$2:A656,A656,$B$2:B656,B656)=1)</f>
        <v>1</v>
      </c>
      <c r="D656" t="str">
        <f>检查点拆解!F656</f>
        <v>D02.02.03</v>
      </c>
      <c r="E656" s="2">
        <f>--(COUNTIFS($A$2:A656,A656,$D$2:D656,D656)=1)</f>
        <v>1</v>
      </c>
    </row>
    <row r="657" spans="1:5">
      <c r="A657" t="str">
        <f>检查点拆解!A657</f>
        <v>Q0089</v>
      </c>
      <c r="B657" t="str">
        <f>检查点拆解!D657</f>
        <v>C05</v>
      </c>
      <c r="C657" s="2">
        <f>--(COUNTIFS($A$2:A657,A657,$B$2:B657,B657)=1)</f>
        <v>1</v>
      </c>
      <c r="D657" t="str">
        <f>检查点拆解!F657</f>
        <v>D02.03.03</v>
      </c>
      <c r="E657" s="2">
        <f>--(COUNTIFS($A$2:A657,A657,$D$2:D657,D657)=1)</f>
        <v>1</v>
      </c>
    </row>
    <row r="658" spans="1:5">
      <c r="A658" t="str">
        <f>检查点拆解!A658</f>
        <v>Q0089</v>
      </c>
      <c r="B658" t="str">
        <f>检查点拆解!D658</f>
        <v>C03</v>
      </c>
      <c r="C658" s="2">
        <f>--(COUNTIFS($A$2:A658,A658,$B$2:B658,B658)=1)</f>
        <v>1</v>
      </c>
      <c r="D658" t="str">
        <f>检查点拆解!F658</f>
        <v>D02.01.01</v>
      </c>
      <c r="E658" s="2">
        <f>--(COUNTIFS($A$2:A658,A658,$D$2:D658,D658)=1)</f>
        <v>1</v>
      </c>
    </row>
    <row r="659" spans="1:5">
      <c r="A659" t="str">
        <f>检查点拆解!A659</f>
        <v>Q0089</v>
      </c>
      <c r="B659" t="str">
        <f>检查点拆解!D659</f>
        <v>C08</v>
      </c>
      <c r="C659" s="2">
        <f>--(COUNTIFS($A$2:A659,A659,$B$2:B659,B659)=1)</f>
        <v>1</v>
      </c>
      <c r="D659" t="str">
        <f>检查点拆解!F659</f>
        <v>D03.03.01</v>
      </c>
      <c r="E659" s="2">
        <f>--(COUNTIFS($A$2:A659,A659,$D$2:D659,D659)=1)</f>
        <v>1</v>
      </c>
    </row>
    <row r="660" spans="1:5">
      <c r="A660" t="str">
        <f>检查点拆解!A660</f>
        <v>Q0090</v>
      </c>
      <c r="B660" t="str">
        <f>检查点拆解!D660</f>
        <v>C30</v>
      </c>
      <c r="C660" s="2">
        <f>--(COUNTIFS($A$2:A660,A660,$B$2:B660,B660)=1)</f>
        <v>1</v>
      </c>
      <c r="D660" t="str">
        <f>检查点拆解!F660</f>
        <v>D15.01.02</v>
      </c>
      <c r="E660" s="2">
        <f>--(COUNTIFS($A$2:A660,A660,$D$2:D660,D660)=1)</f>
        <v>1</v>
      </c>
    </row>
    <row r="661" spans="1:5">
      <c r="A661" t="str">
        <f>检查点拆解!A661</f>
        <v>Q0090</v>
      </c>
      <c r="B661" t="str">
        <f>检查点拆解!D661</f>
        <v>C24</v>
      </c>
      <c r="C661" s="2">
        <f>--(COUNTIFS($A$2:A661,A661,$B$2:B661,B661)=1)</f>
        <v>1</v>
      </c>
      <c r="D661" t="str">
        <f>检查点拆解!F661</f>
        <v>D09.02.02</v>
      </c>
      <c r="E661" s="2">
        <f>--(COUNTIFS($A$2:A661,A661,$D$2:D661,D661)=1)</f>
        <v>1</v>
      </c>
    </row>
    <row r="662" spans="1:5">
      <c r="A662" t="str">
        <f>检查点拆解!A662</f>
        <v>Q0090</v>
      </c>
      <c r="B662" t="str">
        <f>检查点拆解!D662</f>
        <v>C27</v>
      </c>
      <c r="C662" s="2">
        <f>--(COUNTIFS($A$2:A662,A662,$B$2:B662,B662)=1)</f>
        <v>1</v>
      </c>
      <c r="D662" t="str">
        <f>检查点拆解!F662</f>
        <v>D11.02.01</v>
      </c>
      <c r="E662" s="2">
        <f>--(COUNTIFS($A$2:A662,A662,$D$2:D662,D662)=1)</f>
        <v>1</v>
      </c>
    </row>
    <row r="663" spans="1:5">
      <c r="A663" t="str">
        <f>检查点拆解!A663</f>
        <v>Q0090</v>
      </c>
      <c r="B663" t="str">
        <f>检查点拆解!D663</f>
        <v>C27</v>
      </c>
      <c r="C663" s="2">
        <f>--(COUNTIFS($A$2:A663,A663,$B$2:B663,B663)=1)</f>
        <v>0</v>
      </c>
      <c r="D663" t="str">
        <f>检查点拆解!F663</f>
        <v>D11.02.03</v>
      </c>
      <c r="E663" s="2">
        <f>--(COUNTIFS($A$2:A663,A663,$D$2:D663,D663)=1)</f>
        <v>1</v>
      </c>
    </row>
    <row r="664" spans="1:5">
      <c r="A664" t="str">
        <f>检查点拆解!A664</f>
        <v>Q0090</v>
      </c>
      <c r="B664" t="str">
        <f>检查点拆解!D664</f>
        <v>C30</v>
      </c>
      <c r="C664" s="2">
        <f>--(COUNTIFS($A$2:A664,A664,$B$2:B664,B664)=1)</f>
        <v>0</v>
      </c>
      <c r="D664" t="str">
        <f>检查点拆解!F664</f>
        <v>D15.01.03</v>
      </c>
      <c r="E664" s="2">
        <f>--(COUNTIFS($A$2:A664,A664,$D$2:D664,D664)=1)</f>
        <v>1</v>
      </c>
    </row>
    <row r="665" spans="1:5">
      <c r="A665" t="str">
        <f>检查点拆解!A665</f>
        <v>Q0090</v>
      </c>
      <c r="B665" t="str">
        <f>检查点拆解!D665</f>
        <v>C19</v>
      </c>
      <c r="C665" s="2">
        <f>--(COUNTIFS($A$2:A665,A665,$B$2:B665,B665)=1)</f>
        <v>1</v>
      </c>
      <c r="D665" t="str">
        <f>检查点拆解!F665</f>
        <v>D07.02.02</v>
      </c>
      <c r="E665" s="2">
        <f>--(COUNTIFS($A$2:A665,A665,$D$2:D665,D665)=1)</f>
        <v>1</v>
      </c>
    </row>
    <row r="666" spans="1:5">
      <c r="A666" t="str">
        <f>检查点拆解!A666</f>
        <v>Q0090</v>
      </c>
      <c r="B666" t="str">
        <f>检查点拆解!D666</f>
        <v>C27</v>
      </c>
      <c r="C666" s="2">
        <f>--(COUNTIFS($A$2:A666,A666,$B$2:B666,B666)=1)</f>
        <v>0</v>
      </c>
      <c r="D666" t="str">
        <f>检查点拆解!F666</f>
        <v>D11.01.02</v>
      </c>
      <c r="E666" s="2">
        <f>--(COUNTIFS($A$2:A666,A666,$D$2:D666,D666)=1)</f>
        <v>1</v>
      </c>
    </row>
    <row r="667" spans="1:5">
      <c r="A667" t="str">
        <f>检查点拆解!A667</f>
        <v>Q0090</v>
      </c>
      <c r="B667" t="str">
        <f>检查点拆解!D667</f>
        <v>C30</v>
      </c>
      <c r="C667" s="2">
        <f>--(COUNTIFS($A$2:A667,A667,$B$2:B667,B667)=1)</f>
        <v>0</v>
      </c>
      <c r="D667" t="str">
        <f>检查点拆解!F667</f>
        <v>D15.01.04</v>
      </c>
      <c r="E667" s="2">
        <f>--(COUNTIFS($A$2:A667,A667,$D$2:D667,D667)=1)</f>
        <v>1</v>
      </c>
    </row>
    <row r="668" spans="1:5">
      <c r="A668" t="str">
        <f>检查点拆解!A668</f>
        <v>Q0091</v>
      </c>
      <c r="B668" t="str">
        <f>检查点拆解!D668</f>
        <v>C30</v>
      </c>
      <c r="C668" s="2">
        <f>--(COUNTIFS($A$2:A668,A668,$B$2:B668,B668)=1)</f>
        <v>1</v>
      </c>
      <c r="D668" t="str">
        <f>检查点拆解!F668</f>
        <v>D15.01.02</v>
      </c>
      <c r="E668" s="2">
        <f>--(COUNTIFS($A$2:A668,A668,$D$2:D668,D668)=1)</f>
        <v>1</v>
      </c>
    </row>
    <row r="669" spans="1:5">
      <c r="A669" t="str">
        <f>检查点拆解!A669</f>
        <v>Q0091</v>
      </c>
      <c r="B669" t="str">
        <f>检查点拆解!D669</f>
        <v>C29</v>
      </c>
      <c r="C669" s="2">
        <f>--(COUNTIFS($A$2:A669,A669,$B$2:B669,B669)=1)</f>
        <v>1</v>
      </c>
      <c r="D669" t="str">
        <f>检查点拆解!F669</f>
        <v>D14.02.01</v>
      </c>
      <c r="E669" s="2">
        <f>--(COUNTIFS($A$2:A669,A669,$D$2:D669,D669)=1)</f>
        <v>1</v>
      </c>
    </row>
    <row r="670" spans="1:5">
      <c r="A670" t="str">
        <f>检查点拆解!A670</f>
        <v>Q0091</v>
      </c>
      <c r="B670" t="str">
        <f>检查点拆解!D670</f>
        <v>C12</v>
      </c>
      <c r="C670" s="2">
        <f>--(COUNTIFS($A$2:A670,A670,$B$2:B670,B670)=1)</f>
        <v>1</v>
      </c>
      <c r="D670" t="str">
        <f>检查点拆解!F670</f>
        <v>D04.03.03</v>
      </c>
      <c r="E670" s="2">
        <f>--(COUNTIFS($A$2:A670,A670,$D$2:D670,D670)=1)</f>
        <v>1</v>
      </c>
    </row>
    <row r="671" spans="1:5">
      <c r="A671" t="str">
        <f>检查点拆解!A671</f>
        <v>Q0091</v>
      </c>
      <c r="B671" t="str">
        <f>检查点拆解!D671</f>
        <v>C25</v>
      </c>
      <c r="C671" s="2">
        <f>--(COUNTIFS($A$2:A671,A671,$B$2:B671,B671)=1)</f>
        <v>1</v>
      </c>
      <c r="D671" t="str">
        <f>检查点拆解!F671</f>
        <v>D10.01.03</v>
      </c>
      <c r="E671" s="2">
        <f>--(COUNTIFS($A$2:A671,A671,$D$2:D671,D671)=1)</f>
        <v>1</v>
      </c>
    </row>
    <row r="672" spans="1:5">
      <c r="A672" t="str">
        <f>检查点拆解!A672</f>
        <v>Q0091</v>
      </c>
      <c r="B672" t="str">
        <f>检查点拆解!D672</f>
        <v>C30</v>
      </c>
      <c r="C672" s="2">
        <f>--(COUNTIFS($A$2:A672,A672,$B$2:B672,B672)=1)</f>
        <v>0</v>
      </c>
      <c r="D672" t="str">
        <f>检查点拆解!F672</f>
        <v>D15.01.03</v>
      </c>
      <c r="E672" s="2">
        <f>--(COUNTIFS($A$2:A672,A672,$D$2:D672,D672)=1)</f>
        <v>1</v>
      </c>
    </row>
    <row r="673" spans="1:5">
      <c r="A673" t="str">
        <f>检查点拆解!A673</f>
        <v>Q0091</v>
      </c>
      <c r="B673" t="str">
        <f>检查点拆解!D673</f>
        <v>C18</v>
      </c>
      <c r="C673" s="2">
        <f>--(COUNTIFS($A$2:A673,A673,$B$2:B673,B673)=1)</f>
        <v>1</v>
      </c>
      <c r="D673" t="str">
        <f>检查点拆解!F673</f>
        <v>D07.01.01</v>
      </c>
      <c r="E673" s="2">
        <f>--(COUNTIFS($A$2:A673,A673,$D$2:D673,D673)=1)</f>
        <v>1</v>
      </c>
    </row>
    <row r="674" spans="1:5">
      <c r="A674" t="str">
        <f>检查点拆解!A674</f>
        <v>Q0091</v>
      </c>
      <c r="B674" t="str">
        <f>检查点拆解!D674</f>
        <v>C15</v>
      </c>
      <c r="C674" s="2">
        <f>--(COUNTIFS($A$2:A674,A674,$B$2:B674,B674)=1)</f>
        <v>1</v>
      </c>
      <c r="D674" t="str">
        <f>检查点拆解!F674</f>
        <v>D05.02.02</v>
      </c>
      <c r="E674" s="2">
        <f>--(COUNTIFS($A$2:A674,A674,$D$2:D674,D674)=1)</f>
        <v>1</v>
      </c>
    </row>
    <row r="675" spans="1:5">
      <c r="A675" t="str">
        <f>检查点拆解!A675</f>
        <v>Q0091</v>
      </c>
      <c r="B675" t="str">
        <f>检查点拆解!D675</f>
        <v>C25</v>
      </c>
      <c r="C675" s="2">
        <f>--(COUNTIFS($A$2:A675,A675,$B$2:B675,B675)=1)</f>
        <v>0</v>
      </c>
      <c r="D675" t="str">
        <f>检查点拆解!F675</f>
        <v>D10.01.01</v>
      </c>
      <c r="E675" s="2">
        <f>--(COUNTIFS($A$2:A675,A675,$D$2:D675,D675)=1)</f>
        <v>1</v>
      </c>
    </row>
    <row r="676" spans="1:5">
      <c r="A676" t="str">
        <f>检查点拆解!A676</f>
        <v>Q0091</v>
      </c>
      <c r="B676" t="str">
        <f>检查点拆解!D676</f>
        <v>C25</v>
      </c>
      <c r="C676" s="2">
        <f>--(COUNTIFS($A$2:A676,A676,$B$2:B676,B676)=1)</f>
        <v>0</v>
      </c>
      <c r="D676" t="str">
        <f>检查点拆解!F676</f>
        <v>D10.01.04</v>
      </c>
      <c r="E676" s="2">
        <f>--(COUNTIFS($A$2:A676,A676,$D$2:D676,D676)=1)</f>
        <v>1</v>
      </c>
    </row>
    <row r="677" spans="1:5">
      <c r="A677" t="str">
        <f>检查点拆解!A677</f>
        <v>Q0091</v>
      </c>
      <c r="B677" t="str">
        <f>检查点拆解!D677</f>
        <v>C28</v>
      </c>
      <c r="C677" s="2">
        <f>--(COUNTIFS($A$2:A677,A677,$B$2:B677,B677)=1)</f>
        <v>1</v>
      </c>
      <c r="D677" t="str">
        <f>检查点拆解!F677</f>
        <v>D12.02.01</v>
      </c>
      <c r="E677" s="2">
        <f>--(COUNTIFS($A$2:A677,A677,$D$2:D677,D677)=1)</f>
        <v>1</v>
      </c>
    </row>
    <row r="678" spans="1:5">
      <c r="A678" t="str">
        <f>检查点拆解!A678</f>
        <v>Q0092</v>
      </c>
      <c r="B678" t="str">
        <f>检查点拆解!D678</f>
        <v>C30</v>
      </c>
      <c r="C678" s="2">
        <f>--(COUNTIFS($A$2:A678,A678,$B$2:B678,B678)=1)</f>
        <v>1</v>
      </c>
      <c r="D678" t="str">
        <f>检查点拆解!F678</f>
        <v>D15.01.02</v>
      </c>
      <c r="E678" s="2">
        <f>--(COUNTIFS($A$2:A678,A678,$D$2:D678,D678)=1)</f>
        <v>1</v>
      </c>
    </row>
    <row r="679" spans="1:5">
      <c r="A679" t="str">
        <f>检查点拆解!A679</f>
        <v>Q0092</v>
      </c>
      <c r="B679" t="str">
        <f>检查点拆解!D679</f>
        <v>C18</v>
      </c>
      <c r="C679" s="2">
        <f>--(COUNTIFS($A$2:A679,A679,$B$2:B679,B679)=1)</f>
        <v>1</v>
      </c>
      <c r="D679" t="str">
        <f>检查点拆解!F679</f>
        <v>D07.01.02</v>
      </c>
      <c r="E679" s="2">
        <f>--(COUNTIFS($A$2:A679,A679,$D$2:D679,D679)=1)</f>
        <v>1</v>
      </c>
    </row>
    <row r="680" spans="1:5">
      <c r="A680" t="str">
        <f>检查点拆解!A680</f>
        <v>Q0092</v>
      </c>
      <c r="B680" t="str">
        <f>检查点拆解!D680</f>
        <v>C25</v>
      </c>
      <c r="C680" s="2">
        <f>--(COUNTIFS($A$2:A680,A680,$B$2:B680,B680)=1)</f>
        <v>1</v>
      </c>
      <c r="D680" t="str">
        <f>检查点拆解!F680</f>
        <v>D10.01.03</v>
      </c>
      <c r="E680" s="2">
        <f>--(COUNTIFS($A$2:A680,A680,$D$2:D680,D680)=1)</f>
        <v>1</v>
      </c>
    </row>
    <row r="681" spans="1:5">
      <c r="A681" t="str">
        <f>检查点拆解!A681</f>
        <v>Q0092</v>
      </c>
      <c r="B681" t="str">
        <f>检查点拆解!D681</f>
        <v>C27</v>
      </c>
      <c r="C681" s="2">
        <f>--(COUNTIFS($A$2:A681,A681,$B$2:B681,B681)=1)</f>
        <v>1</v>
      </c>
      <c r="D681" t="str">
        <f>检查点拆解!F681</f>
        <v>D11.02.03</v>
      </c>
      <c r="E681" s="2">
        <f>--(COUNTIFS($A$2:A681,A681,$D$2:D681,D681)=1)</f>
        <v>1</v>
      </c>
    </row>
    <row r="682" spans="1:5">
      <c r="A682" t="str">
        <f>检查点拆解!A682</f>
        <v>Q0092</v>
      </c>
      <c r="B682" t="str">
        <f>检查点拆解!D682</f>
        <v>C30</v>
      </c>
      <c r="C682" s="2">
        <f>--(COUNTIFS($A$2:A682,A682,$B$2:B682,B682)=1)</f>
        <v>0</v>
      </c>
      <c r="D682" t="str">
        <f>检查点拆解!F682</f>
        <v>D15.01.03</v>
      </c>
      <c r="E682" s="2">
        <f>--(COUNTIFS($A$2:A682,A682,$D$2:D682,D682)=1)</f>
        <v>1</v>
      </c>
    </row>
    <row r="683" spans="1:5">
      <c r="A683" t="str">
        <f>检查点拆解!A683</f>
        <v>Q0092</v>
      </c>
      <c r="B683" t="str">
        <f>检查点拆解!D683</f>
        <v>C24</v>
      </c>
      <c r="C683" s="2">
        <f>--(COUNTIFS($A$2:A683,A683,$B$2:B683,B683)=1)</f>
        <v>1</v>
      </c>
      <c r="D683" t="str">
        <f>检查点拆解!F683</f>
        <v>D09.03.03</v>
      </c>
      <c r="E683" s="2">
        <f>--(COUNTIFS($A$2:A683,A683,$D$2:D683,D683)=1)</f>
        <v>1</v>
      </c>
    </row>
    <row r="684" spans="1:5">
      <c r="A684" t="str">
        <f>检查点拆解!A684</f>
        <v>Q0092</v>
      </c>
      <c r="B684" t="str">
        <f>检查点拆解!D684</f>
        <v>C25</v>
      </c>
      <c r="C684" s="2">
        <f>--(COUNTIFS($A$2:A684,A684,$B$2:B684,B684)=1)</f>
        <v>0</v>
      </c>
      <c r="D684" t="str">
        <f>检查点拆解!F684</f>
        <v>D10.01.01</v>
      </c>
      <c r="E684" s="2">
        <f>--(COUNTIFS($A$2:A684,A684,$D$2:D684,D684)=1)</f>
        <v>1</v>
      </c>
    </row>
    <row r="685" spans="1:5">
      <c r="A685" t="str">
        <f>检查点拆解!A685</f>
        <v>Q0092</v>
      </c>
      <c r="B685" t="str">
        <f>检查点拆解!D685</f>
        <v>C17</v>
      </c>
      <c r="C685" s="2">
        <f>--(COUNTIFS($A$2:A685,A685,$B$2:B685,B685)=1)</f>
        <v>1</v>
      </c>
      <c r="D685" t="str">
        <f>检查点拆解!F685</f>
        <v>D06.01.01</v>
      </c>
      <c r="E685" s="2">
        <f>--(COUNTIFS($A$2:A685,A685,$D$2:D685,D685)=1)</f>
        <v>1</v>
      </c>
    </row>
    <row r="686" spans="1:5">
      <c r="A686" t="str">
        <f>检查点拆解!A686</f>
        <v>Q0092</v>
      </c>
      <c r="B686" t="str">
        <f>检查点拆解!D686</f>
        <v>C23</v>
      </c>
      <c r="C686" s="2">
        <f>--(COUNTIFS($A$2:A686,A686,$B$2:B686,B686)=1)</f>
        <v>1</v>
      </c>
      <c r="D686" t="str">
        <f>检查点拆解!F686</f>
        <v>D09.01.01</v>
      </c>
      <c r="E686" s="2">
        <f>--(COUNTIFS($A$2:A686,A686,$D$2:D686,D686)=1)</f>
        <v>1</v>
      </c>
    </row>
    <row r="687" spans="1:5">
      <c r="A687" t="str">
        <f>检查点拆解!A687</f>
        <v>Q0092</v>
      </c>
      <c r="B687" t="str">
        <f>检查点拆解!D687</f>
        <v>C28</v>
      </c>
      <c r="C687" s="2">
        <f>--(COUNTIFS($A$2:A687,A687,$B$2:B687,B687)=1)</f>
        <v>1</v>
      </c>
      <c r="D687" t="str">
        <f>检查点拆解!F687</f>
        <v>D12.02.01</v>
      </c>
      <c r="E687" s="2">
        <f>--(COUNTIFS($A$2:A687,A687,$D$2:D687,D687)=1)</f>
        <v>1</v>
      </c>
    </row>
    <row r="688" spans="1:5">
      <c r="A688" t="str">
        <f>检查点拆解!A688</f>
        <v>Q0093</v>
      </c>
      <c r="B688" t="str">
        <f>检查点拆解!D688</f>
        <v>C23</v>
      </c>
      <c r="C688" s="2">
        <f>--(COUNTIFS($A$2:A688,A688,$B$2:B688,B688)=1)</f>
        <v>1</v>
      </c>
      <c r="D688" t="str">
        <f>检查点拆解!F688</f>
        <v>D09.01.03</v>
      </c>
      <c r="E688" s="2">
        <f>--(COUNTIFS($A$2:A688,A688,$D$2:D688,D688)=1)</f>
        <v>1</v>
      </c>
    </row>
    <row r="689" spans="1:5">
      <c r="A689" t="str">
        <f>检查点拆解!A689</f>
        <v>Q0093</v>
      </c>
      <c r="B689" t="str">
        <f>检查点拆解!D689</f>
        <v>C27</v>
      </c>
      <c r="C689" s="2">
        <f>--(COUNTIFS($A$2:A689,A689,$B$2:B689,B689)=1)</f>
        <v>1</v>
      </c>
      <c r="D689" t="str">
        <f>检查点拆解!F689</f>
        <v>D11.02.01</v>
      </c>
      <c r="E689" s="2">
        <f>--(COUNTIFS($A$2:A689,A689,$D$2:D689,D689)=1)</f>
        <v>1</v>
      </c>
    </row>
    <row r="690" spans="1:5">
      <c r="A690" t="str">
        <f>检查点拆解!A690</f>
        <v>Q0093</v>
      </c>
      <c r="B690" t="str">
        <f>检查点拆解!D690</f>
        <v>C17</v>
      </c>
      <c r="C690" s="2">
        <f>--(COUNTIFS($A$2:A690,A690,$B$2:B690,B690)=1)</f>
        <v>1</v>
      </c>
      <c r="D690" t="str">
        <f>检查点拆解!F690</f>
        <v>D06.03.01</v>
      </c>
      <c r="E690" s="2">
        <f>--(COUNTIFS($A$2:A690,A690,$D$2:D690,D690)=1)</f>
        <v>1</v>
      </c>
    </row>
    <row r="691" spans="1:5">
      <c r="A691" t="str">
        <f>检查点拆解!A691</f>
        <v>Q0093</v>
      </c>
      <c r="B691" t="str">
        <f>检查点拆解!D691</f>
        <v>C27</v>
      </c>
      <c r="C691" s="2">
        <f>--(COUNTIFS($A$2:A691,A691,$B$2:B691,B691)=1)</f>
        <v>0</v>
      </c>
      <c r="D691" t="str">
        <f>检查点拆解!F691</f>
        <v>D11.01.02</v>
      </c>
      <c r="E691" s="2">
        <f>--(COUNTIFS($A$2:A691,A691,$D$2:D691,D691)=1)</f>
        <v>1</v>
      </c>
    </row>
    <row r="692" spans="1:5">
      <c r="A692" t="str">
        <f>检查点拆解!A692</f>
        <v>Q0093</v>
      </c>
      <c r="B692" t="str">
        <f>检查点拆解!D692</f>
        <v>C27</v>
      </c>
      <c r="C692" s="2">
        <f>--(COUNTIFS($A$2:A692,A692,$B$2:B692,B692)=1)</f>
        <v>0</v>
      </c>
      <c r="D692" t="str">
        <f>检查点拆解!F692</f>
        <v>D11.01.03</v>
      </c>
      <c r="E692" s="2">
        <f>--(COUNTIFS($A$2:A692,A692,$D$2:D692,D692)=1)</f>
        <v>1</v>
      </c>
    </row>
    <row r="693" spans="1:5">
      <c r="A693" t="str">
        <f>检查点拆解!A693</f>
        <v>Q0093</v>
      </c>
      <c r="B693" t="str">
        <f>检查点拆解!D693</f>
        <v>C28</v>
      </c>
      <c r="C693" s="2">
        <f>--(COUNTIFS($A$2:A693,A693,$B$2:B693,B693)=1)</f>
        <v>1</v>
      </c>
      <c r="D693" t="str">
        <f>检查点拆解!F693</f>
        <v>D12.01.01</v>
      </c>
      <c r="E693" s="2">
        <f>--(COUNTIFS($A$2:A693,A693,$D$2:D693,D693)=1)</f>
        <v>1</v>
      </c>
    </row>
    <row r="694" spans="1:5">
      <c r="A694" t="str">
        <f>检查点拆解!A694</f>
        <v>Q0093</v>
      </c>
      <c r="B694" t="str">
        <f>检查点拆解!D694</f>
        <v>C04</v>
      </c>
      <c r="C694" s="2">
        <f>--(COUNTIFS($A$2:A694,A694,$B$2:B694,B694)=1)</f>
        <v>1</v>
      </c>
      <c r="D694" t="str">
        <f>检查点拆解!F694</f>
        <v>D02.02.03</v>
      </c>
      <c r="E694" s="2">
        <f>--(COUNTIFS($A$2:A694,A694,$D$2:D694,D694)=1)</f>
        <v>1</v>
      </c>
    </row>
    <row r="695" spans="1:5">
      <c r="A695" t="str">
        <f>检查点拆解!A695</f>
        <v>Q0094</v>
      </c>
      <c r="B695" t="str">
        <f>检查点拆解!D695</f>
        <v>C30</v>
      </c>
      <c r="C695" s="2">
        <f>--(COUNTIFS($A$2:A695,A695,$B$2:B695,B695)=1)</f>
        <v>1</v>
      </c>
      <c r="D695" t="str">
        <f>检查点拆解!F695</f>
        <v>D15.01.02</v>
      </c>
      <c r="E695" s="2">
        <f>--(COUNTIFS($A$2:A695,A695,$D$2:D695,D695)=1)</f>
        <v>1</v>
      </c>
    </row>
    <row r="696" spans="1:5">
      <c r="A696" t="str">
        <f>检查点拆解!A696</f>
        <v>Q0094</v>
      </c>
      <c r="B696" t="str">
        <f>检查点拆解!D696</f>
        <v>C30</v>
      </c>
      <c r="C696" s="2">
        <f>--(COUNTIFS($A$2:A696,A696,$B$2:B696,B696)=1)</f>
        <v>0</v>
      </c>
      <c r="D696" t="str">
        <f>检查点拆解!F696</f>
        <v>D15.02.01</v>
      </c>
      <c r="E696" s="2">
        <f>--(COUNTIFS($A$2:A696,A696,$D$2:D696,D696)=1)</f>
        <v>1</v>
      </c>
    </row>
    <row r="697" spans="1:5">
      <c r="A697" t="str">
        <f>检查点拆解!A697</f>
        <v>Q0094</v>
      </c>
      <c r="B697" t="str">
        <f>检查点拆解!D697</f>
        <v>C27</v>
      </c>
      <c r="C697" s="2">
        <f>--(COUNTIFS($A$2:A697,A697,$B$2:B697,B697)=1)</f>
        <v>1</v>
      </c>
      <c r="D697" t="str">
        <f>检查点拆解!F697</f>
        <v>D11.02.01</v>
      </c>
      <c r="E697" s="2">
        <f>--(COUNTIFS($A$2:A697,A697,$D$2:D697,D697)=1)</f>
        <v>1</v>
      </c>
    </row>
    <row r="698" spans="1:5">
      <c r="A698" t="str">
        <f>检查点拆解!A698</f>
        <v>Q0094</v>
      </c>
      <c r="B698" t="str">
        <f>检查点拆解!D698</f>
        <v>C24</v>
      </c>
      <c r="C698" s="2">
        <f>--(COUNTIFS($A$2:A698,A698,$B$2:B698,B698)=1)</f>
        <v>1</v>
      </c>
      <c r="D698" t="str">
        <f>检查点拆解!F698</f>
        <v>D09.03.02</v>
      </c>
      <c r="E698" s="2">
        <f>--(COUNTIFS($A$2:A698,A698,$D$2:D698,D698)=1)</f>
        <v>1</v>
      </c>
    </row>
    <row r="699" spans="1:5">
      <c r="A699" t="str">
        <f>检查点拆解!A699</f>
        <v>Q0094</v>
      </c>
      <c r="B699" t="str">
        <f>检查点拆解!D699</f>
        <v>C30</v>
      </c>
      <c r="C699" s="2">
        <f>--(COUNTIFS($A$2:A699,A699,$B$2:B699,B699)=1)</f>
        <v>0</v>
      </c>
      <c r="D699" t="str">
        <f>检查点拆解!F699</f>
        <v>D15.01.03</v>
      </c>
      <c r="E699" s="2">
        <f>--(COUNTIFS($A$2:A699,A699,$D$2:D699,D699)=1)</f>
        <v>1</v>
      </c>
    </row>
    <row r="700" spans="1:5">
      <c r="A700" t="str">
        <f>检查点拆解!A700</f>
        <v>Q0094</v>
      </c>
      <c r="B700" t="str">
        <f>检查点拆解!D700</f>
        <v>C27</v>
      </c>
      <c r="C700" s="2">
        <f>--(COUNTIFS($A$2:A700,A700,$B$2:B700,B700)=1)</f>
        <v>0</v>
      </c>
      <c r="D700" t="str">
        <f>检查点拆解!F700</f>
        <v>D11.01.02</v>
      </c>
      <c r="E700" s="2">
        <f>--(COUNTIFS($A$2:A700,A700,$D$2:D700,D700)=1)</f>
        <v>1</v>
      </c>
    </row>
    <row r="701" spans="1:5">
      <c r="A701" t="str">
        <f>检查点拆解!A701</f>
        <v>Q0094</v>
      </c>
      <c r="B701" t="str">
        <f>检查点拆解!D701</f>
        <v>C24</v>
      </c>
      <c r="C701" s="2">
        <f>--(COUNTIFS($A$2:A701,A701,$B$2:B701,B701)=1)</f>
        <v>0</v>
      </c>
      <c r="D701" t="str">
        <f>检查点拆解!F701</f>
        <v>D09.03.03</v>
      </c>
      <c r="E701" s="2">
        <f>--(COUNTIFS($A$2:A701,A701,$D$2:D701,D701)=1)</f>
        <v>1</v>
      </c>
    </row>
    <row r="702" spans="1:5">
      <c r="A702" t="str">
        <f>检查点拆解!A702</f>
        <v>Q0094</v>
      </c>
      <c r="B702" t="str">
        <f>检查点拆解!D702</f>
        <v>C27</v>
      </c>
      <c r="C702" s="2">
        <f>--(COUNTIFS($A$2:A702,A702,$B$2:B702,B702)=1)</f>
        <v>0</v>
      </c>
      <c r="D702" t="str">
        <f>检查点拆解!F702</f>
        <v>D11.01.01</v>
      </c>
      <c r="E702" s="2">
        <f>--(COUNTIFS($A$2:A702,A702,$D$2:D702,D702)=1)</f>
        <v>1</v>
      </c>
    </row>
    <row r="703" spans="1:5">
      <c r="A703" t="str">
        <f>检查点拆解!A703</f>
        <v>Q0094</v>
      </c>
      <c r="B703" t="str">
        <f>检查点拆解!D703</f>
        <v>C27</v>
      </c>
      <c r="C703" s="2">
        <f>--(COUNTIFS($A$2:A703,A703,$B$2:B703,B703)=1)</f>
        <v>0</v>
      </c>
      <c r="D703" t="str">
        <f>检查点拆解!F703</f>
        <v>D11.01.03</v>
      </c>
      <c r="E703" s="2">
        <f>--(COUNTIFS($A$2:A703,A703,$D$2:D703,D703)=1)</f>
        <v>1</v>
      </c>
    </row>
    <row r="704" spans="1:5">
      <c r="A704" t="str">
        <f>检查点拆解!A704</f>
        <v>Q0094</v>
      </c>
      <c r="B704" t="str">
        <f>检查点拆解!D704</f>
        <v>C06</v>
      </c>
      <c r="C704" s="2">
        <f>--(COUNTIFS($A$2:A704,A704,$B$2:B704,B704)=1)</f>
        <v>1</v>
      </c>
      <c r="D704" t="str">
        <f>检查点拆解!F704</f>
        <v>D03.01.03</v>
      </c>
      <c r="E704" s="2">
        <f>--(COUNTIFS($A$2:A704,A704,$D$2:D704,D704)=1)</f>
        <v>1</v>
      </c>
    </row>
    <row r="705" spans="1:5">
      <c r="A705" t="str">
        <f>检查点拆解!A705</f>
        <v>Q0094</v>
      </c>
      <c r="B705" t="str">
        <f>检查点拆解!D705</f>
        <v>C24</v>
      </c>
      <c r="C705" s="2">
        <f>--(COUNTIFS($A$2:A705,A705,$B$2:B705,B705)=1)</f>
        <v>0</v>
      </c>
      <c r="D705" t="str">
        <f>检查点拆解!F705</f>
        <v>D09.02.03</v>
      </c>
      <c r="E705" s="2">
        <f>--(COUNTIFS($A$2:A705,A705,$D$2:D705,D705)=1)</f>
        <v>1</v>
      </c>
    </row>
    <row r="706" spans="1:5">
      <c r="A706" t="str">
        <f>检查点拆解!A706</f>
        <v>Q0094</v>
      </c>
      <c r="B706" t="str">
        <f>检查点拆解!D706</f>
        <v>C16</v>
      </c>
      <c r="C706" s="2">
        <f>--(COUNTIFS($A$2:A706,A706,$B$2:B706,B706)=1)</f>
        <v>1</v>
      </c>
      <c r="D706" t="str">
        <f>检查点拆解!F706</f>
        <v>D05.02.04</v>
      </c>
      <c r="E706" s="2">
        <f>--(COUNTIFS($A$2:A706,A706,$D$2:D706,D706)=1)</f>
        <v>1</v>
      </c>
    </row>
    <row r="707" spans="1:5">
      <c r="A707" t="str">
        <f>检查点拆解!A707</f>
        <v>Q0095</v>
      </c>
      <c r="B707" t="str">
        <f>检查点拆解!D707</f>
        <v>C23</v>
      </c>
      <c r="C707" s="2">
        <f>--(COUNTIFS($A$2:A707,A707,$B$2:B707,B707)=1)</f>
        <v>1</v>
      </c>
      <c r="D707" t="str">
        <f>检查点拆解!F707</f>
        <v>D09.01.03</v>
      </c>
      <c r="E707" s="2">
        <f>--(COUNTIFS($A$2:A707,A707,$D$2:D707,D707)=1)</f>
        <v>1</v>
      </c>
    </row>
    <row r="708" spans="1:5">
      <c r="A708" t="str">
        <f>检查点拆解!A708</f>
        <v>Q0095</v>
      </c>
      <c r="B708" t="str">
        <f>检查点拆解!D708</f>
        <v>C17</v>
      </c>
      <c r="C708" s="2">
        <f>--(COUNTIFS($A$2:A708,A708,$B$2:B708,B708)=1)</f>
        <v>1</v>
      </c>
      <c r="D708" t="str">
        <f>检查点拆解!F708</f>
        <v>D06.03.01</v>
      </c>
      <c r="E708" s="2">
        <f>--(COUNTIFS($A$2:A708,A708,$D$2:D708,D708)=1)</f>
        <v>1</v>
      </c>
    </row>
    <row r="709" spans="1:5">
      <c r="A709" t="str">
        <f>检查点拆解!A709</f>
        <v>Q0095</v>
      </c>
      <c r="B709" t="str">
        <f>检查点拆解!D709</f>
        <v>C25</v>
      </c>
      <c r="C709" s="2">
        <f>--(COUNTIFS($A$2:A709,A709,$B$2:B709,B709)=1)</f>
        <v>1</v>
      </c>
      <c r="D709" t="str">
        <f>检查点拆解!F709</f>
        <v>D10.01.01</v>
      </c>
      <c r="E709" s="2">
        <f>--(COUNTIFS($A$2:A709,A709,$D$2:D709,D709)=1)</f>
        <v>1</v>
      </c>
    </row>
    <row r="710" spans="1:5">
      <c r="A710" t="str">
        <f>检查点拆解!A710</f>
        <v>Q0095</v>
      </c>
      <c r="B710" t="str">
        <f>检查点拆解!D710</f>
        <v>C30</v>
      </c>
      <c r="C710" s="2">
        <f>--(COUNTIFS($A$2:A710,A710,$B$2:B710,B710)=1)</f>
        <v>1</v>
      </c>
      <c r="D710" t="str">
        <f>检查点拆解!F710</f>
        <v>D15.01.04</v>
      </c>
      <c r="E710" s="2">
        <f>--(COUNTIFS($A$2:A710,A710,$D$2:D710,D710)=1)</f>
        <v>1</v>
      </c>
    </row>
    <row r="711" spans="1:5">
      <c r="A711" t="str">
        <f>检查点拆解!A711</f>
        <v>Q0095</v>
      </c>
      <c r="B711" t="str">
        <f>检查点拆解!D711</f>
        <v>C26</v>
      </c>
      <c r="C711" s="2">
        <f>--(COUNTIFS($A$2:A711,A711,$B$2:B711,B711)=1)</f>
        <v>1</v>
      </c>
      <c r="D711" t="str">
        <f>检查点拆解!F711</f>
        <v>D10.02.01</v>
      </c>
      <c r="E711" s="2">
        <f>--(COUNTIFS($A$2:A711,A711,$D$2:D711,D711)=1)</f>
        <v>1</v>
      </c>
    </row>
    <row r="712" spans="1:5">
      <c r="A712" t="str">
        <f>检查点拆解!A712</f>
        <v>Q0095</v>
      </c>
      <c r="B712" t="str">
        <f>检查点拆解!D712</f>
        <v>C28</v>
      </c>
      <c r="C712" s="2">
        <f>--(COUNTIFS($A$2:A712,A712,$B$2:B712,B712)=1)</f>
        <v>1</v>
      </c>
      <c r="D712" t="str">
        <f>检查点拆解!F712</f>
        <v>D12.01.02</v>
      </c>
      <c r="E712" s="2">
        <f>--(COUNTIFS($A$2:A712,A712,$D$2:D712,D712)=1)</f>
        <v>1</v>
      </c>
    </row>
    <row r="713" spans="1:5">
      <c r="A713" t="str">
        <f>检查点拆解!A713</f>
        <v>Q0095</v>
      </c>
      <c r="B713" t="str">
        <f>检查点拆解!D713</f>
        <v>C04</v>
      </c>
      <c r="C713" s="2">
        <f>--(COUNTIFS($A$2:A713,A713,$B$2:B713,B713)=1)</f>
        <v>1</v>
      </c>
      <c r="D713" t="str">
        <f>检查点拆解!F713</f>
        <v>D02.02.03</v>
      </c>
      <c r="E713" s="2">
        <f>--(COUNTIFS($A$2:A713,A713,$D$2:D713,D713)=1)</f>
        <v>1</v>
      </c>
    </row>
    <row r="714" spans="1:5">
      <c r="A714" t="str">
        <f>检查点拆解!A714</f>
        <v>Q0095</v>
      </c>
      <c r="B714" t="str">
        <f>检查点拆解!D714</f>
        <v>C05</v>
      </c>
      <c r="C714" s="2">
        <f>--(COUNTIFS($A$2:A714,A714,$B$2:B714,B714)=1)</f>
        <v>1</v>
      </c>
      <c r="D714" t="str">
        <f>检查点拆解!F714</f>
        <v>D02.03.02</v>
      </c>
      <c r="E714" s="2">
        <f>--(COUNTIFS($A$2:A714,A714,$D$2:D714,D714)=1)</f>
        <v>1</v>
      </c>
    </row>
    <row r="715" spans="1:5">
      <c r="A715" t="str">
        <f>检查点拆解!A715</f>
        <v>Q0096</v>
      </c>
      <c r="B715" t="str">
        <f>检查点拆解!D715</f>
        <v>C30</v>
      </c>
      <c r="C715" s="2">
        <f>--(COUNTIFS($A$2:A715,A715,$B$2:B715,B715)=1)</f>
        <v>1</v>
      </c>
      <c r="D715" t="str">
        <f>检查点拆解!F715</f>
        <v>D15.01.02</v>
      </c>
      <c r="E715" s="2">
        <f>--(COUNTIFS($A$2:A715,A715,$D$2:D715,D715)=1)</f>
        <v>1</v>
      </c>
    </row>
    <row r="716" spans="1:5">
      <c r="A716" t="str">
        <f>检查点拆解!A716</f>
        <v>Q0096</v>
      </c>
      <c r="B716" t="str">
        <f>检查点拆解!D716</f>
        <v>C24</v>
      </c>
      <c r="C716" s="2">
        <f>--(COUNTIFS($A$2:A716,A716,$B$2:B716,B716)=1)</f>
        <v>1</v>
      </c>
      <c r="D716" t="str">
        <f>检查点拆解!F716</f>
        <v>D09.02.02</v>
      </c>
      <c r="E716" s="2">
        <f>--(COUNTIFS($A$2:A716,A716,$D$2:D716,D716)=1)</f>
        <v>1</v>
      </c>
    </row>
    <row r="717" spans="1:5">
      <c r="A717" t="str">
        <f>检查点拆解!A717</f>
        <v>Q0096</v>
      </c>
      <c r="B717" t="str">
        <f>检查点拆解!D717</f>
        <v>C27</v>
      </c>
      <c r="C717" s="2">
        <f>--(COUNTIFS($A$2:A717,A717,$B$2:B717,B717)=1)</f>
        <v>1</v>
      </c>
      <c r="D717" t="str">
        <f>检查点拆解!F717</f>
        <v>D11.01.02</v>
      </c>
      <c r="E717" s="2">
        <f>--(COUNTIFS($A$2:A717,A717,$D$2:D717,D717)=1)</f>
        <v>1</v>
      </c>
    </row>
    <row r="718" spans="1:5">
      <c r="A718" t="str">
        <f>检查点拆解!A718</f>
        <v>Q0096</v>
      </c>
      <c r="B718" t="str">
        <f>检查点拆解!D718</f>
        <v>C25</v>
      </c>
      <c r="C718" s="2">
        <f>--(COUNTIFS($A$2:A718,A718,$B$2:B718,B718)=1)</f>
        <v>1</v>
      </c>
      <c r="D718" t="str">
        <f>检查点拆解!F718</f>
        <v>D10.01.01</v>
      </c>
      <c r="E718" s="2">
        <f>--(COUNTIFS($A$2:A718,A718,$D$2:D718,D718)=1)</f>
        <v>1</v>
      </c>
    </row>
    <row r="719" spans="1:5">
      <c r="A719" t="str">
        <f>检查点拆解!A719</f>
        <v>Q0096</v>
      </c>
      <c r="B719" t="str">
        <f>检查点拆解!D719</f>
        <v>C30</v>
      </c>
      <c r="C719" s="2">
        <f>--(COUNTIFS($A$2:A719,A719,$B$2:B719,B719)=1)</f>
        <v>0</v>
      </c>
      <c r="D719" t="str">
        <f>检查点拆解!F719</f>
        <v>D15.01.04</v>
      </c>
      <c r="E719" s="2">
        <f>--(COUNTIFS($A$2:A719,A719,$D$2:D719,D719)=1)</f>
        <v>1</v>
      </c>
    </row>
    <row r="720" spans="1:5">
      <c r="A720" t="str">
        <f>检查点拆解!A720</f>
        <v>Q0096</v>
      </c>
      <c r="B720" t="str">
        <f>检查点拆解!D720</f>
        <v>C04</v>
      </c>
      <c r="C720" s="2">
        <f>--(COUNTIFS($A$2:A720,A720,$B$2:B720,B720)=1)</f>
        <v>1</v>
      </c>
      <c r="D720" t="str">
        <f>检查点拆解!F720</f>
        <v>D02.02.01</v>
      </c>
      <c r="E720" s="2">
        <f>--(COUNTIFS($A$2:A720,A720,$D$2:D720,D720)=1)</f>
        <v>1</v>
      </c>
    </row>
    <row r="721" spans="1:5">
      <c r="A721" t="str">
        <f>检查点拆解!A721</f>
        <v>Q0096</v>
      </c>
      <c r="B721" t="str">
        <f>检查点拆解!D721</f>
        <v>C14</v>
      </c>
      <c r="C721" s="2">
        <f>--(COUNTIFS($A$2:A721,A721,$B$2:B721,B721)=1)</f>
        <v>1</v>
      </c>
      <c r="D721" t="str">
        <f>检查点拆解!F721</f>
        <v>D05.01.01</v>
      </c>
      <c r="E721" s="2">
        <f>--(COUNTIFS($A$2:A721,A721,$D$2:D721,D721)=1)</f>
        <v>1</v>
      </c>
    </row>
    <row r="722" spans="1:5">
      <c r="A722" t="str">
        <f>检查点拆解!A722</f>
        <v>Q0097</v>
      </c>
      <c r="B722" t="str">
        <f>检查点拆解!D722</f>
        <v>C30</v>
      </c>
      <c r="C722" s="2">
        <f>--(COUNTIFS($A$2:A722,A722,$B$2:B722,B722)=1)</f>
        <v>1</v>
      </c>
      <c r="D722" t="str">
        <f>检查点拆解!F722</f>
        <v>D15.01.02</v>
      </c>
      <c r="E722" s="2">
        <f>--(COUNTIFS($A$2:A722,A722,$D$2:D722,D722)=1)</f>
        <v>1</v>
      </c>
    </row>
    <row r="723" spans="1:5">
      <c r="A723" t="str">
        <f>检查点拆解!A723</f>
        <v>Q0097</v>
      </c>
      <c r="B723" t="str">
        <f>检查点拆解!D723</f>
        <v>C06</v>
      </c>
      <c r="C723" s="2">
        <f>--(COUNTIFS($A$2:A723,A723,$B$2:B723,B723)=1)</f>
        <v>1</v>
      </c>
      <c r="D723" t="str">
        <f>检查点拆解!F723</f>
        <v>D03.01.03</v>
      </c>
      <c r="E723" s="2">
        <f>--(COUNTIFS($A$2:A723,A723,$D$2:D723,D723)=1)</f>
        <v>1</v>
      </c>
    </row>
    <row r="724" spans="1:5">
      <c r="A724" t="str">
        <f>检查点拆解!A724</f>
        <v>Q0097</v>
      </c>
      <c r="B724" t="str">
        <f>检查点拆解!D724</f>
        <v>C30</v>
      </c>
      <c r="C724" s="2">
        <f>--(COUNTIFS($A$2:A724,A724,$B$2:B724,B724)=1)</f>
        <v>0</v>
      </c>
      <c r="D724" t="str">
        <f>检查点拆解!F724</f>
        <v>D15.01.04</v>
      </c>
      <c r="E724" s="2">
        <f>--(COUNTIFS($A$2:A724,A724,$D$2:D724,D724)=1)</f>
        <v>1</v>
      </c>
    </row>
    <row r="725" spans="1:5">
      <c r="A725" t="str">
        <f>检查点拆解!A725</f>
        <v>Q0097</v>
      </c>
      <c r="B725" t="str">
        <f>检查点拆解!D725</f>
        <v>C28</v>
      </c>
      <c r="C725" s="2">
        <f>--(COUNTIFS($A$2:A725,A725,$B$2:B725,B725)=1)</f>
        <v>1</v>
      </c>
      <c r="D725" t="str">
        <f>检查点拆解!F725</f>
        <v>D12.01.01</v>
      </c>
      <c r="E725" s="2">
        <f>--(COUNTIFS($A$2:A725,A725,$D$2:D725,D725)=1)</f>
        <v>1</v>
      </c>
    </row>
    <row r="726" spans="1:5">
      <c r="A726" t="str">
        <f>检查点拆解!A726</f>
        <v>Q0097</v>
      </c>
      <c r="B726" t="str">
        <f>检查点拆解!D726</f>
        <v>C05</v>
      </c>
      <c r="C726" s="2">
        <f>--(COUNTIFS($A$2:A726,A726,$B$2:B726,B726)=1)</f>
        <v>1</v>
      </c>
      <c r="D726" t="str">
        <f>检查点拆解!F726</f>
        <v>D02.03.01</v>
      </c>
      <c r="E726" s="2">
        <f>--(COUNTIFS($A$2:A726,A726,$D$2:D726,D726)=1)</f>
        <v>1</v>
      </c>
    </row>
    <row r="727" spans="1:5">
      <c r="A727" t="str">
        <f>检查点拆解!A727</f>
        <v>Q0098</v>
      </c>
      <c r="B727" t="str">
        <f>检查点拆解!D727</f>
        <v>C30</v>
      </c>
      <c r="C727" s="2">
        <f>--(COUNTIFS($A$2:A727,A727,$B$2:B727,B727)=1)</f>
        <v>1</v>
      </c>
      <c r="D727" t="str">
        <f>检查点拆解!F727</f>
        <v>D15.01.02</v>
      </c>
      <c r="E727" s="2">
        <f>--(COUNTIFS($A$2:A727,A727,$D$2:D727,D727)=1)</f>
        <v>1</v>
      </c>
    </row>
    <row r="728" spans="1:5">
      <c r="A728" t="str">
        <f>检查点拆解!A728</f>
        <v>Q0098</v>
      </c>
      <c r="B728" t="str">
        <f>检查点拆解!D728</f>
        <v>C18</v>
      </c>
      <c r="C728" s="2">
        <f>--(COUNTIFS($A$2:A728,A728,$B$2:B728,B728)=1)</f>
        <v>1</v>
      </c>
      <c r="D728" t="str">
        <f>检查点拆解!F728</f>
        <v>D07.01.02</v>
      </c>
      <c r="E728" s="2">
        <f>--(COUNTIFS($A$2:A728,A728,$D$2:D728,D728)=1)</f>
        <v>1</v>
      </c>
    </row>
    <row r="729" spans="1:5">
      <c r="A729" t="str">
        <f>检查点拆解!A729</f>
        <v>Q0098</v>
      </c>
      <c r="B729" t="str">
        <f>检查点拆解!D729</f>
        <v>C25</v>
      </c>
      <c r="C729" s="2">
        <f>--(COUNTIFS($A$2:A729,A729,$B$2:B729,B729)=1)</f>
        <v>1</v>
      </c>
      <c r="D729" t="str">
        <f>检查点拆解!F729</f>
        <v>D10.01.03</v>
      </c>
      <c r="E729" s="2">
        <f>--(COUNTIFS($A$2:A729,A729,$D$2:D729,D729)=1)</f>
        <v>1</v>
      </c>
    </row>
    <row r="730" spans="1:5">
      <c r="A730" t="str">
        <f>检查点拆解!A730</f>
        <v>Q0098</v>
      </c>
      <c r="B730" t="str">
        <f>检查点拆解!D730</f>
        <v>C27</v>
      </c>
      <c r="C730" s="2">
        <f>--(COUNTIFS($A$2:A730,A730,$B$2:B730,B730)=1)</f>
        <v>1</v>
      </c>
      <c r="D730" t="str">
        <f>检查点拆解!F730</f>
        <v>D11.02.03</v>
      </c>
      <c r="E730" s="2">
        <f>--(COUNTIFS($A$2:A730,A730,$D$2:D730,D730)=1)</f>
        <v>1</v>
      </c>
    </row>
    <row r="731" spans="1:5">
      <c r="A731" t="str">
        <f>检查点拆解!A731</f>
        <v>Q0098</v>
      </c>
      <c r="B731" t="str">
        <f>检查点拆解!D731</f>
        <v>C30</v>
      </c>
      <c r="C731" s="2">
        <f>--(COUNTIFS($A$2:A731,A731,$B$2:B731,B731)=1)</f>
        <v>0</v>
      </c>
      <c r="D731" t="str">
        <f>检查点拆解!F731</f>
        <v>D15.01.03</v>
      </c>
      <c r="E731" s="2">
        <f>--(COUNTIFS($A$2:A731,A731,$D$2:D731,D731)=1)</f>
        <v>1</v>
      </c>
    </row>
    <row r="732" spans="1:5">
      <c r="A732" t="str">
        <f>检查点拆解!A732</f>
        <v>Q0098</v>
      </c>
      <c r="B732" t="str">
        <f>检查点拆解!D732</f>
        <v>C27</v>
      </c>
      <c r="C732" s="2">
        <f>--(COUNTIFS($A$2:A732,A732,$B$2:B732,B732)=1)</f>
        <v>0</v>
      </c>
      <c r="D732" t="str">
        <f>检查点拆解!F732</f>
        <v>D11.01.02</v>
      </c>
      <c r="E732" s="2">
        <f>--(COUNTIFS($A$2:A732,A732,$D$2:D732,D732)=1)</f>
        <v>1</v>
      </c>
    </row>
    <row r="733" spans="1:5">
      <c r="A733" t="str">
        <f>检查点拆解!A733</f>
        <v>Q0098</v>
      </c>
      <c r="B733" t="str">
        <f>检查点拆解!D733</f>
        <v>C24</v>
      </c>
      <c r="C733" s="2">
        <f>--(COUNTIFS($A$2:A733,A733,$B$2:B733,B733)=1)</f>
        <v>1</v>
      </c>
      <c r="D733" t="str">
        <f>检查点拆解!F733</f>
        <v>D09.03.03</v>
      </c>
      <c r="E733" s="2">
        <f>--(COUNTIFS($A$2:A733,A733,$D$2:D733,D733)=1)</f>
        <v>1</v>
      </c>
    </row>
    <row r="734" spans="1:5">
      <c r="A734" t="str">
        <f>检查点拆解!A734</f>
        <v>Q0098</v>
      </c>
      <c r="B734" t="str">
        <f>检查点拆解!D734</f>
        <v>C24</v>
      </c>
      <c r="C734" s="2">
        <f>--(COUNTIFS($A$2:A734,A734,$B$2:B734,B734)=1)</f>
        <v>0</v>
      </c>
      <c r="D734" t="str">
        <f>检查点拆解!F734</f>
        <v>D09.02.03</v>
      </c>
      <c r="E734" s="2">
        <f>--(COUNTIFS($A$2:A734,A734,$D$2:D734,D734)=1)</f>
        <v>1</v>
      </c>
    </row>
    <row r="735" spans="1:5">
      <c r="A735" t="str">
        <f>检查点拆解!A735</f>
        <v>Q0098</v>
      </c>
      <c r="B735" t="str">
        <f>检查点拆解!D735</f>
        <v>C15</v>
      </c>
      <c r="C735" s="2">
        <f>--(COUNTIFS($A$2:A735,A735,$B$2:B735,B735)=1)</f>
        <v>1</v>
      </c>
      <c r="D735" t="str">
        <f>检查点拆解!F735</f>
        <v>D05.02.02</v>
      </c>
      <c r="E735" s="2">
        <f>--(COUNTIFS($A$2:A735,A735,$D$2:D735,D735)=1)</f>
        <v>1</v>
      </c>
    </row>
    <row r="736" spans="1:5">
      <c r="A736" t="str">
        <f>检查点拆解!A736</f>
        <v>Q0098</v>
      </c>
      <c r="B736" t="str">
        <f>检查点拆解!D736</f>
        <v>C25</v>
      </c>
      <c r="C736" s="2">
        <f>--(COUNTIFS($A$2:A736,A736,$B$2:B736,B736)=1)</f>
        <v>0</v>
      </c>
      <c r="D736" t="str">
        <f>检查点拆解!F736</f>
        <v>D10.01.01</v>
      </c>
      <c r="E736" s="2">
        <f>--(COUNTIFS($A$2:A736,A736,$D$2:D736,D736)=1)</f>
        <v>1</v>
      </c>
    </row>
    <row r="737" spans="1:5">
      <c r="A737" t="str">
        <f>检查点拆解!A737</f>
        <v>Q0099</v>
      </c>
      <c r="B737" t="str">
        <f>检查点拆解!D737</f>
        <v>C30</v>
      </c>
      <c r="C737" s="2">
        <f>--(COUNTIFS($A$2:A737,A737,$B$2:B737,B737)=1)</f>
        <v>1</v>
      </c>
      <c r="D737" t="str">
        <f>检查点拆解!F737</f>
        <v>D15.01.02</v>
      </c>
      <c r="E737" s="2">
        <f>--(COUNTIFS($A$2:A737,A737,$D$2:D737,D737)=1)</f>
        <v>1</v>
      </c>
    </row>
    <row r="738" spans="1:5">
      <c r="A738" t="str">
        <f>检查点拆解!A738</f>
        <v>Q0099</v>
      </c>
      <c r="B738" t="str">
        <f>检查点拆解!D738</f>
        <v>C27</v>
      </c>
      <c r="C738" s="2">
        <f>--(COUNTIFS($A$2:A738,A738,$B$2:B738,B738)=1)</f>
        <v>1</v>
      </c>
      <c r="D738" t="str">
        <f>检查点拆解!F738</f>
        <v>D11.02.01</v>
      </c>
      <c r="E738" s="2">
        <f>--(COUNTIFS($A$2:A738,A738,$D$2:D738,D738)=1)</f>
        <v>1</v>
      </c>
    </row>
    <row r="739" spans="1:5">
      <c r="A739" t="str">
        <f>检查点拆解!A739</f>
        <v>Q0099</v>
      </c>
      <c r="B739" t="str">
        <f>检查点拆解!D739</f>
        <v>C17</v>
      </c>
      <c r="C739" s="2">
        <f>--(COUNTIFS($A$2:A739,A739,$B$2:B739,B739)=1)</f>
        <v>1</v>
      </c>
      <c r="D739" t="str">
        <f>检查点拆解!F739</f>
        <v>D06.03.01</v>
      </c>
      <c r="E739" s="2">
        <f>--(COUNTIFS($A$2:A739,A739,$D$2:D739,D739)=1)</f>
        <v>1</v>
      </c>
    </row>
    <row r="740" spans="1:5">
      <c r="A740" t="str">
        <f>检查点拆解!A740</f>
        <v>Q0099</v>
      </c>
      <c r="B740" t="str">
        <f>检查点拆解!D740</f>
        <v>C27</v>
      </c>
      <c r="C740" s="2">
        <f>--(COUNTIFS($A$2:A740,A740,$B$2:B740,B740)=1)</f>
        <v>0</v>
      </c>
      <c r="D740" t="str">
        <f>检查点拆解!F740</f>
        <v>D11.02.03</v>
      </c>
      <c r="E740" s="2">
        <f>--(COUNTIFS($A$2:A740,A740,$D$2:D740,D740)=1)</f>
        <v>1</v>
      </c>
    </row>
    <row r="741" spans="1:5">
      <c r="A741" t="str">
        <f>检查点拆解!A741</f>
        <v>Q0099</v>
      </c>
      <c r="B741" t="str">
        <f>检查点拆解!D741</f>
        <v>C30</v>
      </c>
      <c r="C741" s="2">
        <f>--(COUNTIFS($A$2:A741,A741,$B$2:B741,B741)=1)</f>
        <v>0</v>
      </c>
      <c r="D741" t="str">
        <f>检查点拆解!F741</f>
        <v>D15.01.03</v>
      </c>
      <c r="E741" s="2">
        <f>--(COUNTIFS($A$2:A741,A741,$D$2:D741,D741)=1)</f>
        <v>1</v>
      </c>
    </row>
    <row r="742" spans="1:5">
      <c r="A742" t="str">
        <f>检查点拆解!A742</f>
        <v>Q0099</v>
      </c>
      <c r="B742" t="str">
        <f>检查点拆解!D742</f>
        <v>C24</v>
      </c>
      <c r="C742" s="2">
        <f>--(COUNTIFS($A$2:A742,A742,$B$2:B742,B742)=1)</f>
        <v>1</v>
      </c>
      <c r="D742" t="str">
        <f>检查点拆解!F742</f>
        <v>D09.02.03</v>
      </c>
      <c r="E742" s="2">
        <f>--(COUNTIFS($A$2:A742,A742,$D$2:D742,D742)=1)</f>
        <v>1</v>
      </c>
    </row>
    <row r="743" spans="1:5">
      <c r="A743" t="str">
        <f>检查点拆解!A743</f>
        <v>Q0099</v>
      </c>
      <c r="B743" t="str">
        <f>检查点拆解!D743</f>
        <v>C15</v>
      </c>
      <c r="C743" s="2">
        <f>--(COUNTIFS($A$2:A743,A743,$B$2:B743,B743)=1)</f>
        <v>1</v>
      </c>
      <c r="D743" t="str">
        <f>检查点拆解!F743</f>
        <v>D05.02.02</v>
      </c>
      <c r="E743" s="2">
        <f>--(COUNTIFS($A$2:A743,A743,$D$2:D743,D743)=1)</f>
        <v>1</v>
      </c>
    </row>
    <row r="744" spans="1:5">
      <c r="A744" t="str">
        <f>检查点拆解!A744</f>
        <v>Q0099</v>
      </c>
      <c r="B744" t="str">
        <f>检查点拆解!D744</f>
        <v>C25</v>
      </c>
      <c r="C744" s="2">
        <f>--(COUNTIFS($A$2:A744,A744,$B$2:B744,B744)=1)</f>
        <v>1</v>
      </c>
      <c r="D744" t="str">
        <f>检查点拆解!F744</f>
        <v>D10.01.01</v>
      </c>
      <c r="E744" s="2">
        <f>--(COUNTIFS($A$2:A744,A744,$D$2:D744,D744)=1)</f>
        <v>1</v>
      </c>
    </row>
    <row r="745" spans="1:5">
      <c r="A745" t="str">
        <f>检查点拆解!A745</f>
        <v>Q0099</v>
      </c>
      <c r="B745" t="str">
        <f>检查点拆解!D745</f>
        <v>C28</v>
      </c>
      <c r="C745" s="2">
        <f>--(COUNTIFS($A$2:A745,A745,$B$2:B745,B745)=1)</f>
        <v>1</v>
      </c>
      <c r="D745" t="str">
        <f>检查点拆解!F745</f>
        <v>D12.02.02</v>
      </c>
      <c r="E745" s="2">
        <f>--(COUNTIFS($A$2:A745,A745,$D$2:D745,D745)=1)</f>
        <v>1</v>
      </c>
    </row>
    <row r="746" spans="1:5">
      <c r="A746" t="str">
        <f>检查点拆解!A746</f>
        <v>Q0099</v>
      </c>
      <c r="B746" t="str">
        <f>检查点拆解!D746</f>
        <v>C28</v>
      </c>
      <c r="C746" s="2">
        <f>--(COUNTIFS($A$2:A746,A746,$B$2:B746,B746)=1)</f>
        <v>0</v>
      </c>
      <c r="D746" t="str">
        <f>检查点拆解!F746</f>
        <v>D12.01.01</v>
      </c>
      <c r="E746" s="2">
        <f>--(COUNTIFS($A$2:A746,A746,$D$2:D746,D746)=1)</f>
        <v>1</v>
      </c>
    </row>
    <row r="747" spans="1:5">
      <c r="A747" t="str">
        <f>检查点拆解!A747</f>
        <v>Q0100</v>
      </c>
      <c r="B747" t="str">
        <f>检查点拆解!D747</f>
        <v>C27</v>
      </c>
      <c r="C747" s="2">
        <f>--(COUNTIFS($A$2:A747,A747,$B$2:B747,B747)=1)</f>
        <v>1</v>
      </c>
      <c r="D747" t="str">
        <f>检查点拆解!F747</f>
        <v>D11.01.02</v>
      </c>
      <c r="E747" s="2">
        <f>--(COUNTIFS($A$2:A747,A747,$D$2:D747,D747)=1)</f>
        <v>1</v>
      </c>
    </row>
    <row r="748" spans="1:5">
      <c r="A748" t="str">
        <f>检查点拆解!A748</f>
        <v>Q0100</v>
      </c>
      <c r="B748" t="str">
        <f>检查点拆解!D748</f>
        <v>C25</v>
      </c>
      <c r="C748" s="2">
        <f>--(COUNTIFS($A$2:A748,A748,$B$2:B748,B748)=1)</f>
        <v>1</v>
      </c>
      <c r="D748" t="str">
        <f>检查点拆解!F748</f>
        <v>D10.01.01</v>
      </c>
      <c r="E748" s="2">
        <f>--(COUNTIFS($A$2:A748,A748,$D$2:D748,D748)=1)</f>
        <v>1</v>
      </c>
    </row>
    <row r="749" spans="1:5">
      <c r="A749" t="str">
        <f>检查点拆解!A749</f>
        <v>Q0100</v>
      </c>
      <c r="B749" t="str">
        <f>检查点拆解!D749</f>
        <v>C28</v>
      </c>
      <c r="C749" s="2">
        <f>--(COUNTIFS($A$2:A749,A749,$B$2:B749,B749)=1)</f>
        <v>1</v>
      </c>
      <c r="D749" t="str">
        <f>检查点拆解!F749</f>
        <v>D13.02.01</v>
      </c>
      <c r="E749" s="2">
        <f>--(COUNTIFS($A$2:A749,A749,$D$2:D749,D749)=1)</f>
        <v>1</v>
      </c>
    </row>
    <row r="750" spans="1:5">
      <c r="A750" t="str">
        <f>检查点拆解!A750</f>
        <v>Q0100</v>
      </c>
      <c r="B750" t="str">
        <f>检查点拆解!D750</f>
        <v>C28</v>
      </c>
      <c r="C750" s="2">
        <f>--(COUNTIFS($A$2:A750,A750,$B$2:B750,B750)=1)</f>
        <v>0</v>
      </c>
      <c r="D750" t="str">
        <f>检查点拆解!F750</f>
        <v>D12.01.01</v>
      </c>
      <c r="E750" s="2">
        <f>--(COUNTIFS($A$2:A750,A750,$D$2:D750,D750)=1)</f>
        <v>1</v>
      </c>
    </row>
    <row r="751" spans="1:5">
      <c r="A751" t="str">
        <f>检查点拆解!A751</f>
        <v>Q0100</v>
      </c>
      <c r="B751" t="str">
        <f>检查点拆解!D751</f>
        <v>C04</v>
      </c>
      <c r="C751" s="2">
        <f>--(COUNTIFS($A$2:A751,A751,$B$2:B751,B751)=1)</f>
        <v>1</v>
      </c>
      <c r="D751" t="str">
        <f>检查点拆解!F751</f>
        <v>D02.02.02</v>
      </c>
      <c r="E751" s="2">
        <f>--(COUNTIFS($A$2:A751,A751,$D$2:D751,D751)=1)</f>
        <v>1</v>
      </c>
    </row>
    <row r="752" spans="1:5">
      <c r="A752" t="str">
        <f>检查点拆解!A752</f>
        <v>Q0101</v>
      </c>
      <c r="B752" t="str">
        <f>检查点拆解!D752</f>
        <v>C20</v>
      </c>
      <c r="C752" s="2">
        <f>--(COUNTIFS($A$2:A752,A752,$B$2:B752,B752)=1)</f>
        <v>1</v>
      </c>
      <c r="D752" t="str">
        <f>检查点拆解!F752</f>
        <v>D07.02.04</v>
      </c>
      <c r="E752" s="2">
        <f>--(COUNTIFS($A$2:A752,A752,$D$2:D752,D752)=1)</f>
        <v>1</v>
      </c>
    </row>
    <row r="753" spans="1:5">
      <c r="A753" t="str">
        <f>检查点拆解!A753</f>
        <v>Q0101</v>
      </c>
      <c r="B753" t="str">
        <f>检查点拆解!D753</f>
        <v>C30</v>
      </c>
      <c r="C753" s="2">
        <f>--(COUNTIFS($A$2:A753,A753,$B$2:B753,B753)=1)</f>
        <v>1</v>
      </c>
      <c r="D753" t="str">
        <f>检查点拆解!F753</f>
        <v>D15.01.02</v>
      </c>
      <c r="E753" s="2">
        <f>--(COUNTIFS($A$2:A753,A753,$D$2:D753,D753)=1)</f>
        <v>1</v>
      </c>
    </row>
    <row r="754" spans="1:5">
      <c r="A754" t="str">
        <f>检查点拆解!A754</f>
        <v>Q0101</v>
      </c>
      <c r="B754" t="str">
        <f>检查点拆解!D754</f>
        <v>C11</v>
      </c>
      <c r="C754" s="2">
        <f>--(COUNTIFS($A$2:A754,A754,$B$2:B754,B754)=1)</f>
        <v>1</v>
      </c>
      <c r="D754" t="str">
        <f>检查点拆解!F754</f>
        <v>D04.03.02</v>
      </c>
      <c r="E754" s="2">
        <f>--(COUNTIFS($A$2:A754,A754,$D$2:D754,D754)=1)</f>
        <v>1</v>
      </c>
    </row>
    <row r="755" spans="1:5">
      <c r="A755" t="str">
        <f>检查点拆解!A755</f>
        <v>Q0101</v>
      </c>
      <c r="B755" t="str">
        <f>检查点拆解!D755</f>
        <v>C18</v>
      </c>
      <c r="C755" s="2">
        <f>--(COUNTIFS($A$2:A755,A755,$B$2:B755,B755)=1)</f>
        <v>1</v>
      </c>
      <c r="D755" t="str">
        <f>检查点拆解!F755</f>
        <v>D07.01.04</v>
      </c>
      <c r="E755" s="2">
        <f>--(COUNTIFS($A$2:A755,A755,$D$2:D755,D755)=1)</f>
        <v>1</v>
      </c>
    </row>
    <row r="756" spans="1:5">
      <c r="A756" t="str">
        <f>检查点拆解!A756</f>
        <v>Q0101</v>
      </c>
      <c r="B756" t="str">
        <f>检查点拆解!D756</f>
        <v>C27</v>
      </c>
      <c r="C756" s="2">
        <f>--(COUNTIFS($A$2:A756,A756,$B$2:B756,B756)=1)</f>
        <v>1</v>
      </c>
      <c r="D756" t="str">
        <f>检查点拆解!F756</f>
        <v>D11.02.03</v>
      </c>
      <c r="E756" s="2">
        <f>--(COUNTIFS($A$2:A756,A756,$D$2:D756,D756)=1)</f>
        <v>1</v>
      </c>
    </row>
    <row r="757" spans="1:5">
      <c r="A757" t="str">
        <f>检查点拆解!A757</f>
        <v>Q0101</v>
      </c>
      <c r="B757" t="str">
        <f>检查点拆解!D757</f>
        <v>C30</v>
      </c>
      <c r="C757" s="2">
        <f>--(COUNTIFS($A$2:A757,A757,$B$2:B757,B757)=1)</f>
        <v>0</v>
      </c>
      <c r="D757" t="str">
        <f>检查点拆解!F757</f>
        <v>D15.01.03</v>
      </c>
      <c r="E757" s="2">
        <f>--(COUNTIFS($A$2:A757,A757,$D$2:D757,D757)=1)</f>
        <v>1</v>
      </c>
    </row>
    <row r="758" spans="1:5">
      <c r="A758" t="str">
        <f>检查点拆解!A758</f>
        <v>Q0101</v>
      </c>
      <c r="B758" t="str">
        <f>检查点拆解!D758</f>
        <v>C27</v>
      </c>
      <c r="C758" s="2">
        <f>--(COUNTIFS($A$2:A758,A758,$B$2:B758,B758)=1)</f>
        <v>0</v>
      </c>
      <c r="D758" t="str">
        <f>检查点拆解!F758</f>
        <v>D11.01.02</v>
      </c>
      <c r="E758" s="2">
        <f>--(COUNTIFS($A$2:A758,A758,$D$2:D758,D758)=1)</f>
        <v>1</v>
      </c>
    </row>
    <row r="759" spans="1:5">
      <c r="A759" t="str">
        <f>检查点拆解!A759</f>
        <v>Q0101</v>
      </c>
      <c r="B759" t="str">
        <f>检查点拆解!D759</f>
        <v>C27</v>
      </c>
      <c r="C759" s="2">
        <f>--(COUNTIFS($A$2:A759,A759,$B$2:B759,B759)=1)</f>
        <v>0</v>
      </c>
      <c r="D759" t="str">
        <f>检查点拆解!F759</f>
        <v>D11.01.03</v>
      </c>
      <c r="E759" s="2">
        <f>--(COUNTIFS($A$2:A759,A759,$D$2:D759,D759)=1)</f>
        <v>1</v>
      </c>
    </row>
    <row r="760" spans="1:5">
      <c r="A760" t="str">
        <f>检查点拆解!A760</f>
        <v>Q0101</v>
      </c>
      <c r="B760" t="str">
        <f>检查点拆解!D760</f>
        <v>C21</v>
      </c>
      <c r="C760" s="2">
        <f>--(COUNTIFS($A$2:A760,A760,$B$2:B760,B760)=1)</f>
        <v>1</v>
      </c>
      <c r="D760" t="str">
        <f>检查点拆解!F760</f>
        <v>D07.03.01</v>
      </c>
      <c r="E760" s="2">
        <f>--(COUNTIFS($A$2:A760,A760,$D$2:D760,D760)=1)</f>
        <v>1</v>
      </c>
    </row>
    <row r="761" spans="1:5">
      <c r="A761" t="str">
        <f>检查点拆解!A761</f>
        <v>Q0101</v>
      </c>
      <c r="B761" t="str">
        <f>检查点拆解!D761</f>
        <v>C24</v>
      </c>
      <c r="C761" s="2">
        <f>--(COUNTIFS($A$2:A761,A761,$B$2:B761,B761)=1)</f>
        <v>1</v>
      </c>
      <c r="D761" t="str">
        <f>检查点拆解!F761</f>
        <v>D09.02.03</v>
      </c>
      <c r="E761" s="2">
        <f>--(COUNTIFS($A$2:A761,A761,$D$2:D761,D761)=1)</f>
        <v>1</v>
      </c>
    </row>
    <row r="762" spans="1:5">
      <c r="A762" t="str">
        <f>检查点拆解!A762</f>
        <v>Q0101</v>
      </c>
      <c r="B762" t="str">
        <f>检查点拆解!D762</f>
        <v>C16</v>
      </c>
      <c r="C762" s="2">
        <f>--(COUNTIFS($A$2:A762,A762,$B$2:B762,B762)=1)</f>
        <v>1</v>
      </c>
      <c r="D762" t="str">
        <f>检查点拆解!F762</f>
        <v>D05.02.04</v>
      </c>
      <c r="E762" s="2">
        <f>--(COUNTIFS($A$2:A762,A762,$D$2:D762,D762)=1)</f>
        <v>1</v>
      </c>
    </row>
    <row r="763" spans="1:5">
      <c r="A763" t="str">
        <f>检查点拆解!A763</f>
        <v>Q0101</v>
      </c>
      <c r="B763" t="str">
        <f>检查点拆解!D763</f>
        <v>C09</v>
      </c>
      <c r="C763" s="2">
        <f>--(COUNTIFS($A$2:A763,A763,$B$2:B763,B763)=1)</f>
        <v>1</v>
      </c>
      <c r="D763" t="str">
        <f>检查点拆解!F763</f>
        <v>D04.02.02</v>
      </c>
      <c r="E763" s="2">
        <f>--(COUNTIFS($A$2:A763,A763,$D$2:D763,D763)=1)</f>
        <v>1</v>
      </c>
    </row>
    <row r="764" spans="1:5">
      <c r="A764" t="str">
        <f>检查点拆解!A764</f>
        <v>Q0102</v>
      </c>
      <c r="B764" t="str">
        <f>检查点拆解!D764</f>
        <v>C14</v>
      </c>
      <c r="C764" s="2">
        <f>--(COUNTIFS($A$2:A764,A764,$B$2:B764,B764)=1)</f>
        <v>1</v>
      </c>
      <c r="D764" t="str">
        <f>检查点拆解!F764</f>
        <v>D08.01.01</v>
      </c>
      <c r="E764" s="2">
        <f>--(COUNTIFS($A$2:A764,A764,$D$2:D764,D764)=1)</f>
        <v>1</v>
      </c>
    </row>
    <row r="765" spans="1:5">
      <c r="A765" t="str">
        <f>检查点拆解!A765</f>
        <v>Q0102</v>
      </c>
      <c r="B765" t="str">
        <f>检查点拆解!D765</f>
        <v>C24</v>
      </c>
      <c r="C765" s="2">
        <f>--(COUNTIFS($A$2:A765,A765,$B$2:B765,B765)=1)</f>
        <v>1</v>
      </c>
      <c r="D765" t="str">
        <f>检查点拆解!F765</f>
        <v>D09.02.02</v>
      </c>
      <c r="E765" s="2">
        <f>--(COUNTIFS($A$2:A765,A765,$D$2:D765,D765)=1)</f>
        <v>1</v>
      </c>
    </row>
    <row r="766" spans="1:5">
      <c r="A766" t="str">
        <f>检查点拆解!A766</f>
        <v>Q0102</v>
      </c>
      <c r="B766" t="str">
        <f>检查点拆解!D766</f>
        <v>C27</v>
      </c>
      <c r="C766" s="2">
        <f>--(COUNTIFS($A$2:A766,A766,$B$2:B766,B766)=1)</f>
        <v>1</v>
      </c>
      <c r="D766" t="str">
        <f>检查点拆解!F766</f>
        <v>D11.02.01</v>
      </c>
      <c r="E766" s="2">
        <f>--(COUNTIFS($A$2:A766,A766,$D$2:D766,D766)=1)</f>
        <v>1</v>
      </c>
    </row>
    <row r="767" spans="1:5">
      <c r="A767" t="str">
        <f>检查点拆解!A767</f>
        <v>Q0102</v>
      </c>
      <c r="B767" t="str">
        <f>检查点拆解!D767</f>
        <v>C27</v>
      </c>
      <c r="C767" s="2">
        <f>--(COUNTIFS($A$2:A767,A767,$B$2:B767,B767)=1)</f>
        <v>0</v>
      </c>
      <c r="D767" t="str">
        <f>检查点拆解!F767</f>
        <v>D11.01.02</v>
      </c>
      <c r="E767" s="2">
        <f>--(COUNTIFS($A$2:A767,A767,$D$2:D767,D767)=1)</f>
        <v>1</v>
      </c>
    </row>
    <row r="768" spans="1:5">
      <c r="A768" t="str">
        <f>检查点拆解!A768</f>
        <v>Q0102</v>
      </c>
      <c r="B768" t="str">
        <f>检查点拆解!D768</f>
        <v>C24</v>
      </c>
      <c r="C768" s="2">
        <f>--(COUNTIFS($A$2:A768,A768,$B$2:B768,B768)=1)</f>
        <v>0</v>
      </c>
      <c r="D768" t="str">
        <f>检查点拆解!F768</f>
        <v>D09.02.03</v>
      </c>
      <c r="E768" s="2">
        <f>--(COUNTIFS($A$2:A768,A768,$D$2:D768,D768)=1)</f>
        <v>1</v>
      </c>
    </row>
    <row r="769" spans="1:5">
      <c r="A769" t="str">
        <f>检查点拆解!A769</f>
        <v>Q0102</v>
      </c>
      <c r="B769" t="str">
        <f>检查点拆解!D769</f>
        <v>C15</v>
      </c>
      <c r="C769" s="2">
        <f>--(COUNTIFS($A$2:A769,A769,$B$2:B769,B769)=1)</f>
        <v>1</v>
      </c>
      <c r="D769" t="str">
        <f>检查点拆解!F769</f>
        <v>D05.02.01</v>
      </c>
      <c r="E769" s="2">
        <f>--(COUNTIFS($A$2:A769,A769,$D$2:D769,D769)=1)</f>
        <v>1</v>
      </c>
    </row>
    <row r="770" spans="1:5">
      <c r="A770" t="str">
        <f>检查点拆解!A770</f>
        <v>Q0103</v>
      </c>
      <c r="B770" t="str">
        <f>检查点拆解!D770</f>
        <v>C20</v>
      </c>
      <c r="C770" s="2">
        <f>--(COUNTIFS($A$2:A770,A770,$B$2:B770,B770)=1)</f>
        <v>1</v>
      </c>
      <c r="D770" t="str">
        <f>检查点拆解!F770</f>
        <v>D07.02.04</v>
      </c>
      <c r="E770" s="2">
        <f>--(COUNTIFS($A$2:A770,A770,$D$2:D770,D770)=1)</f>
        <v>1</v>
      </c>
    </row>
    <row r="771" spans="1:5">
      <c r="A771" t="str">
        <f>检查点拆解!A771</f>
        <v>Q0103</v>
      </c>
      <c r="B771" t="str">
        <f>检查点拆解!D771</f>
        <v>C30</v>
      </c>
      <c r="C771" s="2">
        <f>--(COUNTIFS($A$2:A771,A771,$B$2:B771,B771)=1)</f>
        <v>1</v>
      </c>
      <c r="D771" t="str">
        <f>检查点拆解!F771</f>
        <v>D15.01.02</v>
      </c>
      <c r="E771" s="2">
        <f>--(COUNTIFS($A$2:A771,A771,$D$2:D771,D771)=1)</f>
        <v>1</v>
      </c>
    </row>
    <row r="772" spans="1:5">
      <c r="A772" t="str">
        <f>检查点拆解!A772</f>
        <v>Q0103</v>
      </c>
      <c r="B772" t="str">
        <f>检查点拆解!D772</f>
        <v>C10</v>
      </c>
      <c r="C772" s="2">
        <f>--(COUNTIFS($A$2:A772,A772,$B$2:B772,B772)=1)</f>
        <v>1</v>
      </c>
      <c r="D772" t="str">
        <f>检查点拆解!F772</f>
        <v>D04.03.01</v>
      </c>
      <c r="E772" s="2">
        <f>--(COUNTIFS($A$2:A772,A772,$D$2:D772,D772)=1)</f>
        <v>1</v>
      </c>
    </row>
    <row r="773" spans="1:5">
      <c r="A773" t="str">
        <f>检查点拆解!A773</f>
        <v>Q0103</v>
      </c>
      <c r="B773" t="str">
        <f>检查点拆解!D773</f>
        <v>C14</v>
      </c>
      <c r="C773" s="2">
        <f>--(COUNTIFS($A$2:A773,A773,$B$2:B773,B773)=1)</f>
        <v>1</v>
      </c>
      <c r="D773" t="str">
        <f>检查点拆解!F773</f>
        <v>D08.01.01</v>
      </c>
      <c r="E773" s="2">
        <f>--(COUNTIFS($A$2:A773,A773,$D$2:D773,D773)=1)</f>
        <v>1</v>
      </c>
    </row>
    <row r="774" spans="1:5">
      <c r="A774" t="str">
        <f>检查点拆解!A774</f>
        <v>Q0103</v>
      </c>
      <c r="B774" t="str">
        <f>检查点拆解!D774</f>
        <v>C23</v>
      </c>
      <c r="C774" s="2">
        <f>--(COUNTIFS($A$2:A774,A774,$B$2:B774,B774)=1)</f>
        <v>1</v>
      </c>
      <c r="D774" t="str">
        <f>检查点拆解!F774</f>
        <v>D09.01.02</v>
      </c>
      <c r="E774" s="2">
        <f>--(COUNTIFS($A$2:A774,A774,$D$2:D774,D774)=1)</f>
        <v>1</v>
      </c>
    </row>
    <row r="775" spans="1:5">
      <c r="A775" t="str">
        <f>检查点拆解!A775</f>
        <v>Q0103</v>
      </c>
      <c r="B775" t="str">
        <f>检查点拆解!D775</f>
        <v>C12</v>
      </c>
      <c r="C775" s="2">
        <f>--(COUNTIFS($A$2:A775,A775,$B$2:B775,B775)=1)</f>
        <v>1</v>
      </c>
      <c r="D775" t="str">
        <f>检查点拆解!F775</f>
        <v>D04.03.04</v>
      </c>
      <c r="E775" s="2">
        <f>--(COUNTIFS($A$2:A775,A775,$D$2:D775,D775)=1)</f>
        <v>1</v>
      </c>
    </row>
    <row r="776" spans="1:5">
      <c r="A776" t="str">
        <f>检查点拆解!A776</f>
        <v>Q0103</v>
      </c>
      <c r="B776" t="str">
        <f>检查点拆解!D776</f>
        <v>C19</v>
      </c>
      <c r="C776" s="2">
        <f>--(COUNTIFS($A$2:A776,A776,$B$2:B776,B776)=1)</f>
        <v>1</v>
      </c>
      <c r="D776" t="str">
        <f>检查点拆解!F776</f>
        <v>D07.02.03</v>
      </c>
      <c r="E776" s="2">
        <f>--(COUNTIFS($A$2:A776,A776,$D$2:D776,D776)=1)</f>
        <v>1</v>
      </c>
    </row>
    <row r="777" spans="1:5">
      <c r="A777" t="str">
        <f>检查点拆解!A777</f>
        <v>Q0103</v>
      </c>
      <c r="B777" t="str">
        <f>检查点拆解!D777</f>
        <v>C30</v>
      </c>
      <c r="C777" s="2">
        <f>--(COUNTIFS($A$2:A777,A777,$B$2:B777,B777)=1)</f>
        <v>0</v>
      </c>
      <c r="D777" t="str">
        <f>检查点拆解!F777</f>
        <v>D15.01.03</v>
      </c>
      <c r="E777" s="2">
        <f>--(COUNTIFS($A$2:A777,A777,$D$2:D777,D777)=1)</f>
        <v>1</v>
      </c>
    </row>
    <row r="778" spans="1:5">
      <c r="A778" t="str">
        <f>检查点拆解!A778</f>
        <v>Q0104</v>
      </c>
      <c r="B778" t="str">
        <f>检查点拆解!D778</f>
        <v>C27</v>
      </c>
      <c r="C778" s="2">
        <f>--(COUNTIFS($A$2:A778,A778,$B$2:B778,B778)=1)</f>
        <v>1</v>
      </c>
      <c r="D778" t="str">
        <f>检查点拆解!F778</f>
        <v>D11.02.02</v>
      </c>
      <c r="E778" s="2">
        <f>--(COUNTIFS($A$2:A778,A778,$D$2:D778,D778)=1)</f>
        <v>1</v>
      </c>
    </row>
    <row r="779" spans="1:5">
      <c r="A779" t="str">
        <f>检查点拆解!A779</f>
        <v>Q0104</v>
      </c>
      <c r="B779" t="str">
        <f>检查点拆解!D779</f>
        <v>C24</v>
      </c>
      <c r="C779" s="2">
        <f>--(COUNTIFS($A$2:A779,A779,$B$2:B779,B779)=1)</f>
        <v>1</v>
      </c>
      <c r="D779" t="str">
        <f>检查点拆解!F779</f>
        <v>D09.03.03</v>
      </c>
      <c r="E779" s="2">
        <f>--(COUNTIFS($A$2:A779,A779,$D$2:D779,D779)=1)</f>
        <v>1</v>
      </c>
    </row>
    <row r="780" spans="1:5">
      <c r="A780" t="str">
        <f>检查点拆解!A780</f>
        <v>Q0104</v>
      </c>
      <c r="B780" t="str">
        <f>检查点拆解!D780</f>
        <v>C27</v>
      </c>
      <c r="C780" s="2">
        <f>--(COUNTIFS($A$2:A780,A780,$B$2:B780,B780)=1)</f>
        <v>0</v>
      </c>
      <c r="D780" t="str">
        <f>检查点拆解!F780</f>
        <v>D11.01.01</v>
      </c>
      <c r="E780" s="2">
        <f>--(COUNTIFS($A$2:A780,A780,$D$2:D780,D780)=1)</f>
        <v>1</v>
      </c>
    </row>
    <row r="781" spans="1:5">
      <c r="A781" t="str">
        <f>检查点拆解!A781</f>
        <v>Q0104</v>
      </c>
      <c r="B781" t="str">
        <f>检查点拆解!D781</f>
        <v>C17</v>
      </c>
      <c r="C781" s="2">
        <f>--(COUNTIFS($A$2:A781,A781,$B$2:B781,B781)=1)</f>
        <v>1</v>
      </c>
      <c r="D781" t="str">
        <f>检查点拆解!F781</f>
        <v>D06.02.01</v>
      </c>
      <c r="E781" s="2">
        <f>--(COUNTIFS($A$2:A781,A781,$D$2:D781,D781)=1)</f>
        <v>1</v>
      </c>
    </row>
    <row r="782" spans="1:5">
      <c r="A782" t="str">
        <f>检查点拆解!A782</f>
        <v>Q0104</v>
      </c>
      <c r="B782" t="str">
        <f>检查点拆解!D782</f>
        <v>C25</v>
      </c>
      <c r="C782" s="2">
        <f>--(COUNTIFS($A$2:A782,A782,$B$2:B782,B782)=1)</f>
        <v>1</v>
      </c>
      <c r="D782" t="str">
        <f>检查点拆解!F782</f>
        <v>D10.01.01</v>
      </c>
      <c r="E782" s="2">
        <f>--(COUNTIFS($A$2:A782,A782,$D$2:D782,D782)=1)</f>
        <v>1</v>
      </c>
    </row>
    <row r="783" spans="1:5">
      <c r="A783" t="str">
        <f>检查点拆解!A783</f>
        <v>Q0104</v>
      </c>
      <c r="B783" t="str">
        <f>检查点拆解!D783</f>
        <v>C30</v>
      </c>
      <c r="C783" s="2">
        <f>--(COUNTIFS($A$2:A783,A783,$B$2:B783,B783)=1)</f>
        <v>1</v>
      </c>
      <c r="D783" t="str">
        <f>检查点拆解!F783</f>
        <v>D15.01.04</v>
      </c>
      <c r="E783" s="2">
        <f>--(COUNTIFS($A$2:A783,A783,$D$2:D783,D783)=1)</f>
        <v>1</v>
      </c>
    </row>
    <row r="784" spans="1:5">
      <c r="A784" t="str">
        <f>检查点拆解!A784</f>
        <v>Q0104</v>
      </c>
      <c r="B784" t="str">
        <f>检查点拆解!D784</f>
        <v>C28</v>
      </c>
      <c r="C784" s="2">
        <f>--(COUNTIFS($A$2:A784,A784,$B$2:B784,B784)=1)</f>
        <v>1</v>
      </c>
      <c r="D784" t="str">
        <f>检查点拆解!F784</f>
        <v>D12.01.01</v>
      </c>
      <c r="E784" s="2">
        <f>--(COUNTIFS($A$2:A784,A784,$D$2:D784,D784)=1)</f>
        <v>1</v>
      </c>
    </row>
    <row r="785" spans="1:5">
      <c r="A785" t="str">
        <f>检查点拆解!A785</f>
        <v>Q0104</v>
      </c>
      <c r="B785" t="str">
        <f>检查点拆解!D785</f>
        <v>C28</v>
      </c>
      <c r="C785" s="2">
        <f>--(COUNTIFS($A$2:A785,A785,$B$2:B785,B785)=1)</f>
        <v>0</v>
      </c>
      <c r="D785" t="str">
        <f>检查点拆解!F785</f>
        <v>D12.01.02</v>
      </c>
      <c r="E785" s="2">
        <f>--(COUNTIFS($A$2:A785,A785,$D$2:D785,D785)=1)</f>
        <v>1</v>
      </c>
    </row>
    <row r="786" spans="1:5">
      <c r="A786" t="str">
        <f>检查点拆解!A786</f>
        <v>Q0105</v>
      </c>
      <c r="B786" t="str">
        <f>检查点拆解!D786</f>
        <v>C30</v>
      </c>
      <c r="C786" s="2">
        <f>--(COUNTIFS($A$2:A786,A786,$B$2:B786,B786)=1)</f>
        <v>1</v>
      </c>
      <c r="D786" t="str">
        <f>检查点拆解!F786</f>
        <v>D15.01.02</v>
      </c>
      <c r="E786" s="2">
        <f>--(COUNTIFS($A$2:A786,A786,$D$2:D786,D786)=1)</f>
        <v>1</v>
      </c>
    </row>
    <row r="787" spans="1:5">
      <c r="A787" t="str">
        <f>检查点拆解!A787</f>
        <v>Q0105</v>
      </c>
      <c r="B787" t="str">
        <f>检查点拆解!D787</f>
        <v>C14</v>
      </c>
      <c r="C787" s="2">
        <f>--(COUNTIFS($A$2:A787,A787,$B$2:B787,B787)=1)</f>
        <v>1</v>
      </c>
      <c r="D787" t="str">
        <f>检查点拆解!F787</f>
        <v>D08.01.01</v>
      </c>
      <c r="E787" s="2">
        <f>--(COUNTIFS($A$2:A787,A787,$D$2:D787,D787)=1)</f>
        <v>1</v>
      </c>
    </row>
    <row r="788" spans="1:5">
      <c r="A788" t="str">
        <f>检查点拆解!A788</f>
        <v>Q0105</v>
      </c>
      <c r="B788" t="str">
        <f>检查点拆解!D788</f>
        <v>C15</v>
      </c>
      <c r="C788" s="2">
        <f>--(COUNTIFS($A$2:A788,A788,$B$2:B788,B788)=1)</f>
        <v>1</v>
      </c>
      <c r="D788" t="str">
        <f>检查点拆解!F788</f>
        <v>D05.02.01</v>
      </c>
      <c r="E788" s="2">
        <f>--(COUNTIFS($A$2:A788,A788,$D$2:D788,D788)=1)</f>
        <v>1</v>
      </c>
    </row>
    <row r="789" spans="1:5">
      <c r="A789" t="str">
        <f>检查点拆解!A789</f>
        <v>Q0105</v>
      </c>
      <c r="B789" t="str">
        <f>检查点拆解!D789</f>
        <v>C13</v>
      </c>
      <c r="C789" s="2">
        <f>--(COUNTIFS($A$2:A789,A789,$B$2:B789,B789)=1)</f>
        <v>1</v>
      </c>
      <c r="D789" t="str">
        <f>检查点拆解!F789</f>
        <v>D04.04.01</v>
      </c>
      <c r="E789" s="2">
        <f>--(COUNTIFS($A$2:A789,A789,$D$2:D789,D789)=1)</f>
        <v>1</v>
      </c>
    </row>
    <row r="790" spans="1:5">
      <c r="A790" t="str">
        <f>检查点拆解!A790</f>
        <v>Q0105</v>
      </c>
      <c r="B790" t="str">
        <f>检查点拆解!D790</f>
        <v>C28</v>
      </c>
      <c r="C790" s="2">
        <f>--(COUNTIFS($A$2:A790,A790,$B$2:B790,B790)=1)</f>
        <v>1</v>
      </c>
      <c r="D790" t="str">
        <f>检查点拆解!F790</f>
        <v>D12.01.01</v>
      </c>
      <c r="E790" s="2">
        <f>--(COUNTIFS($A$2:A790,A790,$D$2:D790,D790)=1)</f>
        <v>1</v>
      </c>
    </row>
    <row r="791" spans="1:5">
      <c r="A791" t="str">
        <f>检查点拆解!A791</f>
        <v>Q0105</v>
      </c>
      <c r="B791" t="str">
        <f>检查点拆解!D791</f>
        <v>C28</v>
      </c>
      <c r="C791" s="2">
        <f>--(COUNTIFS($A$2:A791,A791,$B$2:B791,B791)=1)</f>
        <v>0</v>
      </c>
      <c r="D791" t="str">
        <f>检查点拆解!F791</f>
        <v>D12.01.02</v>
      </c>
      <c r="E791" s="2">
        <f>--(COUNTIFS($A$2:A791,A791,$D$2:D791,D791)=1)</f>
        <v>1</v>
      </c>
    </row>
    <row r="792" spans="1:5">
      <c r="A792" t="str">
        <f>检查点拆解!A792</f>
        <v>Q0106</v>
      </c>
      <c r="B792" t="str">
        <f>检查点拆解!D792</f>
        <v>C24</v>
      </c>
      <c r="C792" s="2">
        <f>--(COUNTIFS($A$2:A792,A792,$B$2:B792,B792)=1)</f>
        <v>1</v>
      </c>
      <c r="D792" t="str">
        <f>检查点拆解!F792</f>
        <v>D09.02.02</v>
      </c>
      <c r="E792" s="2">
        <f>--(COUNTIFS($A$2:A792,A792,$D$2:D792,D792)=1)</f>
        <v>1</v>
      </c>
    </row>
    <row r="793" spans="1:5">
      <c r="A793" t="str">
        <f>检查点拆解!A793</f>
        <v>Q0106</v>
      </c>
      <c r="B793" t="str">
        <f>检查点拆解!D793</f>
        <v>C27</v>
      </c>
      <c r="C793" s="2">
        <f>--(COUNTIFS($A$2:A793,A793,$B$2:B793,B793)=1)</f>
        <v>1</v>
      </c>
      <c r="D793" t="str">
        <f>检查点拆解!F793</f>
        <v>D11.02.01</v>
      </c>
      <c r="E793" s="2">
        <f>--(COUNTIFS($A$2:A793,A793,$D$2:D793,D793)=1)</f>
        <v>1</v>
      </c>
    </row>
    <row r="794" spans="1:5">
      <c r="A794" t="str">
        <f>检查点拆解!A794</f>
        <v>Q0106</v>
      </c>
      <c r="B794" t="str">
        <f>检查点拆解!D794</f>
        <v>C27</v>
      </c>
      <c r="C794" s="2">
        <f>--(COUNTIFS($A$2:A794,A794,$B$2:B794,B794)=1)</f>
        <v>0</v>
      </c>
      <c r="D794" t="str">
        <f>检查点拆解!F794</f>
        <v>D11.01.02</v>
      </c>
      <c r="E794" s="2">
        <f>--(COUNTIFS($A$2:A794,A794,$D$2:D794,D794)=1)</f>
        <v>1</v>
      </c>
    </row>
    <row r="795" spans="1:5">
      <c r="A795" t="str">
        <f>检查点拆解!A795</f>
        <v>Q0106</v>
      </c>
      <c r="B795" t="str">
        <f>检查点拆解!D795</f>
        <v>C06</v>
      </c>
      <c r="C795" s="2">
        <f>--(COUNTIFS($A$2:A795,A795,$B$2:B795,B795)=1)</f>
        <v>1</v>
      </c>
      <c r="D795" t="str">
        <f>检查点拆解!F795</f>
        <v>D03.01.03</v>
      </c>
      <c r="E795" s="2">
        <f>--(COUNTIFS($A$2:A795,A795,$D$2:D795,D795)=1)</f>
        <v>1</v>
      </c>
    </row>
    <row r="796" spans="1:5">
      <c r="A796" t="str">
        <f>检查点拆解!A796</f>
        <v>Q0106</v>
      </c>
      <c r="B796" t="str">
        <f>检查点拆解!D796</f>
        <v>C17</v>
      </c>
      <c r="C796" s="2">
        <f>--(COUNTIFS($A$2:A796,A796,$B$2:B796,B796)=1)</f>
        <v>1</v>
      </c>
      <c r="D796" t="str">
        <f>检查点拆解!F796</f>
        <v>D06.02.01</v>
      </c>
      <c r="E796" s="2">
        <f>--(COUNTIFS($A$2:A796,A796,$D$2:D796,D796)=1)</f>
        <v>1</v>
      </c>
    </row>
    <row r="797" spans="1:5">
      <c r="A797" t="str">
        <f>检查点拆解!A797</f>
        <v>Q0106</v>
      </c>
      <c r="B797" t="str">
        <f>检查点拆解!D797</f>
        <v>C24</v>
      </c>
      <c r="C797" s="2">
        <f>--(COUNTIFS($A$2:A797,A797,$B$2:B797,B797)=1)</f>
        <v>0</v>
      </c>
      <c r="D797" t="str">
        <f>检查点拆解!F797</f>
        <v>D09.02.03</v>
      </c>
      <c r="E797" s="2">
        <f>--(COUNTIFS($A$2:A797,A797,$D$2:D797,D797)=1)</f>
        <v>1</v>
      </c>
    </row>
    <row r="798" spans="1:5">
      <c r="A798" t="str">
        <f>检查点拆解!A798</f>
        <v>Q0106</v>
      </c>
      <c r="B798" t="str">
        <f>检查点拆解!D798</f>
        <v>C25</v>
      </c>
      <c r="C798" s="2">
        <f>--(COUNTIFS($A$2:A798,A798,$B$2:B798,B798)=1)</f>
        <v>1</v>
      </c>
      <c r="D798" t="str">
        <f>检查点拆解!F798</f>
        <v>D10.01.01</v>
      </c>
      <c r="E798" s="2">
        <f>--(COUNTIFS($A$2:A798,A798,$D$2:D798,D798)=1)</f>
        <v>1</v>
      </c>
    </row>
    <row r="799" spans="1:5">
      <c r="A799" t="str">
        <f>检查点拆解!A799</f>
        <v>Q0106</v>
      </c>
      <c r="B799" t="str">
        <f>检查点拆解!D799</f>
        <v>C28</v>
      </c>
      <c r="C799" s="2">
        <f>--(COUNTIFS($A$2:A799,A799,$B$2:B799,B799)=1)</f>
        <v>1</v>
      </c>
      <c r="D799" t="str">
        <f>检查点拆解!F799</f>
        <v>D12.02.02</v>
      </c>
      <c r="E799" s="2">
        <f>--(COUNTIFS($A$2:A799,A799,$D$2:D799,D799)=1)</f>
        <v>1</v>
      </c>
    </row>
    <row r="800" spans="1:5">
      <c r="A800" t="str">
        <f>检查点拆解!A800</f>
        <v>Q0107</v>
      </c>
      <c r="B800" t="str">
        <f>检查点拆解!D800</f>
        <v>C29</v>
      </c>
      <c r="C800" s="2">
        <f>--(COUNTIFS($A$2:A800,A800,$B$2:B800,B800)=1)</f>
        <v>1</v>
      </c>
      <c r="D800" t="str">
        <f>检查点拆解!F800</f>
        <v>D14.01.01</v>
      </c>
      <c r="E800" s="2">
        <f>--(COUNTIFS($A$2:A800,A800,$D$2:D800,D800)=1)</f>
        <v>1</v>
      </c>
    </row>
    <row r="801" spans="1:5">
      <c r="A801" t="str">
        <f>检查点拆解!A801</f>
        <v>Q0107</v>
      </c>
      <c r="B801" t="str">
        <f>检查点拆解!D801</f>
        <v>C14</v>
      </c>
      <c r="C801" s="2">
        <f>--(COUNTIFS($A$2:A801,A801,$B$2:B801,B801)=1)</f>
        <v>1</v>
      </c>
      <c r="D801" t="str">
        <f>检查点拆解!F801</f>
        <v>D08.01.01</v>
      </c>
      <c r="E801" s="2">
        <f>--(COUNTIFS($A$2:A801,A801,$D$2:D801,D801)=1)</f>
        <v>1</v>
      </c>
    </row>
    <row r="802" spans="1:5">
      <c r="A802" t="str">
        <f>检查点拆解!A802</f>
        <v>Q0107</v>
      </c>
      <c r="B802" t="str">
        <f>检查点拆解!D802</f>
        <v>C18</v>
      </c>
      <c r="C802" s="2">
        <f>--(COUNTIFS($A$2:A802,A802,$B$2:B802,B802)=1)</f>
        <v>1</v>
      </c>
      <c r="D802" t="str">
        <f>检查点拆解!F802</f>
        <v>D07.01.02</v>
      </c>
      <c r="E802" s="2">
        <f>--(COUNTIFS($A$2:A802,A802,$D$2:D802,D802)=1)</f>
        <v>1</v>
      </c>
    </row>
    <row r="803" spans="1:5">
      <c r="A803" t="str">
        <f>检查点拆解!A803</f>
        <v>Q0107</v>
      </c>
      <c r="B803" t="str">
        <f>检查点拆解!D803</f>
        <v>C25</v>
      </c>
      <c r="C803" s="2">
        <f>--(COUNTIFS($A$2:A803,A803,$B$2:B803,B803)=1)</f>
        <v>1</v>
      </c>
      <c r="D803" t="str">
        <f>检查点拆解!F803</f>
        <v>D10.01.03</v>
      </c>
      <c r="E803" s="2">
        <f>--(COUNTIFS($A$2:A803,A803,$D$2:D803,D803)=1)</f>
        <v>1</v>
      </c>
    </row>
    <row r="804" spans="1:5">
      <c r="A804" t="str">
        <f>检查点拆解!A804</f>
        <v>Q0107</v>
      </c>
      <c r="B804" t="str">
        <f>检查点拆解!D804</f>
        <v>C27</v>
      </c>
      <c r="C804" s="2">
        <f>--(COUNTIFS($A$2:A804,A804,$B$2:B804,B804)=1)</f>
        <v>1</v>
      </c>
      <c r="D804" t="str">
        <f>检查点拆解!F804</f>
        <v>D11.01.02</v>
      </c>
      <c r="E804" s="2">
        <f>--(COUNTIFS($A$2:A804,A804,$D$2:D804,D804)=1)</f>
        <v>1</v>
      </c>
    </row>
    <row r="805" spans="1:5">
      <c r="A805" t="str">
        <f>检查点拆解!A805</f>
        <v>Q0107</v>
      </c>
      <c r="B805" t="str">
        <f>检查点拆解!D805</f>
        <v>C09</v>
      </c>
      <c r="C805" s="2">
        <f>--(COUNTIFS($A$2:A805,A805,$B$2:B805,B805)=1)</f>
        <v>1</v>
      </c>
      <c r="D805" t="str">
        <f>检查点拆解!F805</f>
        <v>D04.02.02</v>
      </c>
      <c r="E805" s="2">
        <f>--(COUNTIFS($A$2:A805,A805,$D$2:D805,D805)=1)</f>
        <v>1</v>
      </c>
    </row>
    <row r="806" spans="1:5">
      <c r="A806" t="str">
        <f>检查点拆解!A806</f>
        <v>Q0107</v>
      </c>
      <c r="B806" t="str">
        <f>检查点拆解!D806</f>
        <v>C25</v>
      </c>
      <c r="C806" s="2">
        <f>--(COUNTIFS($A$2:A806,A806,$B$2:B806,B806)=1)</f>
        <v>0</v>
      </c>
      <c r="D806" t="str">
        <f>检查点拆解!F806</f>
        <v>D10.01.04</v>
      </c>
      <c r="E806" s="2">
        <f>--(COUNTIFS($A$2:A806,A806,$D$2:D806,D806)=1)</f>
        <v>1</v>
      </c>
    </row>
    <row r="807" spans="1:5">
      <c r="A807" t="str">
        <f>检查点拆解!A807</f>
        <v>Q0107</v>
      </c>
      <c r="B807" t="str">
        <f>检查点拆解!D807</f>
        <v>C08</v>
      </c>
      <c r="C807" s="2">
        <f>--(COUNTIFS($A$2:A807,A807,$B$2:B807,B807)=1)</f>
        <v>1</v>
      </c>
      <c r="D807" t="str">
        <f>检查点拆解!F807</f>
        <v>D04.01.03</v>
      </c>
      <c r="E807" s="2">
        <f>--(COUNTIFS($A$2:A807,A807,$D$2:D807,D807)=1)</f>
        <v>1</v>
      </c>
    </row>
    <row r="808" spans="1:5">
      <c r="A808" t="str">
        <f>检查点拆解!A808</f>
        <v>Q0107</v>
      </c>
      <c r="B808" t="str">
        <f>检查点拆解!D808</f>
        <v>C28</v>
      </c>
      <c r="C808" s="2">
        <f>--(COUNTIFS($A$2:A808,A808,$B$2:B808,B808)=1)</f>
        <v>1</v>
      </c>
      <c r="D808" t="str">
        <f>检查点拆解!F808</f>
        <v>D13.01.02</v>
      </c>
      <c r="E808" s="2">
        <f>--(COUNTIFS($A$2:A808,A808,$D$2:D808,D808)=1)</f>
        <v>1</v>
      </c>
    </row>
    <row r="809" spans="1:5">
      <c r="A809" t="str">
        <f>检查点拆解!A809</f>
        <v>Q0107</v>
      </c>
      <c r="B809" t="str">
        <f>检查点拆解!D809</f>
        <v>C06</v>
      </c>
      <c r="C809" s="2">
        <f>--(COUNTIFS($A$2:A809,A809,$B$2:B809,B809)=1)</f>
        <v>1</v>
      </c>
      <c r="D809" t="str">
        <f>检查点拆解!F809</f>
        <v>D03.01.02</v>
      </c>
      <c r="E809" s="2">
        <f>--(COUNTIFS($A$2:A809,A809,$D$2:D809,D809)=1)</f>
        <v>1</v>
      </c>
    </row>
    <row r="810" spans="1:5">
      <c r="A810" t="str">
        <f>检查点拆解!A810</f>
        <v>Q0107</v>
      </c>
      <c r="B810" t="str">
        <f>检查点拆解!D810</f>
        <v>C15</v>
      </c>
      <c r="C810" s="2">
        <f>--(COUNTIFS($A$2:A810,A810,$B$2:B810,B810)=1)</f>
        <v>1</v>
      </c>
      <c r="D810" t="str">
        <f>检查点拆解!F810</f>
        <v>D05.02.01</v>
      </c>
      <c r="E810" s="2">
        <f>--(COUNTIFS($A$2:A810,A810,$D$2:D810,D810)=1)</f>
        <v>1</v>
      </c>
    </row>
    <row r="811" spans="1:5">
      <c r="A811" t="str">
        <f>检查点拆解!A811</f>
        <v>Q0107</v>
      </c>
      <c r="B811" t="str">
        <f>检查点拆解!D811</f>
        <v>C28</v>
      </c>
      <c r="C811" s="2">
        <f>--(COUNTIFS($A$2:A811,A811,$B$2:B811,B811)=1)</f>
        <v>0</v>
      </c>
      <c r="D811" t="str">
        <f>检查点拆解!F811</f>
        <v>D12.02.02</v>
      </c>
      <c r="E811" s="2">
        <f>--(COUNTIFS($A$2:A811,A811,$D$2:D811,D811)=1)</f>
        <v>1</v>
      </c>
    </row>
    <row r="812" spans="1:5">
      <c r="A812" t="str">
        <f>检查点拆解!A812</f>
        <v>Q0108</v>
      </c>
      <c r="B812" t="str">
        <f>检查点拆解!D812</f>
        <v>C30</v>
      </c>
      <c r="C812" s="2">
        <f>--(COUNTIFS($A$2:A812,A812,$B$2:B812,B812)=1)</f>
        <v>1</v>
      </c>
      <c r="D812" t="str">
        <f>检查点拆解!F812</f>
        <v>D15.01.02</v>
      </c>
      <c r="E812" s="2">
        <f>--(COUNTIFS($A$2:A812,A812,$D$2:D812,D812)=1)</f>
        <v>1</v>
      </c>
    </row>
    <row r="813" spans="1:5">
      <c r="A813" t="str">
        <f>检查点拆解!A813</f>
        <v>Q0108</v>
      </c>
      <c r="B813" t="str">
        <f>检查点拆解!D813</f>
        <v>C24</v>
      </c>
      <c r="C813" s="2">
        <f>--(COUNTIFS($A$2:A813,A813,$B$2:B813,B813)=1)</f>
        <v>1</v>
      </c>
      <c r="D813" t="str">
        <f>检查点拆解!F813</f>
        <v>D09.02.02</v>
      </c>
      <c r="E813" s="2">
        <f>--(COUNTIFS($A$2:A813,A813,$D$2:D813,D813)=1)</f>
        <v>1</v>
      </c>
    </row>
    <row r="814" spans="1:5">
      <c r="A814" t="str">
        <f>检查点拆解!A814</f>
        <v>Q0108</v>
      </c>
      <c r="B814" t="str">
        <f>检查点拆解!D814</f>
        <v>C23</v>
      </c>
      <c r="C814" s="2">
        <f>--(COUNTIFS($A$2:A814,A814,$B$2:B814,B814)=1)</f>
        <v>1</v>
      </c>
      <c r="D814" t="str">
        <f>检查点拆解!F814</f>
        <v>D09.01.03</v>
      </c>
      <c r="E814" s="2">
        <f>--(COUNTIFS($A$2:A814,A814,$D$2:D814,D814)=1)</f>
        <v>1</v>
      </c>
    </row>
    <row r="815" spans="1:5">
      <c r="A815" t="str">
        <f>检查点拆解!A815</f>
        <v>Q0108</v>
      </c>
      <c r="B815" t="str">
        <f>检查点拆解!D815</f>
        <v>C30</v>
      </c>
      <c r="C815" s="2">
        <f>--(COUNTIFS($A$2:A815,A815,$B$2:B815,B815)=1)</f>
        <v>0</v>
      </c>
      <c r="D815" t="str">
        <f>检查点拆解!F815</f>
        <v>D15.01.03</v>
      </c>
      <c r="E815" s="2">
        <f>--(COUNTIFS($A$2:A815,A815,$D$2:D815,D815)=1)</f>
        <v>1</v>
      </c>
    </row>
    <row r="816" spans="1:5">
      <c r="A816" t="str">
        <f>检查点拆解!A816</f>
        <v>Q0108</v>
      </c>
      <c r="B816" t="str">
        <f>检查点拆解!D816</f>
        <v>C27</v>
      </c>
      <c r="C816" s="2">
        <f>--(COUNTIFS($A$2:A816,A816,$B$2:B816,B816)=1)</f>
        <v>1</v>
      </c>
      <c r="D816" t="str">
        <f>检查点拆解!F816</f>
        <v>D11.01.02</v>
      </c>
      <c r="E816" s="2">
        <f>--(COUNTIFS($A$2:A816,A816,$D$2:D816,D816)=1)</f>
        <v>1</v>
      </c>
    </row>
    <row r="817" spans="1:5">
      <c r="A817" t="str">
        <f>检查点拆解!A817</f>
        <v>Q0108</v>
      </c>
      <c r="B817" t="str">
        <f>检查点拆解!D817</f>
        <v>C24</v>
      </c>
      <c r="C817" s="2">
        <f>--(COUNTIFS($A$2:A817,A817,$B$2:B817,B817)=1)</f>
        <v>0</v>
      </c>
      <c r="D817" t="str">
        <f>检查点拆解!F817</f>
        <v>D09.03.03</v>
      </c>
      <c r="E817" s="2">
        <f>--(COUNTIFS($A$2:A817,A817,$D$2:D817,D817)=1)</f>
        <v>1</v>
      </c>
    </row>
    <row r="818" spans="1:5">
      <c r="A818" t="str">
        <f>检查点拆解!A818</f>
        <v>Q0108</v>
      </c>
      <c r="B818" t="str">
        <f>检查点拆解!D818</f>
        <v>C16</v>
      </c>
      <c r="C818" s="2">
        <f>--(COUNTIFS($A$2:A818,A818,$B$2:B818,B818)=1)</f>
        <v>1</v>
      </c>
      <c r="D818" t="str">
        <f>检查点拆解!F818</f>
        <v>D05.02.04</v>
      </c>
      <c r="E818" s="2">
        <f>--(COUNTIFS($A$2:A818,A818,$D$2:D818,D818)=1)</f>
        <v>1</v>
      </c>
    </row>
    <row r="819" spans="1:5">
      <c r="A819" t="str">
        <f>检查点拆解!A819</f>
        <v>Q0108</v>
      </c>
      <c r="B819" t="str">
        <f>检查点拆解!D819</f>
        <v>C27</v>
      </c>
      <c r="C819" s="2">
        <f>--(COUNTIFS($A$2:A819,A819,$B$2:B819,B819)=1)</f>
        <v>0</v>
      </c>
      <c r="D819" t="str">
        <f>检查点拆解!F819</f>
        <v>D11.02.04</v>
      </c>
      <c r="E819" s="2">
        <f>--(COUNTIFS($A$2:A819,A819,$D$2:D819,D819)=1)</f>
        <v>1</v>
      </c>
    </row>
    <row r="820" spans="1:5">
      <c r="A820" t="str">
        <f>检查点拆解!A820</f>
        <v>Q0108</v>
      </c>
      <c r="B820" t="str">
        <f>检查点拆解!D820</f>
        <v>C09</v>
      </c>
      <c r="C820" s="2">
        <f>--(COUNTIFS($A$2:A820,A820,$B$2:B820,B820)=1)</f>
        <v>1</v>
      </c>
      <c r="D820" t="str">
        <f>检查点拆解!F820</f>
        <v>D04.02.02</v>
      </c>
      <c r="E820" s="2">
        <f>--(COUNTIFS($A$2:A820,A820,$D$2:D820,D820)=1)</f>
        <v>1</v>
      </c>
    </row>
    <row r="821" spans="1:5">
      <c r="A821" t="str">
        <f>检查点拆解!A821</f>
        <v>Q0108</v>
      </c>
      <c r="B821" t="str">
        <f>检查点拆解!D821</f>
        <v>C06</v>
      </c>
      <c r="C821" s="2">
        <f>--(COUNTIFS($A$2:A821,A821,$B$2:B821,B821)=1)</f>
        <v>1</v>
      </c>
      <c r="D821" t="str">
        <f>检查点拆解!F821</f>
        <v>D03.01.02</v>
      </c>
      <c r="E821" s="2">
        <f>--(COUNTIFS($A$2:A821,A821,$D$2:D821,D821)=1)</f>
        <v>1</v>
      </c>
    </row>
    <row r="822" spans="1:5">
      <c r="A822" t="str">
        <f>检查点拆解!A822</f>
        <v>Q0108</v>
      </c>
      <c r="B822" t="str">
        <f>检查点拆解!D822</f>
        <v>C28</v>
      </c>
      <c r="C822" s="2">
        <f>--(COUNTIFS($A$2:A822,A822,$B$2:B822,B822)=1)</f>
        <v>1</v>
      </c>
      <c r="D822" t="str">
        <f>检查点拆解!F822</f>
        <v>D12.01.01</v>
      </c>
      <c r="E822" s="2">
        <f>--(COUNTIFS($A$2:A822,A822,$D$2:D822,D822)=1)</f>
        <v>1</v>
      </c>
    </row>
    <row r="823" spans="1:5">
      <c r="A823" t="str">
        <f>检查点拆解!A823</f>
        <v>Q0108</v>
      </c>
      <c r="B823" t="str">
        <f>检查点拆解!D823</f>
        <v>C06</v>
      </c>
      <c r="C823" s="2">
        <f>--(COUNTIFS($A$2:A823,A823,$B$2:B823,B823)=1)</f>
        <v>0</v>
      </c>
      <c r="D823" t="str">
        <f>检查点拆解!F823</f>
        <v>D03.01.01</v>
      </c>
      <c r="E823" s="2">
        <f>--(COUNTIFS($A$2:A823,A823,$D$2:D823,D823)=1)</f>
        <v>1</v>
      </c>
    </row>
    <row r="824" spans="1:5">
      <c r="A824" t="str">
        <f>检查点拆解!A824</f>
        <v>Q0109</v>
      </c>
      <c r="B824" t="str">
        <f>检查点拆解!D824</f>
        <v>C17</v>
      </c>
      <c r="C824" s="2">
        <f>--(COUNTIFS($A$2:A824,A824,$B$2:B824,B824)=1)</f>
        <v>1</v>
      </c>
      <c r="D824" t="str">
        <f>检查点拆解!F824</f>
        <v>D06.03.01</v>
      </c>
      <c r="E824" s="2">
        <f>--(COUNTIFS($A$2:A824,A824,$D$2:D824,D824)=1)</f>
        <v>1</v>
      </c>
    </row>
    <row r="825" spans="1:5">
      <c r="A825" t="str">
        <f>检查点拆解!A825</f>
        <v>Q0109</v>
      </c>
      <c r="B825" t="str">
        <f>检查点拆解!D825</f>
        <v>C27</v>
      </c>
      <c r="C825" s="2">
        <f>--(COUNTIFS($A$2:A825,A825,$B$2:B825,B825)=1)</f>
        <v>1</v>
      </c>
      <c r="D825" t="str">
        <f>检查点拆解!F825</f>
        <v>D11.01.02</v>
      </c>
      <c r="E825" s="2">
        <f>--(COUNTIFS($A$2:A825,A825,$D$2:D825,D825)=1)</f>
        <v>1</v>
      </c>
    </row>
    <row r="826" spans="1:5">
      <c r="A826" t="str">
        <f>检查点拆解!A826</f>
        <v>Q0109</v>
      </c>
      <c r="B826" t="str">
        <f>检查点拆解!D826</f>
        <v>C25</v>
      </c>
      <c r="C826" s="2">
        <f>--(COUNTIFS($A$2:A826,A826,$B$2:B826,B826)=1)</f>
        <v>1</v>
      </c>
      <c r="D826" t="str">
        <f>检查点拆解!F826</f>
        <v>D10.01.01</v>
      </c>
      <c r="E826" s="2">
        <f>--(COUNTIFS($A$2:A826,A826,$D$2:D826,D826)=1)</f>
        <v>1</v>
      </c>
    </row>
    <row r="827" spans="1:5">
      <c r="A827" t="str">
        <f>检查点拆解!A827</f>
        <v>Q0109</v>
      </c>
      <c r="B827" t="str">
        <f>检查点拆解!D827</f>
        <v>C28</v>
      </c>
      <c r="C827" s="2">
        <f>--(COUNTIFS($A$2:A827,A827,$B$2:B827,B827)=1)</f>
        <v>1</v>
      </c>
      <c r="D827" t="str">
        <f>检查点拆解!F827</f>
        <v>D12.02.01</v>
      </c>
      <c r="E827" s="2">
        <f>--(COUNTIFS($A$2:A827,A827,$D$2:D827,D827)=1)</f>
        <v>1</v>
      </c>
    </row>
    <row r="828" spans="1:5">
      <c r="A828" t="str">
        <f>检查点拆解!A828</f>
        <v>Q0109</v>
      </c>
      <c r="B828" t="str">
        <f>检查点拆解!D828</f>
        <v>C26</v>
      </c>
      <c r="C828" s="2">
        <f>--(COUNTIFS($A$2:A828,A828,$B$2:B828,B828)=1)</f>
        <v>1</v>
      </c>
      <c r="D828" t="str">
        <f>检查点拆解!F828</f>
        <v>D10.02.01</v>
      </c>
      <c r="E828" s="2">
        <f>--(COUNTIFS($A$2:A828,A828,$D$2:D828,D828)=1)</f>
        <v>1</v>
      </c>
    </row>
    <row r="829" spans="1:5">
      <c r="A829" t="str">
        <f>检查点拆解!A829</f>
        <v>Q0109</v>
      </c>
      <c r="B829" t="str">
        <f>检查点拆解!D829</f>
        <v>C28</v>
      </c>
      <c r="C829" s="2">
        <f>--(COUNTIFS($A$2:A829,A829,$B$2:B829,B829)=1)</f>
        <v>0</v>
      </c>
      <c r="D829" t="str">
        <f>检查点拆解!F829</f>
        <v>D12.01.02</v>
      </c>
      <c r="E829" s="2">
        <f>--(COUNTIFS($A$2:A829,A829,$D$2:D829,D829)=1)</f>
        <v>1</v>
      </c>
    </row>
    <row r="830" spans="1:5">
      <c r="A830" t="str">
        <f>检查点拆解!A830</f>
        <v>Q0109</v>
      </c>
      <c r="B830" t="str">
        <f>检查点拆解!D830</f>
        <v>C04</v>
      </c>
      <c r="C830" s="2">
        <f>--(COUNTIFS($A$2:A830,A830,$B$2:B830,B830)=1)</f>
        <v>1</v>
      </c>
      <c r="D830" t="str">
        <f>检查点拆解!F830</f>
        <v>D02.02.03</v>
      </c>
      <c r="E830" s="2">
        <f>--(COUNTIFS($A$2:A830,A830,$D$2:D830,D830)=1)</f>
        <v>1</v>
      </c>
    </row>
    <row r="831" spans="1:5">
      <c r="A831" t="str">
        <f>检查点拆解!A831</f>
        <v>Q0109</v>
      </c>
      <c r="B831" t="str">
        <f>检查点拆解!D831</f>
        <v>C28</v>
      </c>
      <c r="C831" s="2">
        <f>--(COUNTIFS($A$2:A831,A831,$B$2:B831,B831)=1)</f>
        <v>0</v>
      </c>
      <c r="D831" t="str">
        <f>检查点拆解!F831</f>
        <v>D13.01.01</v>
      </c>
      <c r="E831" s="2">
        <f>--(COUNTIFS($A$2:A831,A831,$D$2:D831,D831)=1)</f>
        <v>1</v>
      </c>
    </row>
    <row r="832" spans="1:5">
      <c r="A832" t="str">
        <f>检查点拆解!A832</f>
        <v>Q0110</v>
      </c>
      <c r="B832" t="str">
        <f>检查点拆解!D832</f>
        <v>C24</v>
      </c>
      <c r="C832" s="2">
        <f>--(COUNTIFS($A$2:A832,A832,$B$2:B832,B832)=1)</f>
        <v>1</v>
      </c>
      <c r="D832" t="str">
        <f>检查点拆解!F832</f>
        <v>D09.02.02</v>
      </c>
      <c r="E832" s="2">
        <f>--(COUNTIFS($A$2:A832,A832,$D$2:D832,D832)=1)</f>
        <v>1</v>
      </c>
    </row>
    <row r="833" spans="1:5">
      <c r="A833" t="str">
        <f>检查点拆解!A833</f>
        <v>Q0110</v>
      </c>
      <c r="B833" t="str">
        <f>检查点拆解!D833</f>
        <v>C27</v>
      </c>
      <c r="C833" s="2">
        <f>--(COUNTIFS($A$2:A833,A833,$B$2:B833,B833)=1)</f>
        <v>1</v>
      </c>
      <c r="D833" t="str">
        <f>检查点拆解!F833</f>
        <v>D11.02.01</v>
      </c>
      <c r="E833" s="2">
        <f>--(COUNTIFS($A$2:A833,A833,$D$2:D833,D833)=1)</f>
        <v>1</v>
      </c>
    </row>
    <row r="834" spans="1:5">
      <c r="A834" t="str">
        <f>检查点拆解!A834</f>
        <v>Q0110</v>
      </c>
      <c r="B834" t="str">
        <f>检查点拆解!D834</f>
        <v>C24</v>
      </c>
      <c r="C834" s="2">
        <f>--(COUNTIFS($A$2:A834,A834,$B$2:B834,B834)=1)</f>
        <v>0</v>
      </c>
      <c r="D834" t="str">
        <f>检查点拆解!F834</f>
        <v>D09.03.03</v>
      </c>
      <c r="E834" s="2">
        <f>--(COUNTIFS($A$2:A834,A834,$D$2:D834,D834)=1)</f>
        <v>1</v>
      </c>
    </row>
    <row r="835" spans="1:5">
      <c r="A835" t="str">
        <f>检查点拆解!A835</f>
        <v>Q0110</v>
      </c>
      <c r="B835" t="str">
        <f>检查点拆解!D835</f>
        <v>C25</v>
      </c>
      <c r="C835" s="2">
        <f>--(COUNTIFS($A$2:A835,A835,$B$2:B835,B835)=1)</f>
        <v>1</v>
      </c>
      <c r="D835" t="str">
        <f>检查点拆解!F835</f>
        <v>D10.01.01</v>
      </c>
      <c r="E835" s="2">
        <f>--(COUNTIFS($A$2:A835,A835,$D$2:D835,D835)=1)</f>
        <v>1</v>
      </c>
    </row>
    <row r="836" spans="1:5">
      <c r="A836" t="str">
        <f>检查点拆解!A836</f>
        <v>Q0110</v>
      </c>
      <c r="B836" t="str">
        <f>检查点拆解!D836</f>
        <v>C26</v>
      </c>
      <c r="C836" s="2">
        <f>--(COUNTIFS($A$2:A836,A836,$B$2:B836,B836)=1)</f>
        <v>1</v>
      </c>
      <c r="D836" t="str">
        <f>检查点拆解!F836</f>
        <v>D10.02.01</v>
      </c>
      <c r="E836" s="2">
        <f>--(COUNTIFS($A$2:A836,A836,$D$2:D836,D836)=1)</f>
        <v>1</v>
      </c>
    </row>
    <row r="837" spans="1:5">
      <c r="A837" t="str">
        <f>检查点拆解!A837</f>
        <v>Q0110</v>
      </c>
      <c r="B837" t="str">
        <f>检查点拆解!D837</f>
        <v>C28</v>
      </c>
      <c r="C837" s="2">
        <f>--(COUNTIFS($A$2:A837,A837,$B$2:B837,B837)=1)</f>
        <v>1</v>
      </c>
      <c r="D837" t="str">
        <f>检查点拆解!F837</f>
        <v>D12.01.01</v>
      </c>
      <c r="E837" s="2">
        <f>--(COUNTIFS($A$2:A837,A837,$D$2:D837,D837)=1)</f>
        <v>1</v>
      </c>
    </row>
    <row r="838" spans="1:5">
      <c r="A838" t="str">
        <f>检查点拆解!A838</f>
        <v>Q0110</v>
      </c>
      <c r="B838" t="str">
        <f>检查点拆解!D838</f>
        <v>C06</v>
      </c>
      <c r="C838" s="2">
        <f>--(COUNTIFS($A$2:A838,A838,$B$2:B838,B838)=1)</f>
        <v>1</v>
      </c>
      <c r="D838" t="str">
        <f>检查点拆解!F838</f>
        <v>D03.01.01</v>
      </c>
      <c r="E838" s="2">
        <f>--(COUNTIFS($A$2:A838,A838,$D$2:D838,D838)=1)</f>
        <v>1</v>
      </c>
    </row>
    <row r="839" spans="1:5">
      <c r="A839" t="str">
        <f>检查点拆解!A839</f>
        <v>Q0110</v>
      </c>
      <c r="B839" t="str">
        <f>检查点拆解!D839</f>
        <v>C17</v>
      </c>
      <c r="C839" s="2">
        <f>--(COUNTIFS($A$2:A839,A839,$B$2:B839,B839)=1)</f>
        <v>1</v>
      </c>
      <c r="D839" t="str">
        <f>检查点拆解!F839</f>
        <v>D06.03.02</v>
      </c>
      <c r="E839" s="2">
        <f>--(COUNTIFS($A$2:A839,A839,$D$2:D839,D839)=1)</f>
        <v>1</v>
      </c>
    </row>
    <row r="840" spans="1:5">
      <c r="A840" t="str">
        <f>检查点拆解!A840</f>
        <v>Q0111</v>
      </c>
      <c r="B840" t="str">
        <f>检查点拆解!D840</f>
        <v>C29</v>
      </c>
      <c r="C840" s="2">
        <f>--(COUNTIFS($A$2:A840,A840,$B$2:B840,B840)=1)</f>
        <v>1</v>
      </c>
      <c r="D840" t="str">
        <f>检查点拆解!F840</f>
        <v>D14.02.01</v>
      </c>
      <c r="E840" s="2">
        <f>--(COUNTIFS($A$2:A840,A840,$D$2:D840,D840)=1)</f>
        <v>1</v>
      </c>
    </row>
    <row r="841" spans="1:5">
      <c r="A841" t="str">
        <f>检查点拆解!A841</f>
        <v>Q0111</v>
      </c>
      <c r="B841" t="str">
        <f>检查点拆解!D841</f>
        <v>C28</v>
      </c>
      <c r="C841" s="2">
        <f>--(COUNTIFS($A$2:A841,A841,$B$2:B841,B841)=1)</f>
        <v>1</v>
      </c>
      <c r="D841" t="str">
        <f>检查点拆解!F841</f>
        <v>D13.02.01</v>
      </c>
      <c r="E841" s="2">
        <f>--(COUNTIFS($A$2:A841,A841,$D$2:D841,D841)=1)</f>
        <v>1</v>
      </c>
    </row>
    <row r="842" spans="1:5">
      <c r="A842" t="str">
        <f>检查点拆解!A842</f>
        <v>Q0111</v>
      </c>
      <c r="B842" t="str">
        <f>检查点拆解!D842</f>
        <v>C06</v>
      </c>
      <c r="C842" s="2">
        <f>--(COUNTIFS($A$2:A842,A842,$B$2:B842,B842)=1)</f>
        <v>1</v>
      </c>
      <c r="D842" t="str">
        <f>检查点拆解!F842</f>
        <v>D03.01.02</v>
      </c>
      <c r="E842" s="2">
        <f>--(COUNTIFS($A$2:A842,A842,$D$2:D842,D842)=1)</f>
        <v>1</v>
      </c>
    </row>
    <row r="843" spans="1:5">
      <c r="A843" t="str">
        <f>检查点拆解!A843</f>
        <v>Q0111</v>
      </c>
      <c r="B843" t="str">
        <f>检查点拆解!D843</f>
        <v>C26</v>
      </c>
      <c r="C843" s="2">
        <f>--(COUNTIFS($A$2:A843,A843,$B$2:B843,B843)=1)</f>
        <v>1</v>
      </c>
      <c r="D843" t="str">
        <f>检查点拆解!F843</f>
        <v>D10.02.01</v>
      </c>
      <c r="E843" s="2">
        <f>--(COUNTIFS($A$2:A843,A843,$D$2:D843,D843)=1)</f>
        <v>1</v>
      </c>
    </row>
    <row r="844" spans="1:5">
      <c r="A844" t="str">
        <f>检查点拆解!A844</f>
        <v>Q0111</v>
      </c>
      <c r="B844" t="str">
        <f>检查点拆解!D844</f>
        <v>C06</v>
      </c>
      <c r="C844" s="2">
        <f>--(COUNTIFS($A$2:A844,A844,$B$2:B844,B844)=1)</f>
        <v>0</v>
      </c>
      <c r="D844" t="str">
        <f>检查点拆解!F844</f>
        <v>D03.01.01</v>
      </c>
      <c r="E844" s="2">
        <f>--(COUNTIFS($A$2:A844,A844,$D$2:D844,D844)=1)</f>
        <v>1</v>
      </c>
    </row>
    <row r="845" spans="1:5">
      <c r="A845" t="str">
        <f>检查点拆解!A845</f>
        <v>Q0111</v>
      </c>
      <c r="B845" t="str">
        <f>检查点拆解!D845</f>
        <v>C04</v>
      </c>
      <c r="C845" s="2">
        <f>--(COUNTIFS($A$2:A845,A845,$B$2:B845,B845)=1)</f>
        <v>1</v>
      </c>
      <c r="D845" t="str">
        <f>检查点拆解!F845</f>
        <v>D02.02.03</v>
      </c>
      <c r="E845" s="2">
        <f>--(COUNTIFS($A$2:A845,A845,$D$2:D845,D845)=1)</f>
        <v>1</v>
      </c>
    </row>
    <row r="846" spans="1:5">
      <c r="A846" t="str">
        <f>检查点拆解!A846</f>
        <v>Q0112</v>
      </c>
      <c r="B846" t="str">
        <f>检查点拆解!D846</f>
        <v>C30</v>
      </c>
      <c r="C846" s="2">
        <f>--(COUNTIFS($A$2:A846,A846,$B$2:B846,B846)=1)</f>
        <v>1</v>
      </c>
      <c r="D846" t="str">
        <f>检查点拆解!F846</f>
        <v>D15.01.02</v>
      </c>
      <c r="E846" s="2">
        <f>--(COUNTIFS($A$2:A846,A846,$D$2:D846,D846)=1)</f>
        <v>1</v>
      </c>
    </row>
    <row r="847" spans="1:5">
      <c r="A847" t="str">
        <f>检查点拆解!A847</f>
        <v>Q0112</v>
      </c>
      <c r="B847" t="str">
        <f>检查点拆解!D847</f>
        <v>C27</v>
      </c>
      <c r="C847" s="2">
        <f>--(COUNTIFS($A$2:A847,A847,$B$2:B847,B847)=1)</f>
        <v>1</v>
      </c>
      <c r="D847" t="str">
        <f>检查点拆解!F847</f>
        <v>D11.02.01</v>
      </c>
      <c r="E847" s="2">
        <f>--(COUNTIFS($A$2:A847,A847,$D$2:D847,D847)=1)</f>
        <v>1</v>
      </c>
    </row>
    <row r="848" spans="1:5">
      <c r="A848" t="str">
        <f>检查点拆解!A848</f>
        <v>Q0112</v>
      </c>
      <c r="B848" t="str">
        <f>检查点拆解!D848</f>
        <v>C30</v>
      </c>
      <c r="C848" s="2">
        <f>--(COUNTIFS($A$2:A848,A848,$B$2:B848,B848)=1)</f>
        <v>0</v>
      </c>
      <c r="D848" t="str">
        <f>检查点拆解!F848</f>
        <v>D15.01.03</v>
      </c>
      <c r="E848" s="2">
        <f>--(COUNTIFS($A$2:A848,A848,$D$2:D848,D848)=1)</f>
        <v>1</v>
      </c>
    </row>
    <row r="849" spans="1:5">
      <c r="A849" t="str">
        <f>检查点拆解!A849</f>
        <v>Q0112</v>
      </c>
      <c r="B849" t="str">
        <f>检查点拆解!D849</f>
        <v>C06</v>
      </c>
      <c r="C849" s="2">
        <f>--(COUNTIFS($A$2:A849,A849,$B$2:B849,B849)=1)</f>
        <v>1</v>
      </c>
      <c r="D849" t="str">
        <f>检查点拆解!F849</f>
        <v>D03.01.02</v>
      </c>
      <c r="E849" s="2">
        <f>--(COUNTIFS($A$2:A849,A849,$D$2:D849,D849)=1)</f>
        <v>1</v>
      </c>
    </row>
    <row r="850" spans="1:5">
      <c r="A850" t="str">
        <f>检查点拆解!A850</f>
        <v>Q0112</v>
      </c>
      <c r="B850" t="str">
        <f>检查点拆解!D850</f>
        <v>C04</v>
      </c>
      <c r="C850" s="2">
        <f>--(COUNTIFS($A$2:A850,A850,$B$2:B850,B850)=1)</f>
        <v>1</v>
      </c>
      <c r="D850" t="str">
        <f>检查点拆解!F850</f>
        <v>D02.02.01</v>
      </c>
      <c r="E850" s="2">
        <f>--(COUNTIFS($A$2:A850,A850,$D$2:D850,D850)=1)</f>
        <v>1</v>
      </c>
    </row>
    <row r="851" spans="1:5">
      <c r="A851" t="str">
        <f>检查点拆解!A851</f>
        <v>Q0112</v>
      </c>
      <c r="B851" t="str">
        <f>检查点拆解!D851</f>
        <v>C05</v>
      </c>
      <c r="C851" s="2">
        <f>--(COUNTIFS($A$2:A851,A851,$B$2:B851,B851)=1)</f>
        <v>1</v>
      </c>
      <c r="D851" t="str">
        <f>检查点拆解!F851</f>
        <v>D02.03.02</v>
      </c>
      <c r="E851" s="2">
        <f>--(COUNTIFS($A$2:A851,A851,$D$2:D851,D851)=1)</f>
        <v>1</v>
      </c>
    </row>
    <row r="852" spans="1:5">
      <c r="A852" t="str">
        <f>检查点拆解!A852</f>
        <v>Q0113</v>
      </c>
      <c r="B852" t="str">
        <f>检查点拆解!D852</f>
        <v>C29</v>
      </c>
      <c r="C852" s="2">
        <f>--(COUNTIFS($A$2:A852,A852,$B$2:B852,B852)=1)</f>
        <v>1</v>
      </c>
      <c r="D852" t="str">
        <f>检查点拆解!F852</f>
        <v>D14.01.01</v>
      </c>
      <c r="E852" s="2">
        <f>--(COUNTIFS($A$2:A852,A852,$D$2:D852,D852)=1)</f>
        <v>1</v>
      </c>
    </row>
    <row r="853" spans="1:5">
      <c r="A853" t="str">
        <f>检查点拆解!A853</f>
        <v>Q0113</v>
      </c>
      <c r="B853" t="str">
        <f>检查点拆解!D853</f>
        <v>C27</v>
      </c>
      <c r="C853" s="2">
        <f>--(COUNTIFS($A$2:A853,A853,$B$2:B853,B853)=1)</f>
        <v>1</v>
      </c>
      <c r="D853" t="str">
        <f>检查点拆解!F853</f>
        <v>D11.02.02</v>
      </c>
      <c r="E853" s="2">
        <f>--(COUNTIFS($A$2:A853,A853,$D$2:D853,D853)=1)</f>
        <v>1</v>
      </c>
    </row>
    <row r="854" spans="1:5">
      <c r="A854" t="str">
        <f>检查点拆解!A854</f>
        <v>Q0113</v>
      </c>
      <c r="B854" t="str">
        <f>检查点拆解!D854</f>
        <v>C25</v>
      </c>
      <c r="C854" s="2">
        <f>--(COUNTIFS($A$2:A854,A854,$B$2:B854,B854)=1)</f>
        <v>1</v>
      </c>
      <c r="D854" t="str">
        <f>检查点拆解!F854</f>
        <v>D10.01.01</v>
      </c>
      <c r="E854" s="2">
        <f>--(COUNTIFS($A$2:A854,A854,$D$2:D854,D854)=1)</f>
        <v>1</v>
      </c>
    </row>
    <row r="855" spans="1:5">
      <c r="A855" t="str">
        <f>检查点拆解!A855</f>
        <v>Q0113</v>
      </c>
      <c r="B855" t="str">
        <f>检查点拆解!D855</f>
        <v>C14</v>
      </c>
      <c r="C855" s="2">
        <f>--(COUNTIFS($A$2:A855,A855,$B$2:B855,B855)=1)</f>
        <v>1</v>
      </c>
      <c r="D855" t="str">
        <f>检查点拆解!F855</f>
        <v>D05.01.01</v>
      </c>
      <c r="E855" s="2">
        <f>--(COUNTIFS($A$2:A855,A855,$D$2:D855,D855)=1)</f>
        <v>1</v>
      </c>
    </row>
    <row r="856" spans="1:5">
      <c r="A856" t="str">
        <f>检查点拆解!A856</f>
        <v>Q0113</v>
      </c>
      <c r="B856" t="str">
        <f>检查点拆解!D856</f>
        <v>C03</v>
      </c>
      <c r="C856" s="2">
        <f>--(COUNTIFS($A$2:A856,A856,$B$2:B856,B856)=1)</f>
        <v>1</v>
      </c>
      <c r="D856" t="str">
        <f>检查点拆解!F856</f>
        <v>D02.01.01</v>
      </c>
      <c r="E856" s="2">
        <f>--(COUNTIFS($A$2:A856,A856,$D$2:D856,D856)=1)</f>
        <v>1</v>
      </c>
    </row>
    <row r="857" spans="1:5">
      <c r="A857" t="str">
        <f>检查点拆解!A857</f>
        <v>Q0113</v>
      </c>
      <c r="B857" t="str">
        <f>检查点拆解!D857</f>
        <v>C08</v>
      </c>
      <c r="C857" s="2">
        <f>--(COUNTIFS($A$2:A857,A857,$B$2:B857,B857)=1)</f>
        <v>1</v>
      </c>
      <c r="D857" t="str">
        <f>检查点拆解!F857</f>
        <v>D03.03.01</v>
      </c>
      <c r="E857" s="2">
        <f>--(COUNTIFS($A$2:A857,A857,$D$2:D857,D857)=1)</f>
        <v>1</v>
      </c>
    </row>
    <row r="858" spans="1:5">
      <c r="A858" t="str">
        <f>检查点拆解!A858</f>
        <v>Q0114</v>
      </c>
      <c r="B858" t="str">
        <f>检查点拆解!D858</f>
        <v>C30</v>
      </c>
      <c r="C858" s="2">
        <f>--(COUNTIFS($A$2:A858,A858,$B$2:B858,B858)=1)</f>
        <v>1</v>
      </c>
      <c r="D858" t="str">
        <f>检查点拆解!F858</f>
        <v>D15.01.02</v>
      </c>
      <c r="E858" s="2">
        <f>--(COUNTIFS($A$2:A858,A858,$D$2:D858,D858)=1)</f>
        <v>1</v>
      </c>
    </row>
    <row r="859" spans="1:5">
      <c r="A859" t="str">
        <f>检查点拆解!A859</f>
        <v>Q0114</v>
      </c>
      <c r="B859" t="str">
        <f>检查点拆解!D859</f>
        <v>C27</v>
      </c>
      <c r="C859" s="2">
        <f>--(COUNTIFS($A$2:A859,A859,$B$2:B859,B859)=1)</f>
        <v>1</v>
      </c>
      <c r="D859" t="str">
        <f>检查点拆解!F859</f>
        <v>D11.02.03</v>
      </c>
      <c r="E859" s="2">
        <f>--(COUNTIFS($A$2:A859,A859,$D$2:D859,D859)=1)</f>
        <v>1</v>
      </c>
    </row>
    <row r="860" spans="1:5">
      <c r="A860" t="str">
        <f>检查点拆解!A860</f>
        <v>Q0114</v>
      </c>
      <c r="B860" t="str">
        <f>检查点拆解!D860</f>
        <v>C30</v>
      </c>
      <c r="C860" s="2">
        <f>--(COUNTIFS($A$2:A860,A860,$B$2:B860,B860)=1)</f>
        <v>0</v>
      </c>
      <c r="D860" t="str">
        <f>检查点拆解!F860</f>
        <v>D15.01.03</v>
      </c>
      <c r="E860" s="2">
        <f>--(COUNTIFS($A$2:A860,A860,$D$2:D860,D860)=1)</f>
        <v>1</v>
      </c>
    </row>
    <row r="861" spans="1:5">
      <c r="A861" t="str">
        <f>检查点拆解!A861</f>
        <v>Q0114</v>
      </c>
      <c r="B861" t="str">
        <f>检查点拆解!D861</f>
        <v>C25</v>
      </c>
      <c r="C861" s="2">
        <f>--(COUNTIFS($A$2:A861,A861,$B$2:B861,B861)=1)</f>
        <v>1</v>
      </c>
      <c r="D861" t="str">
        <f>检查点拆解!F861</f>
        <v>D10.01.01</v>
      </c>
      <c r="E861" s="2">
        <f>--(COUNTIFS($A$2:A861,A861,$D$2:D861,D861)=1)</f>
        <v>1</v>
      </c>
    </row>
    <row r="862" spans="1:5">
      <c r="A862" t="str">
        <f>检查点拆解!A862</f>
        <v>Q0114</v>
      </c>
      <c r="B862" t="str">
        <f>检查点拆解!D862</f>
        <v>C28</v>
      </c>
      <c r="C862" s="2">
        <f>--(COUNTIFS($A$2:A862,A862,$B$2:B862,B862)=1)</f>
        <v>1</v>
      </c>
      <c r="D862" t="str">
        <f>检查点拆解!F862</f>
        <v>D12.02.01</v>
      </c>
      <c r="E862" s="2">
        <f>--(COUNTIFS($A$2:A862,A862,$D$2:D862,D862)=1)</f>
        <v>1</v>
      </c>
    </row>
    <row r="863" spans="1:5">
      <c r="A863" t="str">
        <f>检查点拆解!A863</f>
        <v>Q0114</v>
      </c>
      <c r="B863" t="str">
        <f>检查点拆解!D863</f>
        <v>C04</v>
      </c>
      <c r="C863" s="2">
        <f>--(COUNTIFS($A$2:A863,A863,$B$2:B863,B863)=1)</f>
        <v>1</v>
      </c>
      <c r="D863" t="str">
        <f>检查点拆解!F863</f>
        <v>D02.02.03</v>
      </c>
      <c r="E863" s="2">
        <f>--(COUNTIFS($A$2:A863,A863,$D$2:D863,D863)=1)</f>
        <v>1</v>
      </c>
    </row>
    <row r="864" spans="1:5">
      <c r="A864" t="str">
        <f>检查点拆解!A864</f>
        <v>Q0114</v>
      </c>
      <c r="B864" t="str">
        <f>检查点拆解!D864</f>
        <v>C28</v>
      </c>
      <c r="C864" s="2">
        <f>--(COUNTIFS($A$2:A864,A864,$B$2:B864,B864)=1)</f>
        <v>0</v>
      </c>
      <c r="D864" t="str">
        <f>检查点拆解!F864</f>
        <v>D13.01.01</v>
      </c>
      <c r="E864" s="2">
        <f>--(COUNTIFS($A$2:A864,A864,$D$2:D864,D864)=1)</f>
        <v>1</v>
      </c>
    </row>
    <row r="865" spans="1:5">
      <c r="A865" t="str">
        <f>检查点拆解!A865</f>
        <v>Q0114</v>
      </c>
      <c r="B865" t="str">
        <f>检查点拆解!D865</f>
        <v>C14</v>
      </c>
      <c r="C865" s="2">
        <f>--(COUNTIFS($A$2:A865,A865,$B$2:B865,B865)=1)</f>
        <v>1</v>
      </c>
      <c r="D865" t="str">
        <f>检查点拆解!F865</f>
        <v>D05.01.01</v>
      </c>
      <c r="E865" s="2">
        <f>--(COUNTIFS($A$2:A865,A865,$D$2:D865,D865)=1)</f>
        <v>1</v>
      </c>
    </row>
    <row r="866" spans="1:5">
      <c r="A866" t="str">
        <f>检查点拆解!A866</f>
        <v>Q0114</v>
      </c>
      <c r="B866" t="str">
        <f>检查点拆解!D866</f>
        <v>C05</v>
      </c>
      <c r="C866" s="2">
        <f>--(COUNTIFS($A$2:A866,A866,$B$2:B866,B866)=1)</f>
        <v>1</v>
      </c>
      <c r="D866" t="str">
        <f>检查点拆解!F866</f>
        <v>D02.03.02</v>
      </c>
      <c r="E866" s="2">
        <f>--(COUNTIFS($A$2:A866,A866,$D$2:D866,D866)=1)</f>
        <v>1</v>
      </c>
    </row>
    <row r="867" spans="1:5">
      <c r="A867" t="str">
        <f>检查点拆解!A867</f>
        <v>Q0115</v>
      </c>
      <c r="B867" t="str">
        <f>检查点拆解!D867</f>
        <v>C27</v>
      </c>
      <c r="C867" s="2">
        <f>--(COUNTIFS($A$2:A867,A867,$B$2:B867,B867)=1)</f>
        <v>1</v>
      </c>
      <c r="D867" t="str">
        <f>检查点拆解!F867</f>
        <v>D11.02.02</v>
      </c>
      <c r="E867" s="2">
        <f>--(COUNTIFS($A$2:A867,A867,$D$2:D867,D867)=1)</f>
        <v>1</v>
      </c>
    </row>
    <row r="868" spans="1:5">
      <c r="A868" t="str">
        <f>检查点拆解!A868</f>
        <v>Q0115</v>
      </c>
      <c r="B868" t="str">
        <f>检查点拆解!D868</f>
        <v>C25</v>
      </c>
      <c r="C868" s="2">
        <f>--(COUNTIFS($A$2:A868,A868,$B$2:B868,B868)=1)</f>
        <v>1</v>
      </c>
      <c r="D868" t="str">
        <f>检查点拆解!F868</f>
        <v>D10.01.01</v>
      </c>
      <c r="E868" s="2">
        <f>--(COUNTIFS($A$2:A868,A868,$D$2:D868,D868)=1)</f>
        <v>1</v>
      </c>
    </row>
    <row r="869" spans="1:5">
      <c r="A869" t="str">
        <f>检查点拆解!A869</f>
        <v>Q0115</v>
      </c>
      <c r="B869" t="str">
        <f>检查点拆解!D869</f>
        <v>C26</v>
      </c>
      <c r="C869" s="2">
        <f>--(COUNTIFS($A$2:A869,A869,$B$2:B869,B869)=1)</f>
        <v>1</v>
      </c>
      <c r="D869" t="str">
        <f>检查点拆解!F869</f>
        <v>D10.02.01</v>
      </c>
      <c r="E869" s="2">
        <f>--(COUNTIFS($A$2:A869,A869,$D$2:D869,D869)=1)</f>
        <v>1</v>
      </c>
    </row>
    <row r="870" spans="1:5">
      <c r="A870" t="str">
        <f>检查点拆解!A870</f>
        <v>Q0115</v>
      </c>
      <c r="B870" t="str">
        <f>检查点拆解!D870</f>
        <v>C28</v>
      </c>
      <c r="C870" s="2">
        <f>--(COUNTIFS($A$2:A870,A870,$B$2:B870,B870)=1)</f>
        <v>1</v>
      </c>
      <c r="D870" t="str">
        <f>检查点拆解!F870</f>
        <v>D12.01.01</v>
      </c>
      <c r="E870" s="2">
        <f>--(COUNTIFS($A$2:A870,A870,$D$2:D870,D870)=1)</f>
        <v>1</v>
      </c>
    </row>
    <row r="871" spans="1:5">
      <c r="A871" t="str">
        <f>检查点拆解!A871</f>
        <v>Q0115</v>
      </c>
      <c r="B871" t="str">
        <f>检查点拆解!D871</f>
        <v>C28</v>
      </c>
      <c r="C871" s="2">
        <f>--(COUNTIFS($A$2:A871,A871,$B$2:B871,B871)=1)</f>
        <v>0</v>
      </c>
      <c r="D871" t="str">
        <f>检查点拆解!F871</f>
        <v>D12.01.02</v>
      </c>
      <c r="E871" s="2">
        <f>--(COUNTIFS($A$2:A871,A871,$D$2:D871,D871)=1)</f>
        <v>1</v>
      </c>
    </row>
    <row r="872" spans="1:5">
      <c r="A872" t="str">
        <f>检查点拆解!A872</f>
        <v>Q0115</v>
      </c>
      <c r="B872" t="str">
        <f>检查点拆解!D872</f>
        <v>C28</v>
      </c>
      <c r="C872" s="2">
        <f>--(COUNTIFS($A$2:A872,A872,$B$2:B872,B872)=1)</f>
        <v>0</v>
      </c>
      <c r="D872" t="str">
        <f>检查点拆解!F872</f>
        <v>D13.01.01</v>
      </c>
      <c r="E872" s="2">
        <f>--(COUNTIFS($A$2:A872,A872,$D$2:D872,D872)=1)</f>
        <v>1</v>
      </c>
    </row>
    <row r="873" spans="1:5">
      <c r="A873" t="str">
        <f>检查点拆解!A873</f>
        <v>Q0116</v>
      </c>
      <c r="B873" t="str">
        <f>检查点拆解!D873</f>
        <v>C29</v>
      </c>
      <c r="C873" s="2">
        <f>--(COUNTIFS($A$2:A873,A873,$B$2:B873,B873)=1)</f>
        <v>1</v>
      </c>
      <c r="D873" t="str">
        <f>检查点拆解!F873</f>
        <v>D14.02.01</v>
      </c>
      <c r="E873" s="2">
        <f>--(COUNTIFS($A$2:A873,A873,$D$2:D873,D873)=1)</f>
        <v>1</v>
      </c>
    </row>
    <row r="874" spans="1:5">
      <c r="A874" t="str">
        <f>检查点拆解!A874</f>
        <v>Q0116</v>
      </c>
      <c r="B874" t="str">
        <f>检查点拆解!D874</f>
        <v>C27</v>
      </c>
      <c r="C874" s="2">
        <f>--(COUNTIFS($A$2:A874,A874,$B$2:B874,B874)=1)</f>
        <v>1</v>
      </c>
      <c r="D874" t="str">
        <f>检查点拆解!F874</f>
        <v>D11.01.02</v>
      </c>
      <c r="E874" s="2">
        <f>--(COUNTIFS($A$2:A874,A874,$D$2:D874,D874)=1)</f>
        <v>1</v>
      </c>
    </row>
    <row r="875" spans="1:5">
      <c r="A875" t="str">
        <f>检查点拆解!A875</f>
        <v>Q0116</v>
      </c>
      <c r="B875" t="str">
        <f>检查点拆解!D875</f>
        <v>C27</v>
      </c>
      <c r="C875" s="2">
        <f>--(COUNTIFS($A$2:A875,A875,$B$2:B875,B875)=1)</f>
        <v>0</v>
      </c>
      <c r="D875" t="str">
        <f>检查点拆解!F875</f>
        <v>D11.01.03</v>
      </c>
      <c r="E875" s="2">
        <f>--(COUNTIFS($A$2:A875,A875,$D$2:D875,D875)=1)</f>
        <v>1</v>
      </c>
    </row>
    <row r="876" spans="1:5">
      <c r="A876" t="str">
        <f>检查点拆解!A876</f>
        <v>Q0116</v>
      </c>
      <c r="B876" t="str">
        <f>检查点拆解!D876</f>
        <v>C06</v>
      </c>
      <c r="C876" s="2">
        <f>--(COUNTIFS($A$2:A876,A876,$B$2:B876,B876)=1)</f>
        <v>1</v>
      </c>
      <c r="D876" t="str">
        <f>检查点拆解!F876</f>
        <v>D03.01.03</v>
      </c>
      <c r="E876" s="2">
        <f>--(COUNTIFS($A$2:A876,A876,$D$2:D876,D876)=1)</f>
        <v>1</v>
      </c>
    </row>
    <row r="877" spans="1:5">
      <c r="A877" t="str">
        <f>检查点拆解!A877</f>
        <v>Q0116</v>
      </c>
      <c r="B877" t="str">
        <f>检查点拆解!D877</f>
        <v>C18</v>
      </c>
      <c r="C877" s="2">
        <f>--(COUNTIFS($A$2:A877,A877,$B$2:B877,B877)=1)</f>
        <v>1</v>
      </c>
      <c r="D877" t="str">
        <f>检查点拆解!F877</f>
        <v>D07.01.01</v>
      </c>
      <c r="E877" s="2">
        <f>--(COUNTIFS($A$2:A877,A877,$D$2:D877,D877)=1)</f>
        <v>1</v>
      </c>
    </row>
    <row r="878" spans="1:5">
      <c r="A878" t="str">
        <f>检查点拆解!A878</f>
        <v>Q0116</v>
      </c>
      <c r="B878" t="str">
        <f>检查点拆解!D878</f>
        <v>C25</v>
      </c>
      <c r="C878" s="2">
        <f>--(COUNTIFS($A$2:A878,A878,$B$2:B878,B878)=1)</f>
        <v>1</v>
      </c>
      <c r="D878" t="str">
        <f>检查点拆解!F878</f>
        <v>D10.01.01</v>
      </c>
      <c r="E878" s="2">
        <f>--(COUNTIFS($A$2:A878,A878,$D$2:D878,D878)=1)</f>
        <v>1</v>
      </c>
    </row>
    <row r="879" spans="1:5">
      <c r="A879" t="str">
        <f>检查点拆解!A879</f>
        <v>Q0116</v>
      </c>
      <c r="B879" t="str">
        <f>检查点拆解!D879</f>
        <v>C06</v>
      </c>
      <c r="C879" s="2">
        <f>--(COUNTIFS($A$2:A879,A879,$B$2:B879,B879)=1)</f>
        <v>0</v>
      </c>
      <c r="D879" t="str">
        <f>检查点拆解!F879</f>
        <v>D03.01.02</v>
      </c>
      <c r="E879" s="2">
        <f>--(COUNTIFS($A$2:A879,A879,$D$2:D879,D879)=1)</f>
        <v>1</v>
      </c>
    </row>
    <row r="880" spans="1:5">
      <c r="A880" t="str">
        <f>检查点拆解!A880</f>
        <v>Q0116</v>
      </c>
      <c r="B880" t="str">
        <f>检查点拆解!D880</f>
        <v>C28</v>
      </c>
      <c r="C880" s="2">
        <f>--(COUNTIFS($A$2:A880,A880,$B$2:B880,B880)=1)</f>
        <v>1</v>
      </c>
      <c r="D880" t="str">
        <f>检查点拆解!F880</f>
        <v>D12.02.02</v>
      </c>
      <c r="E880" s="2">
        <f>--(COUNTIFS($A$2:A880,A880,$D$2:D880,D880)=1)</f>
        <v>1</v>
      </c>
    </row>
    <row r="881" spans="1:5">
      <c r="A881" t="str">
        <f>检查点拆解!A881</f>
        <v>Q0117</v>
      </c>
      <c r="B881" t="str">
        <f>检查点拆解!D881</f>
        <v>C29</v>
      </c>
      <c r="C881" s="2">
        <f>--(COUNTIFS($A$2:A881,A881,$B$2:B881,B881)=1)</f>
        <v>1</v>
      </c>
      <c r="D881" t="str">
        <f>检查点拆解!F881</f>
        <v>D14.02.01</v>
      </c>
      <c r="E881" s="2">
        <f>--(COUNTIFS($A$2:A881,A881,$D$2:D881,D881)=1)</f>
        <v>1</v>
      </c>
    </row>
    <row r="882" spans="1:5">
      <c r="A882" t="str">
        <f>检查点拆解!A882</f>
        <v>Q0117</v>
      </c>
      <c r="B882" t="str">
        <f>检查点拆解!D882</f>
        <v>C06</v>
      </c>
      <c r="C882" s="2">
        <f>--(COUNTIFS($A$2:A882,A882,$B$2:B882,B882)=1)</f>
        <v>1</v>
      </c>
      <c r="D882" t="str">
        <f>检查点拆解!F882</f>
        <v>D03.01.02</v>
      </c>
      <c r="E882" s="2">
        <f>--(COUNTIFS($A$2:A882,A882,$D$2:D882,D882)=1)</f>
        <v>1</v>
      </c>
    </row>
    <row r="883" spans="1:5">
      <c r="A883" t="str">
        <f>检查点拆解!A883</f>
        <v>Q0117</v>
      </c>
      <c r="B883" t="str">
        <f>检查点拆解!D883</f>
        <v>C06</v>
      </c>
      <c r="C883" s="2">
        <f>--(COUNTIFS($A$2:A883,A883,$B$2:B883,B883)=1)</f>
        <v>0</v>
      </c>
      <c r="D883" t="str">
        <f>检查点拆解!F883</f>
        <v>D03.01.01</v>
      </c>
      <c r="E883" s="2">
        <f>--(COUNTIFS($A$2:A883,A883,$D$2:D883,D883)=1)</f>
        <v>1</v>
      </c>
    </row>
    <row r="884" spans="1:5">
      <c r="A884" t="str">
        <f>检查点拆解!A884</f>
        <v>Q0117</v>
      </c>
      <c r="B884" t="str">
        <f>检查点拆解!D884</f>
        <v>C08</v>
      </c>
      <c r="C884" s="2">
        <f>--(COUNTIFS($A$2:A884,A884,$B$2:B884,B884)=1)</f>
        <v>1</v>
      </c>
      <c r="D884" t="str">
        <f>检查点拆解!F884</f>
        <v>D04.01.01</v>
      </c>
      <c r="E884" s="2">
        <f>--(COUNTIFS($A$2:A884,A884,$D$2:D884,D884)=1)</f>
        <v>1</v>
      </c>
    </row>
    <row r="885" spans="1:5">
      <c r="A885" t="str">
        <f>检查点拆解!A885</f>
        <v>Q0117</v>
      </c>
      <c r="B885" t="str">
        <f>检查点拆解!D885</f>
        <v>C03</v>
      </c>
      <c r="C885" s="2">
        <f>--(COUNTIFS($A$2:A885,A885,$B$2:B885,B885)=1)</f>
        <v>1</v>
      </c>
      <c r="D885" t="str">
        <f>检查点拆解!F885</f>
        <v>D02.01.01</v>
      </c>
      <c r="E885" s="2">
        <f>--(COUNTIFS($A$2:A885,A885,$D$2:D885,D885)=1)</f>
        <v>1</v>
      </c>
    </row>
    <row r="886" spans="1:5">
      <c r="A886" t="str">
        <f>检查点拆解!A886</f>
        <v>Q0117</v>
      </c>
      <c r="B886" t="str">
        <f>检查点拆解!D886</f>
        <v>C08</v>
      </c>
      <c r="C886" s="2">
        <f>--(COUNTIFS($A$2:A886,A886,$B$2:B886,B886)=1)</f>
        <v>0</v>
      </c>
      <c r="D886" t="str">
        <f>检查点拆解!F886</f>
        <v>D03.03.01</v>
      </c>
      <c r="E886" s="2">
        <f>--(COUNTIFS($A$2:A886,A886,$D$2:D886,D886)=1)</f>
        <v>1</v>
      </c>
    </row>
    <row r="887" spans="1:5">
      <c r="A887" t="str">
        <f>检查点拆解!A887</f>
        <v>Q0118</v>
      </c>
      <c r="B887" t="str">
        <f>检查点拆解!D887</f>
        <v>C27</v>
      </c>
      <c r="C887" s="2">
        <f>--(COUNTIFS($A$2:A887,A887,$B$2:B887,B887)=1)</f>
        <v>1</v>
      </c>
      <c r="D887" t="str">
        <f>检查点拆解!F887</f>
        <v>D11.02.01</v>
      </c>
      <c r="E887" s="2">
        <f>--(COUNTIFS($A$2:A887,A887,$D$2:D887,D887)=1)</f>
        <v>1</v>
      </c>
    </row>
    <row r="888" spans="1:5">
      <c r="A888" t="str">
        <f>检查点拆解!A888</f>
        <v>Q0118</v>
      </c>
      <c r="B888" t="str">
        <f>检查点拆解!D888</f>
        <v>C24</v>
      </c>
      <c r="C888" s="2">
        <f>--(COUNTIFS($A$2:A888,A888,$B$2:B888,B888)=1)</f>
        <v>1</v>
      </c>
      <c r="D888" t="str">
        <f>检查点拆解!F888</f>
        <v>D09.03.03</v>
      </c>
      <c r="E888" s="2">
        <f>--(COUNTIFS($A$2:A888,A888,$D$2:D888,D888)=1)</f>
        <v>1</v>
      </c>
    </row>
    <row r="889" spans="1:5">
      <c r="A889" t="str">
        <f>检查点拆解!A889</f>
        <v>Q0118</v>
      </c>
      <c r="B889" t="str">
        <f>检查点拆解!D889</f>
        <v>C27</v>
      </c>
      <c r="C889" s="2">
        <f>--(COUNTIFS($A$2:A889,A889,$B$2:B889,B889)=1)</f>
        <v>0</v>
      </c>
      <c r="D889" t="str">
        <f>检查点拆解!F889</f>
        <v>D11.01.03</v>
      </c>
      <c r="E889" s="2">
        <f>--(COUNTIFS($A$2:A889,A889,$D$2:D889,D889)=1)</f>
        <v>1</v>
      </c>
    </row>
    <row r="890" spans="1:5">
      <c r="A890" t="str">
        <f>检查点拆解!A890</f>
        <v>Q0118</v>
      </c>
      <c r="B890" t="str">
        <f>检查点拆解!D890</f>
        <v>C15</v>
      </c>
      <c r="C890" s="2">
        <f>--(COUNTIFS($A$2:A890,A890,$B$2:B890,B890)=1)</f>
        <v>1</v>
      </c>
      <c r="D890" t="str">
        <f>检查点拆解!F890</f>
        <v>D05.02.02</v>
      </c>
      <c r="E890" s="2">
        <f>--(COUNTIFS($A$2:A890,A890,$D$2:D890,D890)=1)</f>
        <v>1</v>
      </c>
    </row>
    <row r="891" spans="1:5">
      <c r="A891" t="str">
        <f>检查点拆解!A891</f>
        <v>Q0118</v>
      </c>
      <c r="B891" t="str">
        <f>检查点拆解!D891</f>
        <v>C24</v>
      </c>
      <c r="C891" s="2">
        <f>--(COUNTIFS($A$2:A891,A891,$B$2:B891,B891)=1)</f>
        <v>0</v>
      </c>
      <c r="D891" t="str">
        <f>检查点拆解!F891</f>
        <v>D09.02.01</v>
      </c>
      <c r="E891" s="2">
        <f>--(COUNTIFS($A$2:A891,A891,$D$2:D891,D891)=1)</f>
        <v>1</v>
      </c>
    </row>
    <row r="892" spans="1:5">
      <c r="A892" t="str">
        <f>检查点拆解!A892</f>
        <v>Q0118</v>
      </c>
      <c r="B892" t="str">
        <f>检查点拆解!D892</f>
        <v>C25</v>
      </c>
      <c r="C892" s="2">
        <f>--(COUNTIFS($A$2:A892,A892,$B$2:B892,B892)=1)</f>
        <v>1</v>
      </c>
      <c r="D892" t="str">
        <f>检查点拆解!F892</f>
        <v>D10.01.01</v>
      </c>
      <c r="E892" s="2">
        <f>--(COUNTIFS($A$2:A892,A892,$D$2:D892,D892)=1)</f>
        <v>1</v>
      </c>
    </row>
    <row r="893" spans="1:5">
      <c r="A893" t="str">
        <f>检查点拆解!A893</f>
        <v>Q0118</v>
      </c>
      <c r="B893" t="str">
        <f>检查点拆解!D893</f>
        <v>C30</v>
      </c>
      <c r="C893" s="2">
        <f>--(COUNTIFS($A$2:A893,A893,$B$2:B893,B893)=1)</f>
        <v>1</v>
      </c>
      <c r="D893" t="str">
        <f>检查点拆解!F893</f>
        <v>D15.01.04</v>
      </c>
      <c r="E893" s="2">
        <f>--(COUNTIFS($A$2:A893,A893,$D$2:D893,D893)=1)</f>
        <v>1</v>
      </c>
    </row>
    <row r="894" spans="1:5">
      <c r="A894" t="str">
        <f>检查点拆解!A894</f>
        <v>Q0118</v>
      </c>
      <c r="B894" t="str">
        <f>检查点拆解!D894</f>
        <v>C25</v>
      </c>
      <c r="C894" s="2">
        <f>--(COUNTIFS($A$2:A894,A894,$B$2:B894,B894)=1)</f>
        <v>0</v>
      </c>
      <c r="D894" t="str">
        <f>检查点拆解!F894</f>
        <v>D10.01.02</v>
      </c>
      <c r="E894" s="2">
        <f>--(COUNTIFS($A$2:A894,A894,$D$2:D894,D894)=1)</f>
        <v>1</v>
      </c>
    </row>
    <row r="895" spans="1:5">
      <c r="A895" t="str">
        <f>检查点拆解!A895</f>
        <v>Q0118</v>
      </c>
      <c r="B895" t="str">
        <f>检查点拆解!D895</f>
        <v>C06</v>
      </c>
      <c r="C895" s="2">
        <f>--(COUNTIFS($A$2:A895,A895,$B$2:B895,B895)=1)</f>
        <v>1</v>
      </c>
      <c r="D895" t="str">
        <f>检查点拆解!F895</f>
        <v>D03.01.02</v>
      </c>
      <c r="E895" s="2">
        <f>--(COUNTIFS($A$2:A895,A895,$D$2:D895,D895)=1)</f>
        <v>1</v>
      </c>
    </row>
    <row r="896" spans="1:5">
      <c r="A896" t="str">
        <f>检查点拆解!A896</f>
        <v>Q0118</v>
      </c>
      <c r="B896" t="str">
        <f>检查点拆解!D896</f>
        <v>C28</v>
      </c>
      <c r="C896" s="2">
        <f>--(COUNTIFS($A$2:A896,A896,$B$2:B896,B896)=1)</f>
        <v>1</v>
      </c>
      <c r="D896" t="str">
        <f>检查点拆解!F896</f>
        <v>D12.02.02</v>
      </c>
      <c r="E896" s="2">
        <f>--(COUNTIFS($A$2:A896,A896,$D$2:D896,D896)=1)</f>
        <v>1</v>
      </c>
    </row>
    <row r="897" spans="1:5">
      <c r="A897" t="str">
        <f>检查点拆解!A897</f>
        <v>Q0118</v>
      </c>
      <c r="B897" t="str">
        <f>检查点拆解!D897</f>
        <v>C26</v>
      </c>
      <c r="C897" s="2">
        <f>--(COUNTIFS($A$2:A897,A897,$B$2:B897,B897)=1)</f>
        <v>1</v>
      </c>
      <c r="D897" t="str">
        <f>检查点拆解!F897</f>
        <v>D10.02.01</v>
      </c>
      <c r="E897" s="2">
        <f>--(COUNTIFS($A$2:A897,A897,$D$2:D897,D897)=1)</f>
        <v>1</v>
      </c>
    </row>
    <row r="898" spans="1:5">
      <c r="A898" t="str">
        <f>检查点拆解!A898</f>
        <v>Q0118</v>
      </c>
      <c r="B898" t="str">
        <f>检查点拆解!D898</f>
        <v>C28</v>
      </c>
      <c r="C898" s="2">
        <f>--(COUNTIFS($A$2:A898,A898,$B$2:B898,B898)=1)</f>
        <v>0</v>
      </c>
      <c r="D898" t="str">
        <f>检查点拆解!F898</f>
        <v>D12.01.01</v>
      </c>
      <c r="E898" s="2">
        <f>--(COUNTIFS($A$2:A898,A898,$D$2:D898,D898)=1)</f>
        <v>1</v>
      </c>
    </row>
    <row r="899" spans="1:5">
      <c r="A899" t="str">
        <f>检查点拆解!A899</f>
        <v>Q0119</v>
      </c>
      <c r="B899" t="str">
        <f>检查点拆解!D899</f>
        <v>C25</v>
      </c>
      <c r="C899" s="2">
        <f>--(COUNTIFS($A$2:A899,A899,$B$2:B899,B899)=1)</f>
        <v>1</v>
      </c>
      <c r="D899" t="str">
        <f>检查点拆解!F899</f>
        <v>D10.01.01</v>
      </c>
      <c r="E899" s="2">
        <f>--(COUNTIFS($A$2:A899,A899,$D$2:D899,D899)=1)</f>
        <v>1</v>
      </c>
    </row>
    <row r="900" spans="1:5">
      <c r="A900" t="str">
        <f>检查点拆解!A900</f>
        <v>Q0119</v>
      </c>
      <c r="B900" t="str">
        <f>检查点拆解!D900</f>
        <v>C30</v>
      </c>
      <c r="C900" s="2">
        <f>--(COUNTIFS($A$2:A900,A900,$B$2:B900,B900)=1)</f>
        <v>1</v>
      </c>
      <c r="D900" t="str">
        <f>检查点拆解!F900</f>
        <v>D15.01.04</v>
      </c>
      <c r="E900" s="2">
        <f>--(COUNTIFS($A$2:A900,A900,$D$2:D900,D900)=1)</f>
        <v>1</v>
      </c>
    </row>
    <row r="901" spans="1:5">
      <c r="A901" t="str">
        <f>检查点拆解!A901</f>
        <v>Q0119</v>
      </c>
      <c r="B901" t="str">
        <f>检查点拆解!D901</f>
        <v>C26</v>
      </c>
      <c r="C901" s="2">
        <f>--(COUNTIFS($A$2:A901,A901,$B$2:B901,B901)=1)</f>
        <v>1</v>
      </c>
      <c r="D901" t="str">
        <f>检查点拆解!F901</f>
        <v>D10.02.01</v>
      </c>
      <c r="E901" s="2">
        <f>--(COUNTIFS($A$2:A901,A901,$D$2:D901,D901)=1)</f>
        <v>1</v>
      </c>
    </row>
    <row r="902" spans="1:5">
      <c r="A902" t="str">
        <f>检查点拆解!A902</f>
        <v>Q0119</v>
      </c>
      <c r="B902" t="str">
        <f>检查点拆解!D902</f>
        <v>C08</v>
      </c>
      <c r="C902" s="2">
        <f>--(COUNTIFS($A$2:A902,A902,$B$2:B902,B902)=1)</f>
        <v>1</v>
      </c>
      <c r="D902" t="str">
        <f>检查点拆解!F902</f>
        <v>D04.01.01</v>
      </c>
      <c r="E902" s="2">
        <f>--(COUNTIFS($A$2:A902,A902,$D$2:D902,D902)=1)</f>
        <v>1</v>
      </c>
    </row>
    <row r="903" spans="1:5">
      <c r="A903" t="str">
        <f>检查点拆解!A903</f>
        <v>Q0119</v>
      </c>
      <c r="B903" t="str">
        <f>检查点拆解!D903</f>
        <v>C03</v>
      </c>
      <c r="C903" s="2">
        <f>--(COUNTIFS($A$2:A903,A903,$B$2:B903,B903)=1)</f>
        <v>1</v>
      </c>
      <c r="D903" t="str">
        <f>检查点拆解!F903</f>
        <v>D02.01.01</v>
      </c>
      <c r="E903" s="2">
        <f>--(COUNTIFS($A$2:A903,A903,$D$2:D903,D903)=1)</f>
        <v>1</v>
      </c>
    </row>
    <row r="904" spans="1:5">
      <c r="A904" t="str">
        <f>检查点拆解!A904</f>
        <v>Q0119</v>
      </c>
      <c r="B904" t="str">
        <f>检查点拆解!D904</f>
        <v>C04</v>
      </c>
      <c r="C904" s="2">
        <f>--(COUNTIFS($A$2:A904,A904,$B$2:B904,B904)=1)</f>
        <v>1</v>
      </c>
      <c r="D904" t="str">
        <f>检查点拆解!F904</f>
        <v>D02.02.02</v>
      </c>
      <c r="E904" s="2">
        <f>--(COUNTIFS($A$2:A904,A904,$D$2:D904,D904)=1)</f>
        <v>1</v>
      </c>
    </row>
    <row r="905" spans="1:5">
      <c r="A905" t="str">
        <f>检查点拆解!A905</f>
        <v>Q0119</v>
      </c>
      <c r="B905" t="str">
        <f>检查点拆解!D905</f>
        <v>C05</v>
      </c>
      <c r="C905" s="2">
        <f>--(COUNTIFS($A$2:A905,A905,$B$2:B905,B905)=1)</f>
        <v>1</v>
      </c>
      <c r="D905" t="str">
        <f>检查点拆解!F905</f>
        <v>D02.03.01</v>
      </c>
      <c r="E905" s="2">
        <f>--(COUNTIFS($A$2:A905,A905,$D$2:D905,D905)=1)</f>
        <v>1</v>
      </c>
    </row>
    <row r="906" spans="1:5">
      <c r="A906" t="str">
        <f>检查点拆解!A906</f>
        <v>Q0119</v>
      </c>
      <c r="B906" t="str">
        <f>检查点拆解!D906</f>
        <v>C08</v>
      </c>
      <c r="C906" s="2">
        <f>--(COUNTIFS($A$2:A906,A906,$B$2:B906,B906)=1)</f>
        <v>0</v>
      </c>
      <c r="D906" t="str">
        <f>检查点拆解!F906</f>
        <v>D03.03.01</v>
      </c>
      <c r="E906" s="2">
        <f>--(COUNTIFS($A$2:A906,A906,$D$2:D906,D906)=1)</f>
        <v>1</v>
      </c>
    </row>
    <row r="907" spans="1:5">
      <c r="A907" t="str">
        <f>检查点拆解!A907</f>
        <v>Q0120</v>
      </c>
      <c r="B907" t="str">
        <f>检查点拆解!D907</f>
        <v>C27</v>
      </c>
      <c r="C907" s="2">
        <f>--(COUNTIFS($A$2:A907,A907,$B$2:B907,B907)=1)</f>
        <v>1</v>
      </c>
      <c r="D907" t="str">
        <f>检查点拆解!F907</f>
        <v>D11.01.02</v>
      </c>
      <c r="E907" s="2">
        <f>--(COUNTIFS($A$2:A907,A907,$D$2:D907,D907)=1)</f>
        <v>1</v>
      </c>
    </row>
    <row r="908" spans="1:5">
      <c r="A908" t="str">
        <f>检查点拆解!A908</f>
        <v>Q0120</v>
      </c>
      <c r="B908" t="str">
        <f>检查点拆解!D908</f>
        <v>C27</v>
      </c>
      <c r="C908" s="2">
        <f>--(COUNTIFS($A$2:A908,A908,$B$2:B908,B908)=1)</f>
        <v>0</v>
      </c>
      <c r="D908" t="str">
        <f>检查点拆解!F908</f>
        <v>D11.01.03</v>
      </c>
      <c r="E908" s="2">
        <f>--(COUNTIFS($A$2:A908,A908,$D$2:D908,D908)=1)</f>
        <v>1</v>
      </c>
    </row>
    <row r="909" spans="1:5">
      <c r="A909" t="str">
        <f>检查点拆解!A909</f>
        <v>Q0120</v>
      </c>
      <c r="B909" t="str">
        <f>检查点拆解!D909</f>
        <v>C06</v>
      </c>
      <c r="C909" s="2">
        <f>--(COUNTIFS($A$2:A909,A909,$B$2:B909,B909)=1)</f>
        <v>1</v>
      </c>
      <c r="D909" t="str">
        <f>检查点拆解!F909</f>
        <v>D03.01.03</v>
      </c>
      <c r="E909" s="2">
        <f>--(COUNTIFS($A$2:A909,A909,$D$2:D909,D909)=1)</f>
        <v>1</v>
      </c>
    </row>
    <row r="910" spans="1:5">
      <c r="A910" t="str">
        <f>检查点拆解!A910</f>
        <v>Q0120</v>
      </c>
      <c r="B910" t="str">
        <f>检查点拆解!D910</f>
        <v>C24</v>
      </c>
      <c r="C910" s="2">
        <f>--(COUNTIFS($A$2:A910,A910,$B$2:B910,B910)=1)</f>
        <v>1</v>
      </c>
      <c r="D910" t="str">
        <f>检查点拆解!F910</f>
        <v>D09.02.03</v>
      </c>
      <c r="E910" s="2">
        <f>--(COUNTIFS($A$2:A910,A910,$D$2:D910,D910)=1)</f>
        <v>1</v>
      </c>
    </row>
    <row r="911" spans="1:5">
      <c r="A911" t="str">
        <f>检查点拆解!A911</f>
        <v>Q0120</v>
      </c>
      <c r="B911" t="str">
        <f>检查点拆解!D911</f>
        <v>C25</v>
      </c>
      <c r="C911" s="2">
        <f>--(COUNTIFS($A$2:A911,A911,$B$2:B911,B911)=1)</f>
        <v>1</v>
      </c>
      <c r="D911" t="str">
        <f>检查点拆解!F911</f>
        <v>D10.01.01</v>
      </c>
      <c r="E911" s="2">
        <f>--(COUNTIFS($A$2:A911,A911,$D$2:D911,D911)=1)</f>
        <v>1</v>
      </c>
    </row>
    <row r="912" spans="1:5">
      <c r="A912" t="str">
        <f>检查点拆解!A912</f>
        <v>Q0120</v>
      </c>
      <c r="B912" t="str">
        <f>检查点拆解!D912</f>
        <v>C06</v>
      </c>
      <c r="C912" s="2">
        <f>--(COUNTIFS($A$2:A912,A912,$B$2:B912,B912)=1)</f>
        <v>0</v>
      </c>
      <c r="D912" t="str">
        <f>检查点拆解!F912</f>
        <v>D03.01.02</v>
      </c>
      <c r="E912" s="2">
        <f>--(COUNTIFS($A$2:A912,A912,$D$2:D912,D912)=1)</f>
        <v>1</v>
      </c>
    </row>
    <row r="913" spans="1:5">
      <c r="A913" t="str">
        <f>检查点拆解!A913</f>
        <v>Q0120</v>
      </c>
      <c r="B913" t="str">
        <f>检查点拆解!D913</f>
        <v>C28</v>
      </c>
      <c r="C913" s="2">
        <f>--(COUNTIFS($A$2:A913,A913,$B$2:B913,B913)=1)</f>
        <v>1</v>
      </c>
      <c r="D913" t="str">
        <f>检查点拆解!F913</f>
        <v>D12.02.02</v>
      </c>
      <c r="E913" s="2">
        <f>--(COUNTIFS($A$2:A913,A913,$D$2:D913,D913)=1)</f>
        <v>1</v>
      </c>
    </row>
    <row r="914" spans="1:5">
      <c r="A914" t="str">
        <f>检查点拆解!A914</f>
        <v>Q0120</v>
      </c>
      <c r="B914" t="str">
        <f>检查点拆解!D914</f>
        <v>C26</v>
      </c>
      <c r="C914" s="2">
        <f>--(COUNTIFS($A$2:A914,A914,$B$2:B914,B914)=1)</f>
        <v>1</v>
      </c>
      <c r="D914" t="str">
        <f>检查点拆解!F914</f>
        <v>D10.02.01</v>
      </c>
      <c r="E914" s="2">
        <f>--(COUNTIFS($A$2:A914,A914,$D$2:D914,D914)=1)</f>
        <v>1</v>
      </c>
    </row>
    <row r="915" spans="1:5">
      <c r="A915" t="str">
        <f>检查点拆解!A915</f>
        <v>Q0120</v>
      </c>
      <c r="B915" t="str">
        <f>检查点拆解!D915</f>
        <v>C28</v>
      </c>
      <c r="C915" s="2">
        <f>--(COUNTIFS($A$2:A915,A915,$B$2:B915,B915)=1)</f>
        <v>0</v>
      </c>
      <c r="D915" t="str">
        <f>检查点拆解!F915</f>
        <v>D12.01.01</v>
      </c>
      <c r="E915" s="2">
        <f>--(COUNTIFS($A$2:A915,A915,$D$2:D915,D915)=1)</f>
        <v>1</v>
      </c>
    </row>
    <row r="916" spans="1:5">
      <c r="A916" t="str">
        <f>检查点拆解!A916</f>
        <v>Q0120</v>
      </c>
      <c r="B916" t="str">
        <f>检查点拆解!D916</f>
        <v>C28</v>
      </c>
      <c r="C916" s="2">
        <f>--(COUNTIFS($A$2:A916,A916,$B$2:B916,B916)=1)</f>
        <v>0</v>
      </c>
      <c r="D916" t="str">
        <f>检查点拆解!F916</f>
        <v>D12.01.02</v>
      </c>
      <c r="E916" s="2">
        <f>--(COUNTIFS($A$2:A916,A916,$D$2:D916,D916)=1)</f>
        <v>1</v>
      </c>
    </row>
    <row r="917" spans="1:5">
      <c r="A917" t="str">
        <f>检查点拆解!A917</f>
        <v>Q0121</v>
      </c>
      <c r="B917" t="str">
        <f>检查点拆解!D917</f>
        <v>C24</v>
      </c>
      <c r="C917" s="2">
        <f>--(COUNTIFS($A$2:A917,A917,$B$2:B917,B917)=1)</f>
        <v>1</v>
      </c>
      <c r="D917" t="str">
        <f>检查点拆解!F917</f>
        <v>D09.03.01</v>
      </c>
      <c r="E917" s="2">
        <f>--(COUNTIFS($A$2:A917,A917,$D$2:D917,D917)=1)</f>
        <v>1</v>
      </c>
    </row>
    <row r="918" spans="1:5">
      <c r="A918" t="str">
        <f>检查点拆解!A918</f>
        <v>Q0121</v>
      </c>
      <c r="B918" t="str">
        <f>检查点拆解!D918</f>
        <v>C27</v>
      </c>
      <c r="C918" s="2">
        <f>--(COUNTIFS($A$2:A918,A918,$B$2:B918,B918)=1)</f>
        <v>1</v>
      </c>
      <c r="D918" t="str">
        <f>检查点拆解!F918</f>
        <v>D11.01.03</v>
      </c>
      <c r="E918" s="2">
        <f>--(COUNTIFS($A$2:A918,A918,$D$2:D918,D918)=1)</f>
        <v>1</v>
      </c>
    </row>
    <row r="919" spans="1:5">
      <c r="A919" t="str">
        <f>检查点拆解!A919</f>
        <v>Q0121</v>
      </c>
      <c r="B919" t="str">
        <f>检查点拆解!D919</f>
        <v>C25</v>
      </c>
      <c r="C919" s="2">
        <f>--(COUNTIFS($A$2:A919,A919,$B$2:B919,B919)=1)</f>
        <v>1</v>
      </c>
      <c r="D919" t="str">
        <f>检查点拆解!F919</f>
        <v>D10.01.01</v>
      </c>
      <c r="E919" s="2">
        <f>--(COUNTIFS($A$2:A919,A919,$D$2:D919,D919)=1)</f>
        <v>1</v>
      </c>
    </row>
    <row r="920" spans="1:5">
      <c r="A920" t="str">
        <f>检查点拆解!A920</f>
        <v>Q0121</v>
      </c>
      <c r="B920" t="str">
        <f>检查点拆解!D920</f>
        <v>C30</v>
      </c>
      <c r="C920" s="2">
        <f>--(COUNTIFS($A$2:A920,A920,$B$2:B920,B920)=1)</f>
        <v>1</v>
      </c>
      <c r="D920" t="str">
        <f>检查点拆解!F920</f>
        <v>D15.01.04</v>
      </c>
      <c r="E920" s="2">
        <f>--(COUNTIFS($A$2:A920,A920,$D$2:D920,D920)=1)</f>
        <v>1</v>
      </c>
    </row>
    <row r="921" spans="1:5">
      <c r="A921" t="str">
        <f>检查点拆解!A921</f>
        <v>Q0121</v>
      </c>
      <c r="B921" t="str">
        <f>检查点拆解!D921</f>
        <v>C06</v>
      </c>
      <c r="C921" s="2">
        <f>--(COUNTIFS($A$2:A921,A921,$B$2:B921,B921)=1)</f>
        <v>1</v>
      </c>
      <c r="D921" t="str">
        <f>检查点拆解!F921</f>
        <v>D03.01.02</v>
      </c>
      <c r="E921" s="2">
        <f>--(COUNTIFS($A$2:A921,A921,$D$2:D921,D921)=1)</f>
        <v>1</v>
      </c>
    </row>
    <row r="922" spans="1:5">
      <c r="A922" t="str">
        <f>检查点拆解!A922</f>
        <v>Q0121</v>
      </c>
      <c r="B922" t="str">
        <f>检查点拆解!D922</f>
        <v>C26</v>
      </c>
      <c r="C922" s="2">
        <f>--(COUNTIFS($A$2:A922,A922,$B$2:B922,B922)=1)</f>
        <v>1</v>
      </c>
      <c r="D922" t="str">
        <f>检查点拆解!F922</f>
        <v>D10.02.01</v>
      </c>
      <c r="E922" s="2">
        <f>--(COUNTIFS($A$2:A922,A922,$D$2:D922,D922)=1)</f>
        <v>1</v>
      </c>
    </row>
    <row r="923" spans="1:5">
      <c r="A923" t="str">
        <f>检查点拆解!A923</f>
        <v>Q0121</v>
      </c>
      <c r="B923" t="str">
        <f>检查点拆解!D923</f>
        <v>C06</v>
      </c>
      <c r="C923" s="2">
        <f>--(COUNTIFS($A$2:A923,A923,$B$2:B923,B923)=1)</f>
        <v>0</v>
      </c>
      <c r="D923" t="str">
        <f>检查点拆解!F923</f>
        <v>D03.01.01</v>
      </c>
      <c r="E923" s="2">
        <f>--(COUNTIFS($A$2:A923,A923,$D$2:D923,D923)=1)</f>
        <v>1</v>
      </c>
    </row>
    <row r="924" spans="1:5">
      <c r="A924" t="str">
        <f>检查点拆解!A924</f>
        <v>Q0121</v>
      </c>
      <c r="B924" t="str">
        <f>检查点拆解!D924</f>
        <v>C03</v>
      </c>
      <c r="C924" s="2">
        <f>--(COUNTIFS($A$2:A924,A924,$B$2:B924,B924)=1)</f>
        <v>1</v>
      </c>
      <c r="D924" t="str">
        <f>检查点拆解!F924</f>
        <v>D02.01.03</v>
      </c>
      <c r="E924" s="2">
        <f>--(COUNTIFS($A$2:A924,A924,$D$2:D924,D924)=1)</f>
        <v>1</v>
      </c>
    </row>
    <row r="925" spans="1:5">
      <c r="A925" t="str">
        <f>检查点拆解!A925</f>
        <v>Q0121</v>
      </c>
      <c r="B925" t="str">
        <f>检查点拆解!D925</f>
        <v>C28</v>
      </c>
      <c r="C925" s="2">
        <f>--(COUNTIFS($A$2:A925,A925,$B$2:B925,B925)=1)</f>
        <v>1</v>
      </c>
      <c r="D925" t="str">
        <f>检查点拆解!F925</f>
        <v>D13.01.01</v>
      </c>
      <c r="E925" s="2">
        <f>--(COUNTIFS($A$2:A925,A925,$D$2:D925,D925)=1)</f>
        <v>1</v>
      </c>
    </row>
    <row r="926" spans="1:5">
      <c r="A926" t="str">
        <f>检查点拆解!A926</f>
        <v>Q0121</v>
      </c>
      <c r="B926" t="str">
        <f>检查点拆解!D926</f>
        <v>C08</v>
      </c>
      <c r="C926" s="2">
        <f>--(COUNTIFS($A$2:A926,A926,$B$2:B926,B926)=1)</f>
        <v>1</v>
      </c>
      <c r="D926" t="str">
        <f>检查点拆解!F926</f>
        <v>D04.01.01</v>
      </c>
      <c r="E926" s="2">
        <f>--(COUNTIFS($A$2:A926,A926,$D$2:D926,D926)=1)</f>
        <v>1</v>
      </c>
    </row>
    <row r="927" spans="1:5">
      <c r="A927" t="str">
        <f>检查点拆解!A927</f>
        <v>Q0122</v>
      </c>
      <c r="B927" t="str">
        <f>检查点拆解!D927</f>
        <v>C29</v>
      </c>
      <c r="C927" s="2">
        <f>--(COUNTIFS($A$2:A927,A927,$B$2:B927,B927)=1)</f>
        <v>1</v>
      </c>
      <c r="D927" t="str">
        <f>检查点拆解!F927</f>
        <v>D14.02.01</v>
      </c>
      <c r="E927" s="2">
        <f>--(COUNTIFS($A$2:A927,A927,$D$2:D927,D927)=1)</f>
        <v>1</v>
      </c>
    </row>
    <row r="928" spans="1:5">
      <c r="A928" t="str">
        <f>检查点拆解!A928</f>
        <v>Q0122</v>
      </c>
      <c r="B928" t="str">
        <f>检查点拆解!D928</f>
        <v>C27</v>
      </c>
      <c r="C928" s="2">
        <f>--(COUNTIFS($A$2:A928,A928,$B$2:B928,B928)=1)</f>
        <v>1</v>
      </c>
      <c r="D928" t="str">
        <f>检查点拆解!F928</f>
        <v>D11.02.01</v>
      </c>
      <c r="E928" s="2">
        <f>--(COUNTIFS($A$2:A928,A928,$D$2:D928,D928)=1)</f>
        <v>1</v>
      </c>
    </row>
    <row r="929" spans="1:5">
      <c r="A929" t="str">
        <f>检查点拆解!A929</f>
        <v>Q0122</v>
      </c>
      <c r="B929" t="str">
        <f>检查点拆解!D929</f>
        <v>C27</v>
      </c>
      <c r="C929" s="2">
        <f>--(COUNTIFS($A$2:A929,A929,$B$2:B929,B929)=1)</f>
        <v>0</v>
      </c>
      <c r="D929" t="str">
        <f>检查点拆解!F929</f>
        <v>D11.01.02</v>
      </c>
      <c r="E929" s="2">
        <f>--(COUNTIFS($A$2:A929,A929,$D$2:D929,D929)=1)</f>
        <v>1</v>
      </c>
    </row>
    <row r="930" spans="1:5">
      <c r="A930" t="str">
        <f>检查点拆解!A930</f>
        <v>Q0122</v>
      </c>
      <c r="B930" t="str">
        <f>检查点拆解!D930</f>
        <v>C24</v>
      </c>
      <c r="C930" s="2">
        <f>--(COUNTIFS($A$2:A930,A930,$B$2:B930,B930)=1)</f>
        <v>1</v>
      </c>
      <c r="D930" t="str">
        <f>检查点拆解!F930</f>
        <v>D09.03.03</v>
      </c>
      <c r="E930" s="2">
        <f>--(COUNTIFS($A$2:A930,A930,$D$2:D930,D930)=1)</f>
        <v>1</v>
      </c>
    </row>
    <row r="931" spans="1:5">
      <c r="A931" t="str">
        <f>检查点拆解!A931</f>
        <v>Q0122</v>
      </c>
      <c r="B931" t="str">
        <f>检查点拆解!D931</f>
        <v>C27</v>
      </c>
      <c r="C931" s="2">
        <f>--(COUNTIFS($A$2:A931,A931,$B$2:B931,B931)=1)</f>
        <v>0</v>
      </c>
      <c r="D931" t="str">
        <f>检查点拆解!F931</f>
        <v>D11.01.03</v>
      </c>
      <c r="E931" s="2">
        <f>--(COUNTIFS($A$2:A931,A931,$D$2:D931,D931)=1)</f>
        <v>1</v>
      </c>
    </row>
    <row r="932" spans="1:5">
      <c r="A932" t="str">
        <f>检查点拆解!A932</f>
        <v>Q0122</v>
      </c>
      <c r="B932" t="str">
        <f>检查点拆解!D932</f>
        <v>C06</v>
      </c>
      <c r="C932" s="2">
        <f>--(COUNTIFS($A$2:A932,A932,$B$2:B932,B932)=1)</f>
        <v>1</v>
      </c>
      <c r="D932" t="str">
        <f>检查点拆解!F932</f>
        <v>D03.01.03</v>
      </c>
      <c r="E932" s="2">
        <f>--(COUNTIFS($A$2:A932,A932,$D$2:D932,D932)=1)</f>
        <v>1</v>
      </c>
    </row>
    <row r="933" spans="1:5">
      <c r="A933" t="str">
        <f>检查点拆解!A933</f>
        <v>Q0122</v>
      </c>
      <c r="B933" t="str">
        <f>检查点拆解!D933</f>
        <v>C24</v>
      </c>
      <c r="C933" s="2">
        <f>--(COUNTIFS($A$2:A933,A933,$B$2:B933,B933)=1)</f>
        <v>0</v>
      </c>
      <c r="D933" t="str">
        <f>检查点拆解!F933</f>
        <v>D09.02.01</v>
      </c>
      <c r="E933" s="2">
        <f>--(COUNTIFS($A$2:A933,A933,$D$2:D933,D933)=1)</f>
        <v>1</v>
      </c>
    </row>
    <row r="934" spans="1:5">
      <c r="A934" t="str">
        <f>检查点拆解!A934</f>
        <v>Q0122</v>
      </c>
      <c r="B934" t="str">
        <f>检查点拆解!D934</f>
        <v>C25</v>
      </c>
      <c r="C934" s="2">
        <f>--(COUNTIFS($A$2:A934,A934,$B$2:B934,B934)=1)</f>
        <v>1</v>
      </c>
      <c r="D934" t="str">
        <f>检查点拆解!F934</f>
        <v>D10.01.01</v>
      </c>
      <c r="E934" s="2">
        <f>--(COUNTIFS($A$2:A934,A934,$D$2:D934,D934)=1)</f>
        <v>1</v>
      </c>
    </row>
    <row r="935" spans="1:5">
      <c r="A935" t="str">
        <f>检查点拆解!A935</f>
        <v>Q0122</v>
      </c>
      <c r="B935" t="str">
        <f>检查点拆解!D935</f>
        <v>C25</v>
      </c>
      <c r="C935" s="2">
        <f>--(COUNTIFS($A$2:A935,A935,$B$2:B935,B935)=1)</f>
        <v>0</v>
      </c>
      <c r="D935" t="str">
        <f>检查点拆解!F935</f>
        <v>D10.01.04</v>
      </c>
      <c r="E935" s="2">
        <f>--(COUNTIFS($A$2:A935,A935,$D$2:D935,D935)=1)</f>
        <v>1</v>
      </c>
    </row>
    <row r="936" spans="1:5">
      <c r="A936" t="str">
        <f>检查点拆解!A936</f>
        <v>Q0122</v>
      </c>
      <c r="B936" t="str">
        <f>检查点拆解!D936</f>
        <v>C06</v>
      </c>
      <c r="C936" s="2">
        <f>--(COUNTIFS($A$2:A936,A936,$B$2:B936,B936)=1)</f>
        <v>0</v>
      </c>
      <c r="D936" t="str">
        <f>检查点拆解!F936</f>
        <v>D03.01.02</v>
      </c>
      <c r="E936" s="2">
        <f>--(COUNTIFS($A$2:A936,A936,$D$2:D936,D936)=1)</f>
        <v>1</v>
      </c>
    </row>
    <row r="937" spans="1:5">
      <c r="A937" t="str">
        <f>检查点拆解!A937</f>
        <v>Q0123</v>
      </c>
      <c r="B937" t="str">
        <f>检查点拆解!D937</f>
        <v>C06</v>
      </c>
      <c r="C937" s="2">
        <f>--(COUNTIFS($A$2:A937,A937,$B$2:B937,B937)=1)</f>
        <v>1</v>
      </c>
      <c r="D937" t="str">
        <f>检查点拆解!F937</f>
        <v>D03.01.02</v>
      </c>
      <c r="E937" s="2">
        <f>--(COUNTIFS($A$2:A937,A937,$D$2:D937,D937)=1)</f>
        <v>1</v>
      </c>
    </row>
    <row r="938" spans="1:5">
      <c r="A938" t="str">
        <f>检查点拆解!A938</f>
        <v>Q0123</v>
      </c>
      <c r="B938" t="str">
        <f>检查点拆解!D938</f>
        <v>C28</v>
      </c>
      <c r="C938" s="2">
        <f>--(COUNTIFS($A$2:A938,A938,$B$2:B938,B938)=1)</f>
        <v>1</v>
      </c>
      <c r="D938" t="str">
        <f>检查点拆解!F938</f>
        <v>D13.01.01</v>
      </c>
      <c r="E938" s="2">
        <f>--(COUNTIFS($A$2:A938,A938,$D$2:D938,D938)=1)</f>
        <v>1</v>
      </c>
    </row>
    <row r="939" spans="1:5">
      <c r="A939" t="str">
        <f>检查点拆解!A939</f>
        <v>Q0123</v>
      </c>
      <c r="B939" t="str">
        <f>检查点拆解!D939</f>
        <v>C05</v>
      </c>
      <c r="C939" s="2">
        <f>--(COUNTIFS($A$2:A939,A939,$B$2:B939,B939)=1)</f>
        <v>1</v>
      </c>
      <c r="D939" t="str">
        <f>检查点拆解!F939</f>
        <v>D02.03.02</v>
      </c>
      <c r="E939" s="2">
        <f>--(COUNTIFS($A$2:A939,A939,$D$2:D939,D939)=1)</f>
        <v>1</v>
      </c>
    </row>
    <row r="940" spans="1:5">
      <c r="A940" t="str">
        <f>检查点拆解!A940</f>
        <v>Q0124</v>
      </c>
      <c r="B940" t="str">
        <f>检查点拆解!D940</f>
        <v>C29</v>
      </c>
      <c r="C940" s="2">
        <f>--(COUNTIFS($A$2:A940,A940,$B$2:B940,B940)=1)</f>
        <v>1</v>
      </c>
      <c r="D940" t="str">
        <f>检查点拆解!F940</f>
        <v>D14.02.01</v>
      </c>
      <c r="E940" s="2">
        <f>--(COUNTIFS($A$2:A940,A940,$D$2:D940,D940)=1)</f>
        <v>1</v>
      </c>
    </row>
    <row r="941" spans="1:5">
      <c r="A941" t="str">
        <f>检查点拆解!A941</f>
        <v>Q0124</v>
      </c>
      <c r="B941" t="str">
        <f>检查点拆解!D941</f>
        <v>C11</v>
      </c>
      <c r="C941" s="2">
        <f>--(COUNTIFS($A$2:A941,A941,$B$2:B941,B941)=1)</f>
        <v>1</v>
      </c>
      <c r="D941" t="str">
        <f>检查点拆解!F941</f>
        <v>D04.03.02</v>
      </c>
      <c r="E941" s="2">
        <f>--(COUNTIFS($A$2:A941,A941,$D$2:D941,D941)=1)</f>
        <v>1</v>
      </c>
    </row>
    <row r="942" spans="1:5">
      <c r="A942" t="str">
        <f>检查点拆解!A942</f>
        <v>Q0124</v>
      </c>
      <c r="B942" t="str">
        <f>检查点拆解!D942</f>
        <v>C14</v>
      </c>
      <c r="C942" s="2">
        <f>--(COUNTIFS($A$2:A942,A942,$B$2:B942,B942)=1)</f>
        <v>1</v>
      </c>
      <c r="D942" t="str">
        <f>检查点拆解!F942</f>
        <v>D08.01.01</v>
      </c>
      <c r="E942" s="2">
        <f>--(COUNTIFS($A$2:A942,A942,$D$2:D942,D942)=1)</f>
        <v>1</v>
      </c>
    </row>
    <row r="943" spans="1:5">
      <c r="A943" t="str">
        <f>检查点拆解!A943</f>
        <v>Q0124</v>
      </c>
      <c r="B943" t="str">
        <f>检查点拆解!D943</f>
        <v>C27</v>
      </c>
      <c r="C943" s="2">
        <f>--(COUNTIFS($A$2:A943,A943,$B$2:B943,B943)=1)</f>
        <v>1</v>
      </c>
      <c r="D943" t="str">
        <f>检查点拆解!F943</f>
        <v>D11.02.01</v>
      </c>
      <c r="E943" s="2">
        <f>--(COUNTIFS($A$2:A943,A943,$D$2:D943,D943)=1)</f>
        <v>1</v>
      </c>
    </row>
    <row r="944" spans="1:5">
      <c r="A944" t="str">
        <f>检查点拆解!A944</f>
        <v>Q0124</v>
      </c>
      <c r="B944" t="str">
        <f>检查点拆解!D944</f>
        <v>C27</v>
      </c>
      <c r="C944" s="2">
        <f>--(COUNTIFS($A$2:A944,A944,$B$2:B944,B944)=1)</f>
        <v>0</v>
      </c>
      <c r="D944" t="str">
        <f>检查点拆解!F944</f>
        <v>D11.02.02</v>
      </c>
      <c r="E944" s="2">
        <f>--(COUNTIFS($A$2:A944,A944,$D$2:D944,D944)=1)</f>
        <v>1</v>
      </c>
    </row>
    <row r="945" spans="1:5">
      <c r="A945" t="str">
        <f>检查点拆解!A945</f>
        <v>Q0124</v>
      </c>
      <c r="B945" t="str">
        <f>检查点拆解!D945</f>
        <v>C27</v>
      </c>
      <c r="C945" s="2">
        <f>--(COUNTIFS($A$2:A945,A945,$B$2:B945,B945)=1)</f>
        <v>0</v>
      </c>
      <c r="D945" t="str">
        <f>检查点拆解!F945</f>
        <v>D11.01.02</v>
      </c>
      <c r="E945" s="2">
        <f>--(COUNTIFS($A$2:A945,A945,$D$2:D945,D945)=1)</f>
        <v>1</v>
      </c>
    </row>
    <row r="946" spans="1:5">
      <c r="A946" t="str">
        <f>检查点拆解!A946</f>
        <v>Q0124</v>
      </c>
      <c r="B946" t="str">
        <f>检查点拆解!D946</f>
        <v>C24</v>
      </c>
      <c r="C946" s="2">
        <f>--(COUNTIFS($A$2:A946,A946,$B$2:B946,B946)=1)</f>
        <v>1</v>
      </c>
      <c r="D946" t="str">
        <f>检查点拆解!F946</f>
        <v>D09.03.03</v>
      </c>
      <c r="E946" s="2">
        <f>--(COUNTIFS($A$2:A946,A946,$D$2:D946,D946)=1)</f>
        <v>1</v>
      </c>
    </row>
    <row r="947" spans="1:5">
      <c r="A947" t="str">
        <f>检查点拆解!A947</f>
        <v>Q0124</v>
      </c>
      <c r="B947" t="str">
        <f>检查点拆解!D947</f>
        <v>C15</v>
      </c>
      <c r="C947" s="2">
        <f>--(COUNTIFS($A$2:A947,A947,$B$2:B947,B947)=1)</f>
        <v>1</v>
      </c>
      <c r="D947" t="str">
        <f>检查点拆解!F947</f>
        <v>D05.02.02</v>
      </c>
      <c r="E947" s="2">
        <f>--(COUNTIFS($A$2:A947,A947,$D$2:D947,D947)=1)</f>
        <v>1</v>
      </c>
    </row>
    <row r="948" spans="1:5">
      <c r="A948" t="str">
        <f>检查点拆解!A948</f>
        <v>Q0124</v>
      </c>
      <c r="B948" t="str">
        <f>检查点拆解!D948</f>
        <v>C25</v>
      </c>
      <c r="C948" s="2">
        <f>--(COUNTIFS($A$2:A948,A948,$B$2:B948,B948)=1)</f>
        <v>1</v>
      </c>
      <c r="D948" t="str">
        <f>检查点拆解!F948</f>
        <v>D10.01.01</v>
      </c>
      <c r="E948" s="2">
        <f>--(COUNTIFS($A$2:A948,A948,$D$2:D948,D948)=1)</f>
        <v>1</v>
      </c>
    </row>
    <row r="949" spans="1:5">
      <c r="A949" t="str">
        <f>检查点拆解!A949</f>
        <v>Q0124</v>
      </c>
      <c r="B949" t="str">
        <f>检查点拆解!D949</f>
        <v>C25</v>
      </c>
      <c r="C949" s="2">
        <f>--(COUNTIFS($A$2:A949,A949,$B$2:B949,B949)=1)</f>
        <v>0</v>
      </c>
      <c r="D949" t="str">
        <f>检查点拆解!F949</f>
        <v>D10.01.04</v>
      </c>
      <c r="E949" s="2">
        <f>--(COUNTIFS($A$2:A949,A949,$D$2:D949,D949)=1)</f>
        <v>1</v>
      </c>
    </row>
    <row r="950" spans="1:5">
      <c r="A950" t="str">
        <f>检查点拆解!A950</f>
        <v>Q0125</v>
      </c>
      <c r="B950" t="str">
        <f>检查点拆解!D950</f>
        <v>C29</v>
      </c>
      <c r="C950" s="2">
        <f>--(COUNTIFS($A$2:A950,A950,$B$2:B950,B950)=1)</f>
        <v>1</v>
      </c>
      <c r="D950" t="str">
        <f>检查点拆解!F950</f>
        <v>D14.02.01</v>
      </c>
      <c r="E950" s="2">
        <f>--(COUNTIFS($A$2:A950,A950,$D$2:D950,D950)=1)</f>
        <v>1</v>
      </c>
    </row>
    <row r="951" spans="1:5">
      <c r="A951" t="str">
        <f>检查点拆解!A951</f>
        <v>Q0125</v>
      </c>
      <c r="B951" t="str">
        <f>检查点拆解!D951</f>
        <v>C27</v>
      </c>
      <c r="C951" s="2">
        <f>--(COUNTIFS($A$2:A951,A951,$B$2:B951,B951)=1)</f>
        <v>1</v>
      </c>
      <c r="D951" t="str">
        <f>检查点拆解!F951</f>
        <v>D11.01.02</v>
      </c>
      <c r="E951" s="2">
        <f>--(COUNTIFS($A$2:A951,A951,$D$2:D951,D951)=1)</f>
        <v>1</v>
      </c>
    </row>
    <row r="952" spans="1:5">
      <c r="A952" t="str">
        <f>检查点拆解!A952</f>
        <v>Q0125</v>
      </c>
      <c r="B952" t="str">
        <f>检查点拆解!D952</f>
        <v>C30</v>
      </c>
      <c r="C952" s="2">
        <f>--(COUNTIFS($A$2:A952,A952,$B$2:B952,B952)=1)</f>
        <v>1</v>
      </c>
      <c r="D952" t="str">
        <f>检查点拆解!F952</f>
        <v>D15.01.04</v>
      </c>
      <c r="E952" s="2">
        <f>--(COUNTIFS($A$2:A952,A952,$D$2:D952,D952)=1)</f>
        <v>1</v>
      </c>
    </row>
    <row r="953" spans="1:5">
      <c r="A953" t="str">
        <f>检查点拆解!A953</f>
        <v>Q0126</v>
      </c>
      <c r="B953" t="str">
        <f>检查点拆解!D953</f>
        <v>C29</v>
      </c>
      <c r="C953" s="2">
        <f>--(COUNTIFS($A$2:A953,A953,$B$2:B953,B953)=1)</f>
        <v>1</v>
      </c>
      <c r="D953" t="str">
        <f>检查点拆解!F953</f>
        <v>D14.02.01</v>
      </c>
      <c r="E953" s="2">
        <f>--(COUNTIFS($A$2:A953,A953,$D$2:D953,D953)=1)</f>
        <v>1</v>
      </c>
    </row>
    <row r="954" spans="1:5">
      <c r="A954" t="str">
        <f>检查点拆解!A954</f>
        <v>Q0126</v>
      </c>
      <c r="B954" t="str">
        <f>检查点拆解!D954</f>
        <v>C24</v>
      </c>
      <c r="C954" s="2">
        <f>--(COUNTIFS($A$2:A954,A954,$B$2:B954,B954)=1)</f>
        <v>1</v>
      </c>
      <c r="D954" t="str">
        <f>检查点拆解!F954</f>
        <v>D09.02.02</v>
      </c>
      <c r="E954" s="2">
        <f>--(COUNTIFS($A$2:A954,A954,$D$2:D954,D954)=1)</f>
        <v>1</v>
      </c>
    </row>
    <row r="955" spans="1:5">
      <c r="A955" t="str">
        <f>检查点拆解!A955</f>
        <v>Q0126</v>
      </c>
      <c r="B955" t="str">
        <f>检查点拆解!D955</f>
        <v>C27</v>
      </c>
      <c r="C955" s="2">
        <f>--(COUNTIFS($A$2:A955,A955,$B$2:B955,B955)=1)</f>
        <v>1</v>
      </c>
      <c r="D955" t="str">
        <f>检查点拆解!F955</f>
        <v>D11.02.01</v>
      </c>
      <c r="E955" s="2">
        <f>--(COUNTIFS($A$2:A955,A955,$D$2:D955,D955)=1)</f>
        <v>1</v>
      </c>
    </row>
    <row r="956" spans="1:5">
      <c r="A956" t="str">
        <f>检查点拆解!A956</f>
        <v>Q0126</v>
      </c>
      <c r="B956" t="str">
        <f>检查点拆解!D956</f>
        <v>C27</v>
      </c>
      <c r="C956" s="2">
        <f>--(COUNTIFS($A$2:A956,A956,$B$2:B956,B956)=1)</f>
        <v>0</v>
      </c>
      <c r="D956" t="str">
        <f>检查点拆解!F956</f>
        <v>D11.02.03</v>
      </c>
      <c r="E956" s="2">
        <f>--(COUNTIFS($A$2:A956,A956,$D$2:D956,D956)=1)</f>
        <v>1</v>
      </c>
    </row>
    <row r="957" spans="1:5">
      <c r="A957" t="str">
        <f>检查点拆解!A957</f>
        <v>Q0126</v>
      </c>
      <c r="B957" t="str">
        <f>检查点拆解!D957</f>
        <v>C27</v>
      </c>
      <c r="C957" s="2">
        <f>--(COUNTIFS($A$2:A957,A957,$B$2:B957,B957)=1)</f>
        <v>0</v>
      </c>
      <c r="D957" t="str">
        <f>检查点拆解!F957</f>
        <v>D11.01.02</v>
      </c>
      <c r="E957" s="2">
        <f>--(COUNTIFS($A$2:A957,A957,$D$2:D957,D957)=1)</f>
        <v>1</v>
      </c>
    </row>
    <row r="958" spans="1:5">
      <c r="A958" t="str">
        <f>检查点拆解!A958</f>
        <v>Q0126</v>
      </c>
      <c r="B958" t="str">
        <f>检查点拆解!D958</f>
        <v>C25</v>
      </c>
      <c r="C958" s="2">
        <f>--(COUNTIFS($A$2:A958,A958,$B$2:B958,B958)=1)</f>
        <v>1</v>
      </c>
      <c r="D958" t="str">
        <f>检查点拆解!F958</f>
        <v>D10.01.01</v>
      </c>
      <c r="E958" s="2">
        <f>--(COUNTIFS($A$2:A958,A958,$D$2:D958,D958)=1)</f>
        <v>1</v>
      </c>
    </row>
    <row r="959" spans="1:5">
      <c r="A959" t="str">
        <f>检查点拆解!A959</f>
        <v>Q0126</v>
      </c>
      <c r="B959" t="str">
        <f>检查点拆解!D959</f>
        <v>C09</v>
      </c>
      <c r="C959" s="2">
        <f>--(COUNTIFS($A$2:A959,A959,$B$2:B959,B959)=1)</f>
        <v>1</v>
      </c>
      <c r="D959" t="str">
        <f>检查点拆解!F959</f>
        <v>D04.02.02</v>
      </c>
      <c r="E959" s="2">
        <f>--(COUNTIFS($A$2:A959,A959,$D$2:D959,D959)=1)</f>
        <v>1</v>
      </c>
    </row>
    <row r="960" spans="1:5">
      <c r="A960" t="str">
        <f>检查点拆解!A960</f>
        <v>Q0126</v>
      </c>
      <c r="B960" t="str">
        <f>检查点拆解!D960</f>
        <v>C23</v>
      </c>
      <c r="C960" s="2">
        <f>--(COUNTIFS($A$2:A960,A960,$B$2:B960,B960)=1)</f>
        <v>1</v>
      </c>
      <c r="D960" t="str">
        <f>检查点拆解!F960</f>
        <v>D09.01.01</v>
      </c>
      <c r="E960" s="2">
        <f>--(COUNTIFS($A$2:A960,A960,$D$2:D960,D960)=1)</f>
        <v>1</v>
      </c>
    </row>
    <row r="961" spans="1:5">
      <c r="A961" t="str">
        <f>检查点拆解!A961</f>
        <v>Q0126</v>
      </c>
      <c r="B961" t="str">
        <f>检查点拆解!D961</f>
        <v>C28</v>
      </c>
      <c r="C961" s="2">
        <f>--(COUNTIFS($A$2:A961,A961,$B$2:B961,B961)=1)</f>
        <v>1</v>
      </c>
      <c r="D961" t="str">
        <f>检查点拆解!F961</f>
        <v>D12.02.01</v>
      </c>
      <c r="E961" s="2">
        <f>--(COUNTIFS($A$2:A961,A961,$D$2:D961,D961)=1)</f>
        <v>1</v>
      </c>
    </row>
    <row r="962" spans="1:5">
      <c r="A962" t="str">
        <f>检查点拆解!A962</f>
        <v>Q0126</v>
      </c>
      <c r="B962" t="str">
        <f>检查点拆解!D962</f>
        <v>C08</v>
      </c>
      <c r="C962" s="2">
        <f>--(COUNTIFS($A$2:A962,A962,$B$2:B962,B962)=1)</f>
        <v>1</v>
      </c>
      <c r="D962" t="str">
        <f>检查点拆解!F962</f>
        <v>D04.01.02</v>
      </c>
      <c r="E962" s="2">
        <f>--(COUNTIFS($A$2:A962,A962,$D$2:D962,D962)=1)</f>
        <v>1</v>
      </c>
    </row>
    <row r="963" spans="1:5">
      <c r="A963" t="str">
        <f>检查点拆解!A963</f>
        <v>Q0127</v>
      </c>
      <c r="B963" t="str">
        <f>检查点拆解!D963</f>
        <v>C29</v>
      </c>
      <c r="C963" s="2">
        <f>--(COUNTIFS($A$2:A963,A963,$B$2:B963,B963)=1)</f>
        <v>1</v>
      </c>
      <c r="D963" t="str">
        <f>检查点拆解!F963</f>
        <v>D14.02.01</v>
      </c>
      <c r="E963" s="2">
        <f>--(COUNTIFS($A$2:A963,A963,$D$2:D963,D963)=1)</f>
        <v>1</v>
      </c>
    </row>
    <row r="964" spans="1:5">
      <c r="A964" t="str">
        <f>检查点拆解!A964</f>
        <v>Q0127</v>
      </c>
      <c r="B964" t="str">
        <f>检查点拆解!D964</f>
        <v>C10</v>
      </c>
      <c r="C964" s="2">
        <f>--(COUNTIFS($A$2:A964,A964,$B$2:B964,B964)=1)</f>
        <v>1</v>
      </c>
      <c r="D964" t="str">
        <f>检查点拆解!F964</f>
        <v>D04.03.01</v>
      </c>
      <c r="E964" s="2">
        <f>--(COUNTIFS($A$2:A964,A964,$D$2:D964,D964)=1)</f>
        <v>1</v>
      </c>
    </row>
    <row r="965" spans="1:5">
      <c r="A965" t="str">
        <f>检查点拆解!A965</f>
        <v>Q0127</v>
      </c>
      <c r="B965" t="str">
        <f>检查点拆解!D965</f>
        <v>C06</v>
      </c>
      <c r="C965" s="2">
        <f>--(COUNTIFS($A$2:A965,A965,$B$2:B965,B965)=1)</f>
        <v>1</v>
      </c>
      <c r="D965" t="str">
        <f>检查点拆解!F965</f>
        <v>D03.01.03</v>
      </c>
      <c r="E965" s="2">
        <f>--(COUNTIFS($A$2:A965,A965,$D$2:D965,D965)=1)</f>
        <v>1</v>
      </c>
    </row>
    <row r="966" spans="1:5">
      <c r="A966" t="str">
        <f>检查点拆解!A966</f>
        <v>Q0127</v>
      </c>
      <c r="B966" t="str">
        <f>检查点拆解!D966</f>
        <v>C25</v>
      </c>
      <c r="C966" s="2">
        <f>--(COUNTIFS($A$2:A966,A966,$B$2:B966,B966)=1)</f>
        <v>1</v>
      </c>
      <c r="D966" t="str">
        <f>检查点拆解!F966</f>
        <v>D10.01.01</v>
      </c>
      <c r="E966" s="2">
        <f>--(COUNTIFS($A$2:A966,A966,$D$2:D966,D966)=1)</f>
        <v>1</v>
      </c>
    </row>
    <row r="967" spans="1:5">
      <c r="A967" t="str">
        <f>检查点拆解!A967</f>
        <v>Q0127</v>
      </c>
      <c r="B967" t="str">
        <f>检查点拆解!D967</f>
        <v>C09</v>
      </c>
      <c r="C967" s="2">
        <f>--(COUNTIFS($A$2:A967,A967,$B$2:B967,B967)=1)</f>
        <v>1</v>
      </c>
      <c r="D967" t="str">
        <f>检查点拆解!F967</f>
        <v>D04.02.02</v>
      </c>
      <c r="E967" s="2">
        <f>--(COUNTIFS($A$2:A967,A967,$D$2:D967,D967)=1)</f>
        <v>1</v>
      </c>
    </row>
    <row r="968" spans="1:5">
      <c r="A968" t="str">
        <f>检查点拆解!A968</f>
        <v>Q0127</v>
      </c>
      <c r="B968" t="str">
        <f>检查点拆解!D968</f>
        <v>C30</v>
      </c>
      <c r="C968" s="2">
        <f>--(COUNTIFS($A$2:A968,A968,$B$2:B968,B968)=1)</f>
        <v>1</v>
      </c>
      <c r="D968" t="str">
        <f>检查点拆解!F968</f>
        <v>D15.01.04</v>
      </c>
      <c r="E968" s="2">
        <f>--(COUNTIFS($A$2:A968,A968,$D$2:D968,D968)=1)</f>
        <v>1</v>
      </c>
    </row>
    <row r="969" spans="1:5">
      <c r="A969" t="str">
        <f>检查点拆解!A969</f>
        <v>Q0127</v>
      </c>
      <c r="B969" t="str">
        <f>检查点拆解!D969</f>
        <v>C26</v>
      </c>
      <c r="C969" s="2">
        <f>--(COUNTIFS($A$2:A969,A969,$B$2:B969,B969)=1)</f>
        <v>1</v>
      </c>
      <c r="D969" t="str">
        <f>检查点拆解!F969</f>
        <v>D10.02.01</v>
      </c>
      <c r="E969" s="2">
        <f>--(COUNTIFS($A$2:A969,A969,$D$2:D969,D969)=1)</f>
        <v>1</v>
      </c>
    </row>
    <row r="970" spans="1:5">
      <c r="A970" t="str">
        <f>检查点拆解!A970</f>
        <v>Q0127</v>
      </c>
      <c r="B970" t="str">
        <f>检查点拆解!D970</f>
        <v>C03</v>
      </c>
      <c r="C970" s="2">
        <f>--(COUNTIFS($A$2:A970,A970,$B$2:B970,B970)=1)</f>
        <v>1</v>
      </c>
      <c r="D970" t="str">
        <f>检查点拆解!F970</f>
        <v>D02.01.01</v>
      </c>
      <c r="E970" s="2">
        <f>--(COUNTIFS($A$2:A970,A970,$D$2:D970,D970)=1)</f>
        <v>1</v>
      </c>
    </row>
    <row r="971" spans="1:5">
      <c r="A971" t="str">
        <f>检查点拆解!A971</f>
        <v>Q0127</v>
      </c>
      <c r="B971" t="str">
        <f>检查点拆解!D971</f>
        <v>C04</v>
      </c>
      <c r="C971" s="2">
        <f>--(COUNTIFS($A$2:A971,A971,$B$2:B971,B971)=1)</f>
        <v>1</v>
      </c>
      <c r="D971" t="str">
        <f>检查点拆解!F971</f>
        <v>D02.02.02</v>
      </c>
      <c r="E971" s="2">
        <f>--(COUNTIFS($A$2:A971,A971,$D$2:D971,D971)=1)</f>
        <v>1</v>
      </c>
    </row>
    <row r="972" spans="1:5">
      <c r="A972" t="str">
        <f>检查点拆解!A972</f>
        <v>Q0127</v>
      </c>
      <c r="B972" t="str">
        <f>检查点拆解!D972</f>
        <v>C05</v>
      </c>
      <c r="C972" s="2">
        <f>--(COUNTIFS($A$2:A972,A972,$B$2:B972,B972)=1)</f>
        <v>1</v>
      </c>
      <c r="D972" t="str">
        <f>检查点拆解!F972</f>
        <v>D02.03.02</v>
      </c>
      <c r="E972" s="2">
        <f>--(COUNTIFS($A$2:A972,A972,$D$2:D972,D972)=1)</f>
        <v>1</v>
      </c>
    </row>
    <row r="973" spans="1:5">
      <c r="A973" t="str">
        <f>检查点拆解!A973</f>
        <v>Q0128</v>
      </c>
      <c r="B973" t="str">
        <f>检查点拆解!D973</f>
        <v>C27</v>
      </c>
      <c r="C973" s="2">
        <f>--(COUNTIFS($A$2:A973,A973,$B$2:B973,B973)=1)</f>
        <v>1</v>
      </c>
      <c r="D973" t="str">
        <f>检查点拆解!F973</f>
        <v>D11.02.01</v>
      </c>
      <c r="E973" s="2">
        <f>--(COUNTIFS($A$2:A973,A973,$D$2:D973,D973)=1)</f>
        <v>1</v>
      </c>
    </row>
    <row r="974" spans="1:5">
      <c r="A974" t="str">
        <f>检查点拆解!A974</f>
        <v>Q0128</v>
      </c>
      <c r="B974" t="str">
        <f>检查点拆解!D974</f>
        <v>C27</v>
      </c>
      <c r="C974" s="2">
        <f>--(COUNTIFS($A$2:A974,A974,$B$2:B974,B974)=1)</f>
        <v>0</v>
      </c>
      <c r="D974" t="str">
        <f>检查点拆解!F974</f>
        <v>D11.02.02</v>
      </c>
      <c r="E974" s="2">
        <f>--(COUNTIFS($A$2:A974,A974,$D$2:D974,D974)=1)</f>
        <v>1</v>
      </c>
    </row>
    <row r="975" spans="1:5">
      <c r="A975" t="str">
        <f>检查点拆解!A975</f>
        <v>Q0128</v>
      </c>
      <c r="B975" t="str">
        <f>检查点拆解!D975</f>
        <v>C27</v>
      </c>
      <c r="C975" s="2">
        <f>--(COUNTIFS($A$2:A975,A975,$B$2:B975,B975)=1)</f>
        <v>0</v>
      </c>
      <c r="D975" t="str">
        <f>检查点拆解!F975</f>
        <v>D11.02.03</v>
      </c>
      <c r="E975" s="2">
        <f>--(COUNTIFS($A$2:A975,A975,$D$2:D975,D975)=1)</f>
        <v>1</v>
      </c>
    </row>
    <row r="976" spans="1:5">
      <c r="A976" t="str">
        <f>检查点拆解!A976</f>
        <v>Q0128</v>
      </c>
      <c r="B976" t="str">
        <f>检查点拆解!D976</f>
        <v>C27</v>
      </c>
      <c r="C976" s="2">
        <f>--(COUNTIFS($A$2:A976,A976,$B$2:B976,B976)=1)</f>
        <v>0</v>
      </c>
      <c r="D976" t="str">
        <f>检查点拆解!F976</f>
        <v>D11.01.02</v>
      </c>
      <c r="E976" s="2">
        <f>--(COUNTIFS($A$2:A976,A976,$D$2:D976,D976)=1)</f>
        <v>1</v>
      </c>
    </row>
    <row r="977" spans="1:5">
      <c r="A977" t="str">
        <f>检查点拆解!A977</f>
        <v>Q0128</v>
      </c>
      <c r="B977" t="str">
        <f>检查点拆解!D977</f>
        <v>C27</v>
      </c>
      <c r="C977" s="2">
        <f>--(COUNTIFS($A$2:A977,A977,$B$2:B977,B977)=1)</f>
        <v>0</v>
      </c>
      <c r="D977" t="str">
        <f>检查点拆解!F977</f>
        <v>D11.01.03</v>
      </c>
      <c r="E977" s="2">
        <f>--(COUNTIFS($A$2:A977,A977,$D$2:D977,D977)=1)</f>
        <v>1</v>
      </c>
    </row>
    <row r="978" spans="1:5">
      <c r="A978" t="str">
        <f>检查点拆解!A978</f>
        <v>Q0128</v>
      </c>
      <c r="B978" t="str">
        <f>检查点拆解!D978</f>
        <v>C25</v>
      </c>
      <c r="C978" s="2">
        <f>--(COUNTIFS($A$2:A978,A978,$B$2:B978,B978)=1)</f>
        <v>1</v>
      </c>
      <c r="D978" t="str">
        <f>检查点拆解!F978</f>
        <v>D10.01.01</v>
      </c>
      <c r="E978" s="2">
        <f>--(COUNTIFS($A$2:A978,A978,$D$2:D978,D978)=1)</f>
        <v>1</v>
      </c>
    </row>
    <row r="979" spans="1:5">
      <c r="A979" t="str">
        <f>检查点拆解!A979</f>
        <v>Q0128</v>
      </c>
      <c r="B979" t="str">
        <f>检查点拆解!D979</f>
        <v>C06</v>
      </c>
      <c r="C979" s="2">
        <f>--(COUNTIFS($A$2:A979,A979,$B$2:B979,B979)=1)</f>
        <v>1</v>
      </c>
      <c r="D979" t="str">
        <f>检查点拆解!F979</f>
        <v>D03.01.02</v>
      </c>
      <c r="E979" s="2">
        <f>--(COUNTIFS($A$2:A979,A979,$D$2:D979,D979)=1)</f>
        <v>1</v>
      </c>
    </row>
    <row r="980" spans="1:5">
      <c r="A980" t="str">
        <f>检查点拆解!A980</f>
        <v>Q0128</v>
      </c>
      <c r="B980" t="str">
        <f>检查点拆解!D980</f>
        <v>C28</v>
      </c>
      <c r="C980" s="2">
        <f>--(COUNTIFS($A$2:A980,A980,$B$2:B980,B980)=1)</f>
        <v>1</v>
      </c>
      <c r="D980" t="str">
        <f>检查点拆解!F980</f>
        <v>D12.02.02</v>
      </c>
      <c r="E980" s="2">
        <f>--(COUNTIFS($A$2:A980,A980,$D$2:D980,D980)=1)</f>
        <v>1</v>
      </c>
    </row>
    <row r="981" spans="1:5">
      <c r="A981" t="str">
        <f>检查点拆解!A981</f>
        <v>Q0128</v>
      </c>
      <c r="B981" t="str">
        <f>检查点拆解!D981</f>
        <v>C26</v>
      </c>
      <c r="C981" s="2">
        <f>--(COUNTIFS($A$2:A981,A981,$B$2:B981,B981)=1)</f>
        <v>1</v>
      </c>
      <c r="D981" t="str">
        <f>检查点拆解!F981</f>
        <v>D10.02.01</v>
      </c>
      <c r="E981" s="2">
        <f>--(COUNTIFS($A$2:A981,A981,$D$2:D981,D981)=1)</f>
        <v>1</v>
      </c>
    </row>
    <row r="982" spans="1:5">
      <c r="A982" t="str">
        <f>检查点拆解!A982</f>
        <v>Q0128</v>
      </c>
      <c r="B982" t="str">
        <f>检查点拆解!D982</f>
        <v>C28</v>
      </c>
      <c r="C982" s="2">
        <f>--(COUNTIFS($A$2:A982,A982,$B$2:B982,B982)=1)</f>
        <v>0</v>
      </c>
      <c r="D982" t="str">
        <f>检查点拆解!F982</f>
        <v>D12.01.01</v>
      </c>
      <c r="E982" s="2">
        <f>--(COUNTIFS($A$2:A982,A982,$D$2:D982,D982)=1)</f>
        <v>1</v>
      </c>
    </row>
    <row r="983" spans="1:5">
      <c r="A983" t="str">
        <f>检查点拆解!A983</f>
        <v>Q0129</v>
      </c>
      <c r="B983" t="str">
        <f>检查点拆解!D983</f>
        <v>C25</v>
      </c>
      <c r="C983" s="2">
        <f>--(COUNTIFS($A$2:A983,A983,$B$2:B983,B983)=1)</f>
        <v>1</v>
      </c>
      <c r="D983" t="str">
        <f>检查点拆解!F983</f>
        <v>D10.01.01</v>
      </c>
      <c r="E983" s="2">
        <f>--(COUNTIFS($A$2:A983,A983,$D$2:D983,D983)=1)</f>
        <v>1</v>
      </c>
    </row>
    <row r="984" spans="1:5">
      <c r="A984" t="str">
        <f>检查点拆解!A984</f>
        <v>Q0129</v>
      </c>
      <c r="B984" t="str">
        <f>检查点拆解!D984</f>
        <v>C30</v>
      </c>
      <c r="C984" s="2">
        <f>--(COUNTIFS($A$2:A984,A984,$B$2:B984,B984)=1)</f>
        <v>1</v>
      </c>
      <c r="D984" t="str">
        <f>检查点拆解!F984</f>
        <v>D15.01.04</v>
      </c>
      <c r="E984" s="2">
        <f>--(COUNTIFS($A$2:A984,A984,$D$2:D984,D984)=1)</f>
        <v>1</v>
      </c>
    </row>
    <row r="985" spans="1:5">
      <c r="A985" t="str">
        <f>检查点拆解!A985</f>
        <v>Q0129</v>
      </c>
      <c r="B985" t="str">
        <f>检查点拆解!D985</f>
        <v>C28</v>
      </c>
      <c r="C985" s="2">
        <f>--(COUNTIFS($A$2:A985,A985,$B$2:B985,B985)=1)</f>
        <v>1</v>
      </c>
      <c r="D985" t="str">
        <f>检查点拆解!F985</f>
        <v>D12.02.02</v>
      </c>
      <c r="E985" s="2">
        <f>--(COUNTIFS($A$2:A985,A985,$D$2:D985,D985)=1)</f>
        <v>1</v>
      </c>
    </row>
    <row r="986" spans="1:5">
      <c r="A986" t="str">
        <f>检查点拆解!A986</f>
        <v>Q0129</v>
      </c>
      <c r="B986" t="str">
        <f>检查点拆解!D986</f>
        <v>C26</v>
      </c>
      <c r="C986" s="2">
        <f>--(COUNTIFS($A$2:A986,A986,$B$2:B986,B986)=1)</f>
        <v>1</v>
      </c>
      <c r="D986" t="str">
        <f>检查点拆解!F986</f>
        <v>D10.02.01</v>
      </c>
      <c r="E986" s="2">
        <f>--(COUNTIFS($A$2:A986,A986,$D$2:D986,D986)=1)</f>
        <v>1</v>
      </c>
    </row>
    <row r="987" spans="1:5">
      <c r="A987" t="str">
        <f>检查点拆解!A987</f>
        <v>Q0129</v>
      </c>
      <c r="B987" t="str">
        <f>检查点拆解!D987</f>
        <v>C06</v>
      </c>
      <c r="C987" s="2">
        <f>--(COUNTIFS($A$2:A987,A987,$B$2:B987,B987)=1)</f>
        <v>1</v>
      </c>
      <c r="D987" t="str">
        <f>检查点拆解!F987</f>
        <v>D03.01.01</v>
      </c>
      <c r="E987" s="2">
        <f>--(COUNTIFS($A$2:A987,A987,$D$2:D987,D987)=1)</f>
        <v>1</v>
      </c>
    </row>
    <row r="988" spans="1:5">
      <c r="A988" t="str">
        <f>检查点拆解!A988</f>
        <v>Q0129</v>
      </c>
      <c r="B988" t="str">
        <f>检查点拆解!D988</f>
        <v>C28</v>
      </c>
      <c r="C988" s="2">
        <f>--(COUNTIFS($A$2:A988,A988,$B$2:B988,B988)=1)</f>
        <v>0</v>
      </c>
      <c r="D988" t="str">
        <f>检查点拆解!F988</f>
        <v>D13.01.01</v>
      </c>
      <c r="E988" s="2">
        <f>--(COUNTIFS($A$2:A988,A988,$D$2:D988,D988)=1)</f>
        <v>1</v>
      </c>
    </row>
    <row r="989" spans="1:5">
      <c r="A989" t="str">
        <f>检查点拆解!A989</f>
        <v>Q0129</v>
      </c>
      <c r="B989" t="str">
        <f>检查点拆解!D989</f>
        <v>C05</v>
      </c>
      <c r="C989" s="2">
        <f>--(COUNTIFS($A$2:A989,A989,$B$2:B989,B989)=1)</f>
        <v>1</v>
      </c>
      <c r="D989" t="str">
        <f>检查点拆解!F989</f>
        <v>D02.03.02</v>
      </c>
      <c r="E989" s="2">
        <f>--(COUNTIFS($A$2:A989,A989,$D$2:D989,D989)=1)</f>
        <v>1</v>
      </c>
    </row>
    <row r="990" spans="1:5">
      <c r="A990" t="str">
        <f>检查点拆解!A990</f>
        <v>Q0130</v>
      </c>
      <c r="B990" t="str">
        <f>检查点拆解!D990</f>
        <v>C14</v>
      </c>
      <c r="C990" s="2">
        <f>--(COUNTIFS($A$2:A990,A990,$B$2:B990,B990)=1)</f>
        <v>1</v>
      </c>
      <c r="D990" t="str">
        <f>检查点拆解!F990</f>
        <v>D08.01.01</v>
      </c>
      <c r="E990" s="2">
        <f>--(COUNTIFS($A$2:A990,A990,$D$2:D990,D990)=1)</f>
        <v>1</v>
      </c>
    </row>
    <row r="991" spans="1:5">
      <c r="A991" t="str">
        <f>检查点拆解!A991</f>
        <v>Q0130</v>
      </c>
      <c r="B991" t="str">
        <f>检查点拆解!D991</f>
        <v>C23</v>
      </c>
      <c r="C991" s="2">
        <f>--(COUNTIFS($A$2:A991,A991,$B$2:B991,B991)=1)</f>
        <v>1</v>
      </c>
      <c r="D991" t="str">
        <f>检查点拆解!F991</f>
        <v>D09.01.03</v>
      </c>
      <c r="E991" s="2">
        <f>--(COUNTIFS($A$2:A991,A991,$D$2:D991,D991)=1)</f>
        <v>1</v>
      </c>
    </row>
    <row r="992" spans="1:5">
      <c r="A992" t="str">
        <f>检查点拆解!A992</f>
        <v>Q0130</v>
      </c>
      <c r="B992" t="str">
        <f>检查点拆解!D992</f>
        <v>C27</v>
      </c>
      <c r="C992" s="2">
        <f>--(COUNTIFS($A$2:A992,A992,$B$2:B992,B992)=1)</f>
        <v>1</v>
      </c>
      <c r="D992" t="str">
        <f>检查点拆解!F992</f>
        <v>D11.02.01</v>
      </c>
      <c r="E992" s="2">
        <f>--(COUNTIFS($A$2:A992,A992,$D$2:D992,D992)=1)</f>
        <v>1</v>
      </c>
    </row>
    <row r="993" spans="1:5">
      <c r="A993" t="str">
        <f>检查点拆解!A993</f>
        <v>Q0130</v>
      </c>
      <c r="B993" t="str">
        <f>检查点拆解!D993</f>
        <v>C17</v>
      </c>
      <c r="C993" s="2">
        <f>--(COUNTIFS($A$2:A993,A993,$B$2:B993,B993)=1)</f>
        <v>1</v>
      </c>
      <c r="D993" t="str">
        <f>检查点拆解!F993</f>
        <v>D06.03.01</v>
      </c>
      <c r="E993" s="2">
        <f>--(COUNTIFS($A$2:A993,A993,$D$2:D993,D993)=1)</f>
        <v>1</v>
      </c>
    </row>
    <row r="994" spans="1:5">
      <c r="A994" t="str">
        <f>检查点拆解!A994</f>
        <v>Q0130</v>
      </c>
      <c r="B994" t="str">
        <f>检查点拆解!D994</f>
        <v>C27</v>
      </c>
      <c r="C994" s="2">
        <f>--(COUNTIFS($A$2:A994,A994,$B$2:B994,B994)=1)</f>
        <v>0</v>
      </c>
      <c r="D994" t="str">
        <f>检查点拆解!F994</f>
        <v>D11.02.03</v>
      </c>
      <c r="E994" s="2">
        <f>--(COUNTIFS($A$2:A994,A994,$D$2:D994,D994)=1)</f>
        <v>1</v>
      </c>
    </row>
    <row r="995" spans="1:5">
      <c r="A995" t="str">
        <f>检查点拆解!A995</f>
        <v>Q0130</v>
      </c>
      <c r="B995" t="str">
        <f>检查点拆解!D995</f>
        <v>C27</v>
      </c>
      <c r="C995" s="2">
        <f>--(COUNTIFS($A$2:A995,A995,$B$2:B995,B995)=1)</f>
        <v>0</v>
      </c>
      <c r="D995" t="str">
        <f>检查点拆解!F995</f>
        <v>D11.01.02</v>
      </c>
      <c r="E995" s="2">
        <f>--(COUNTIFS($A$2:A995,A995,$D$2:D995,D995)=1)</f>
        <v>1</v>
      </c>
    </row>
    <row r="996" spans="1:5">
      <c r="A996" t="str">
        <f>检查点拆解!A996</f>
        <v>Q0130</v>
      </c>
      <c r="B996" t="str">
        <f>检查点拆解!D996</f>
        <v>C24</v>
      </c>
      <c r="C996" s="2">
        <f>--(COUNTIFS($A$2:A996,A996,$B$2:B996,B996)=1)</f>
        <v>1</v>
      </c>
      <c r="D996" t="str">
        <f>检查点拆解!F996</f>
        <v>D09.03.03</v>
      </c>
      <c r="E996" s="2">
        <f>--(COUNTIFS($A$2:A996,A996,$D$2:D996,D996)=1)</f>
        <v>1</v>
      </c>
    </row>
    <row r="997" spans="1:5">
      <c r="A997" t="str">
        <f>检查点拆解!A997</f>
        <v>Q0130</v>
      </c>
      <c r="B997" t="str">
        <f>检查点拆解!D997</f>
        <v>C27</v>
      </c>
      <c r="C997" s="2">
        <f>--(COUNTIFS($A$2:A997,A997,$B$2:B997,B997)=1)</f>
        <v>0</v>
      </c>
      <c r="D997" t="str">
        <f>检查点拆解!F997</f>
        <v>D11.01.03</v>
      </c>
      <c r="E997" s="2">
        <f>--(COUNTIFS($A$2:A997,A997,$D$2:D997,D997)=1)</f>
        <v>1</v>
      </c>
    </row>
    <row r="998" spans="1:5">
      <c r="A998" t="str">
        <f>检查点拆解!A998</f>
        <v>Q0130</v>
      </c>
      <c r="B998" t="str">
        <f>检查点拆解!D998</f>
        <v>C25</v>
      </c>
      <c r="C998" s="2">
        <f>--(COUNTIFS($A$2:A998,A998,$B$2:B998,B998)=1)</f>
        <v>1</v>
      </c>
      <c r="D998" t="str">
        <f>检查点拆解!F998</f>
        <v>D10.01.01</v>
      </c>
      <c r="E998" s="2">
        <f>--(COUNTIFS($A$2:A998,A998,$D$2:D998,D998)=1)</f>
        <v>1</v>
      </c>
    </row>
    <row r="999" spans="1:5">
      <c r="A999" t="str">
        <f>检查点拆解!A999</f>
        <v>Q0130</v>
      </c>
      <c r="B999" t="str">
        <f>检查点拆解!D999</f>
        <v>C25</v>
      </c>
      <c r="C999" s="2">
        <f>--(COUNTIFS($A$2:A999,A999,$B$2:B999,B999)=1)</f>
        <v>0</v>
      </c>
      <c r="D999" t="str">
        <f>检查点拆解!F999</f>
        <v>D10.01.04</v>
      </c>
      <c r="E999" s="2">
        <f>--(COUNTIFS($A$2:A999,A999,$D$2:D999,D999)=1)</f>
        <v>1</v>
      </c>
    </row>
    <row r="1000" spans="1:5">
      <c r="A1000" t="str">
        <f>检查点拆解!A1000</f>
        <v>Q0131</v>
      </c>
      <c r="B1000" t="str">
        <f>检查点拆解!D1000</f>
        <v>C30</v>
      </c>
      <c r="C1000" s="2">
        <f>--(COUNTIFS($A$2:A1000,A1000,$B$2:B1000,B1000)=1)</f>
        <v>1</v>
      </c>
      <c r="D1000" t="str">
        <f>检查点拆解!F1000</f>
        <v>D15.01.02</v>
      </c>
      <c r="E1000" s="2">
        <f>--(COUNTIFS($A$2:A1000,A1000,$D$2:D1000,D1000)=1)</f>
        <v>1</v>
      </c>
    </row>
    <row r="1001" spans="1:5">
      <c r="A1001" t="str">
        <f>检查点拆解!A1001</f>
        <v>Q0131</v>
      </c>
      <c r="B1001" t="str">
        <f>检查点拆解!D1001</f>
        <v>C14</v>
      </c>
      <c r="C1001" s="2">
        <f>--(COUNTIFS($A$2:A1001,A1001,$B$2:B1001,B1001)=1)</f>
        <v>1</v>
      </c>
      <c r="D1001" t="str">
        <f>检查点拆解!F1001</f>
        <v>D08.01.01</v>
      </c>
      <c r="E1001" s="2">
        <f>--(COUNTIFS($A$2:A1001,A1001,$D$2:D1001,D1001)=1)</f>
        <v>1</v>
      </c>
    </row>
    <row r="1002" spans="1:5">
      <c r="A1002" t="str">
        <f>检查点拆解!A1002</f>
        <v>Q0131</v>
      </c>
      <c r="B1002" t="str">
        <f>检查点拆解!D1002</f>
        <v>C15</v>
      </c>
      <c r="C1002" s="2">
        <f>--(COUNTIFS($A$2:A1002,A1002,$B$2:B1002,B1002)=1)</f>
        <v>1</v>
      </c>
      <c r="D1002" t="str">
        <f>检查点拆解!F1002</f>
        <v>D05.02.03</v>
      </c>
      <c r="E1002" s="2">
        <f>--(COUNTIFS($A$2:A1002,A1002,$D$2:D1002,D1002)=1)</f>
        <v>1</v>
      </c>
    </row>
    <row r="1003" spans="1:5">
      <c r="A1003" t="str">
        <f>检查点拆解!A1003</f>
        <v>Q0131</v>
      </c>
      <c r="B1003" t="str">
        <f>检查点拆解!D1003</f>
        <v>C25</v>
      </c>
      <c r="C1003" s="2">
        <f>--(COUNTIFS($A$2:A1003,A1003,$B$2:B1003,B1003)=1)</f>
        <v>1</v>
      </c>
      <c r="D1003" t="str">
        <f>检查点拆解!F1003</f>
        <v>D10.01.01</v>
      </c>
      <c r="E1003" s="2">
        <f>--(COUNTIFS($A$2:A1003,A1003,$D$2:D1003,D1003)=1)</f>
        <v>1</v>
      </c>
    </row>
    <row r="1004" spans="1:5">
      <c r="A1004" t="str">
        <f>检查点拆解!A1004</f>
        <v>Q0131</v>
      </c>
      <c r="B1004" t="str">
        <f>检查点拆解!D1004</f>
        <v>C17</v>
      </c>
      <c r="C1004" s="2">
        <f>--(COUNTIFS($A$2:A1004,A1004,$B$2:B1004,B1004)=1)</f>
        <v>1</v>
      </c>
      <c r="D1004" t="str">
        <f>检查点拆解!F1004</f>
        <v>D06.01.01</v>
      </c>
      <c r="E1004" s="2">
        <f>--(COUNTIFS($A$2:A1004,A1004,$D$2:D1004,D1004)=1)</f>
        <v>1</v>
      </c>
    </row>
    <row r="1005" spans="1:5">
      <c r="A1005" t="str">
        <f>检查点拆解!A1005</f>
        <v>Q0131</v>
      </c>
      <c r="B1005" t="str">
        <f>检查点拆解!D1005</f>
        <v>C30</v>
      </c>
      <c r="C1005" s="2">
        <f>--(COUNTIFS($A$2:A1005,A1005,$B$2:B1005,B1005)=1)</f>
        <v>0</v>
      </c>
      <c r="D1005" t="str">
        <f>检查点拆解!F1005</f>
        <v>D15.01.04</v>
      </c>
      <c r="E1005" s="2">
        <f>--(COUNTIFS($A$2:A1005,A1005,$D$2:D1005,D1005)=1)</f>
        <v>1</v>
      </c>
    </row>
    <row r="1006" spans="1:5">
      <c r="A1006" t="str">
        <f>检查点拆解!A1006</f>
        <v>Q0132</v>
      </c>
      <c r="B1006" t="str">
        <f>检查点拆解!D1006</f>
        <v>C24</v>
      </c>
      <c r="C1006" s="2">
        <f>--(COUNTIFS($A$2:A1006,A1006,$B$2:B1006,B1006)=1)</f>
        <v>1</v>
      </c>
      <c r="D1006" t="str">
        <f>检查点拆解!F1006</f>
        <v>D09.03.01</v>
      </c>
      <c r="E1006" s="2">
        <f>--(COUNTIFS($A$2:A1006,A1006,$D$2:D1006,D1006)=1)</f>
        <v>1</v>
      </c>
    </row>
    <row r="1007" spans="1:5">
      <c r="A1007" t="str">
        <f>检查点拆解!A1007</f>
        <v>Q0132</v>
      </c>
      <c r="B1007" t="str">
        <f>检查点拆解!D1007</f>
        <v>C23</v>
      </c>
      <c r="C1007" s="2">
        <f>--(COUNTIFS($A$2:A1007,A1007,$B$2:B1007,B1007)=1)</f>
        <v>1</v>
      </c>
      <c r="D1007" t="str">
        <f>检查点拆解!F1007</f>
        <v>D09.01.02</v>
      </c>
      <c r="E1007" s="2">
        <f>--(COUNTIFS($A$2:A1007,A1007,$D$2:D1007,D1007)=1)</f>
        <v>1</v>
      </c>
    </row>
    <row r="1008" spans="1:5">
      <c r="A1008" t="str">
        <f>检查点拆解!A1008</f>
        <v>Q0132</v>
      </c>
      <c r="B1008" t="str">
        <f>检查点拆解!D1008</f>
        <v>C23</v>
      </c>
      <c r="C1008" s="2">
        <f>--(COUNTIFS($A$2:A1008,A1008,$B$2:B1008,B1008)=1)</f>
        <v>0</v>
      </c>
      <c r="D1008" t="str">
        <f>检查点拆解!F1008</f>
        <v>D09.01.03</v>
      </c>
      <c r="E1008" s="2">
        <f>--(COUNTIFS($A$2:A1008,A1008,$D$2:D1008,D1008)=1)</f>
        <v>1</v>
      </c>
    </row>
    <row r="1009" spans="1:5">
      <c r="A1009" t="str">
        <f>检查点拆解!A1009</f>
        <v>Q0132</v>
      </c>
      <c r="B1009" t="str">
        <f>检查点拆解!D1009</f>
        <v>C27</v>
      </c>
      <c r="C1009" s="2">
        <f>--(COUNTIFS($A$2:A1009,A1009,$B$2:B1009,B1009)=1)</f>
        <v>1</v>
      </c>
      <c r="D1009" t="str">
        <f>检查点拆解!F1009</f>
        <v>D11.02.01</v>
      </c>
      <c r="E1009" s="2">
        <f>--(COUNTIFS($A$2:A1009,A1009,$D$2:D1009,D1009)=1)</f>
        <v>1</v>
      </c>
    </row>
    <row r="1010" spans="1:5">
      <c r="A1010" t="str">
        <f>检查点拆解!A1010</f>
        <v>Q0132</v>
      </c>
      <c r="B1010" t="str">
        <f>检查点拆解!D1010</f>
        <v>C27</v>
      </c>
      <c r="C1010" s="2">
        <f>--(COUNTIFS($A$2:A1010,A1010,$B$2:B1010,B1010)=1)</f>
        <v>0</v>
      </c>
      <c r="D1010" t="str">
        <f>检查点拆解!F1010</f>
        <v>D11.01.02</v>
      </c>
      <c r="E1010" s="2">
        <f>--(COUNTIFS($A$2:A1010,A1010,$D$2:D1010,D1010)=1)</f>
        <v>1</v>
      </c>
    </row>
    <row r="1011" spans="1:5">
      <c r="A1011" t="str">
        <f>检查点拆解!A1011</f>
        <v>Q0132</v>
      </c>
      <c r="B1011" t="str">
        <f>检查点拆解!D1011</f>
        <v>C15</v>
      </c>
      <c r="C1011" s="2">
        <f>--(COUNTIFS($A$2:A1011,A1011,$B$2:B1011,B1011)=1)</f>
        <v>1</v>
      </c>
      <c r="D1011" t="str">
        <f>检查点拆解!F1011</f>
        <v>D05.02.02</v>
      </c>
      <c r="E1011" s="2">
        <f>--(COUNTIFS($A$2:A1011,A1011,$D$2:D1011,D1011)=1)</f>
        <v>1</v>
      </c>
    </row>
    <row r="1012" spans="1:5">
      <c r="A1012" t="str">
        <f>检查点拆解!A1012</f>
        <v>Q0132</v>
      </c>
      <c r="B1012" t="str">
        <f>检查点拆解!D1012</f>
        <v>C25</v>
      </c>
      <c r="C1012" s="2">
        <f>--(COUNTIFS($A$2:A1012,A1012,$B$2:B1012,B1012)=1)</f>
        <v>1</v>
      </c>
      <c r="D1012" t="str">
        <f>检查点拆解!F1012</f>
        <v>D10.01.01</v>
      </c>
      <c r="E1012" s="2">
        <f>--(COUNTIFS($A$2:A1012,A1012,$D$2:D1012,D1012)=1)</f>
        <v>1</v>
      </c>
    </row>
    <row r="1013" spans="1:5">
      <c r="A1013" t="str">
        <f>检查点拆解!A1013</f>
        <v>Q0132</v>
      </c>
      <c r="B1013" t="str">
        <f>检查点拆解!D1013</f>
        <v>C30</v>
      </c>
      <c r="C1013" s="2">
        <f>--(COUNTIFS($A$2:A1013,A1013,$B$2:B1013,B1013)=1)</f>
        <v>1</v>
      </c>
      <c r="D1013" t="str">
        <f>检查点拆解!F1013</f>
        <v>D15.01.04</v>
      </c>
      <c r="E1013" s="2">
        <f>--(COUNTIFS($A$2:A1013,A1013,$D$2:D1013,D1013)=1)</f>
        <v>1</v>
      </c>
    </row>
    <row r="1014" spans="1:5">
      <c r="A1014" t="str">
        <f>检查点拆解!A1014</f>
        <v>Q0132</v>
      </c>
      <c r="B1014" t="str">
        <f>检查点拆解!D1014</f>
        <v>C28</v>
      </c>
      <c r="C1014" s="2">
        <f>--(COUNTIFS($A$2:A1014,A1014,$B$2:B1014,B1014)=1)</f>
        <v>1</v>
      </c>
      <c r="D1014" t="str">
        <f>检查点拆解!F1014</f>
        <v>D12.02.01</v>
      </c>
      <c r="E1014" s="2">
        <f>--(COUNTIFS($A$2:A1014,A1014,$D$2:D1014,D1014)=1)</f>
        <v>1</v>
      </c>
    </row>
    <row r="1015" spans="1:5">
      <c r="A1015" t="str">
        <f>检查点拆解!A1015</f>
        <v>Q0132</v>
      </c>
      <c r="B1015" t="str">
        <f>检查点拆解!D1015</f>
        <v>C14</v>
      </c>
      <c r="C1015" s="2">
        <f>--(COUNTIFS($A$2:A1015,A1015,$B$2:B1015,B1015)=1)</f>
        <v>1</v>
      </c>
      <c r="D1015" t="str">
        <f>检查点拆解!F1015</f>
        <v>D05.01.03</v>
      </c>
      <c r="E1015" s="2">
        <f>--(COUNTIFS($A$2:A1015,A1015,$D$2:D1015,D1015)=1)</f>
        <v>1</v>
      </c>
    </row>
    <row r="1016" spans="1:5">
      <c r="A1016" t="str">
        <f>检查点拆解!A1016</f>
        <v>Q0133</v>
      </c>
      <c r="B1016" t="str">
        <f>检查点拆解!D1016</f>
        <v>C27</v>
      </c>
      <c r="C1016" s="2">
        <f>--(COUNTIFS($A$2:A1016,A1016,$B$2:B1016,B1016)=1)</f>
        <v>1</v>
      </c>
      <c r="D1016" t="str">
        <f>检查点拆解!F1016</f>
        <v>D11.02.02</v>
      </c>
      <c r="E1016" s="2">
        <f>--(COUNTIFS($A$2:A1016,A1016,$D$2:D1016,D1016)=1)</f>
        <v>1</v>
      </c>
    </row>
    <row r="1017" spans="1:5">
      <c r="A1017" t="str">
        <f>检查点拆解!A1017</f>
        <v>Q0133</v>
      </c>
      <c r="B1017" t="str">
        <f>检查点拆解!D1017</f>
        <v>C27</v>
      </c>
      <c r="C1017" s="2">
        <f>--(COUNTIFS($A$2:A1017,A1017,$B$2:B1017,B1017)=1)</f>
        <v>0</v>
      </c>
      <c r="D1017" t="str">
        <f>检查点拆解!F1017</f>
        <v>D11.01.02</v>
      </c>
      <c r="E1017" s="2">
        <f>--(COUNTIFS($A$2:A1017,A1017,$D$2:D1017,D1017)=1)</f>
        <v>1</v>
      </c>
    </row>
    <row r="1018" spans="1:5">
      <c r="A1018" t="str">
        <f>检查点拆解!A1018</f>
        <v>Q0133</v>
      </c>
      <c r="B1018" t="str">
        <f>检查点拆解!D1018</f>
        <v>C24</v>
      </c>
      <c r="C1018" s="2">
        <f>--(COUNTIFS($A$2:A1018,A1018,$B$2:B1018,B1018)=1)</f>
        <v>1</v>
      </c>
      <c r="D1018" t="str">
        <f>检查点拆解!F1018</f>
        <v>D09.02.01</v>
      </c>
      <c r="E1018" s="2">
        <f>--(COUNTIFS($A$2:A1018,A1018,$D$2:D1018,D1018)=1)</f>
        <v>1</v>
      </c>
    </row>
    <row r="1019" spans="1:5">
      <c r="A1019" t="str">
        <f>检查点拆解!A1019</f>
        <v>Q0133</v>
      </c>
      <c r="B1019" t="str">
        <f>检查点拆解!D1019</f>
        <v>C25</v>
      </c>
      <c r="C1019" s="2">
        <f>--(COUNTIFS($A$2:A1019,A1019,$B$2:B1019,B1019)=1)</f>
        <v>1</v>
      </c>
      <c r="D1019" t="str">
        <f>检查点拆解!F1019</f>
        <v>D10.01.01</v>
      </c>
      <c r="E1019" s="2">
        <f>--(COUNTIFS($A$2:A1019,A1019,$D$2:D1019,D1019)=1)</f>
        <v>1</v>
      </c>
    </row>
    <row r="1020" spans="1:5">
      <c r="A1020" t="str">
        <f>检查点拆解!A1020</f>
        <v>Q0133</v>
      </c>
      <c r="B1020" t="str">
        <f>检查点拆解!D1020</f>
        <v>C23</v>
      </c>
      <c r="C1020" s="2">
        <f>--(COUNTIFS($A$2:A1020,A1020,$B$2:B1020,B1020)=1)</f>
        <v>1</v>
      </c>
      <c r="D1020" t="str">
        <f>检查点拆解!F1020</f>
        <v>D09.01.01</v>
      </c>
      <c r="E1020" s="2">
        <f>--(COUNTIFS($A$2:A1020,A1020,$D$2:D1020,D1020)=1)</f>
        <v>1</v>
      </c>
    </row>
    <row r="1021" spans="1:5">
      <c r="A1021" t="str">
        <f>检查点拆解!A1021</f>
        <v>Q0133</v>
      </c>
      <c r="B1021" t="str">
        <f>检查点拆解!D1021</f>
        <v>C28</v>
      </c>
      <c r="C1021" s="2">
        <f>--(COUNTIFS($A$2:A1021,A1021,$B$2:B1021,B1021)=1)</f>
        <v>1</v>
      </c>
      <c r="D1021" t="str">
        <f>检查点拆解!F1021</f>
        <v>D12.02.02</v>
      </c>
      <c r="E1021" s="2">
        <f>--(COUNTIFS($A$2:A1021,A1021,$D$2:D1021,D1021)=1)</f>
        <v>1</v>
      </c>
    </row>
    <row r="1022" spans="1:5">
      <c r="A1022" t="str">
        <f>检查点拆解!A1022</f>
        <v>Q0133</v>
      </c>
      <c r="B1022" t="str">
        <f>检查点拆解!D1022</f>
        <v>C26</v>
      </c>
      <c r="C1022" s="2">
        <f>--(COUNTIFS($A$2:A1022,A1022,$B$2:B1022,B1022)=1)</f>
        <v>1</v>
      </c>
      <c r="D1022" t="str">
        <f>检查点拆解!F1022</f>
        <v>D10.02.01</v>
      </c>
      <c r="E1022" s="2">
        <f>--(COUNTIFS($A$2:A1022,A1022,$D$2:D1022,D1022)=1)</f>
        <v>1</v>
      </c>
    </row>
    <row r="1023" spans="1:5">
      <c r="A1023" t="str">
        <f>检查点拆解!A1023</f>
        <v>Q0133</v>
      </c>
      <c r="B1023" t="str">
        <f>检查点拆解!D1023</f>
        <v>C28</v>
      </c>
      <c r="C1023" s="2">
        <f>--(COUNTIFS($A$2:A1023,A1023,$B$2:B1023,B1023)=1)</f>
        <v>0</v>
      </c>
      <c r="D1023" t="str">
        <f>检查点拆解!F1023</f>
        <v>D12.01.01</v>
      </c>
      <c r="E1023" s="2">
        <f>--(COUNTIFS($A$2:A1023,A1023,$D$2:D1023,D1023)=1)</f>
        <v>1</v>
      </c>
    </row>
    <row r="1024" spans="1:5">
      <c r="A1024" t="str">
        <f>检查点拆解!A1024</f>
        <v>Q0133</v>
      </c>
      <c r="B1024" t="str">
        <f>检查点拆解!D1024</f>
        <v>C28</v>
      </c>
      <c r="C1024" s="2">
        <f>--(COUNTIFS($A$2:A1024,A1024,$B$2:B1024,B1024)=1)</f>
        <v>0</v>
      </c>
      <c r="D1024" t="str">
        <f>检查点拆解!F1024</f>
        <v>D12.01.02</v>
      </c>
      <c r="E1024" s="2">
        <f>--(COUNTIFS($A$2:A1024,A1024,$D$2:D1024,D1024)=1)</f>
        <v>1</v>
      </c>
    </row>
    <row r="1025" spans="1:5">
      <c r="A1025" t="str">
        <f>检查点拆解!A1025</f>
        <v>Q0133</v>
      </c>
      <c r="B1025" t="str">
        <f>检查点拆解!D1025</f>
        <v>C28</v>
      </c>
      <c r="C1025" s="2">
        <f>--(COUNTIFS($A$2:A1025,A1025,$B$2:B1025,B1025)=1)</f>
        <v>0</v>
      </c>
      <c r="D1025" t="str">
        <f>检查点拆解!F1025</f>
        <v>D12.01.03</v>
      </c>
      <c r="E1025" s="2">
        <f>--(COUNTIFS($A$2:A1025,A1025,$D$2:D1025,D1025)=1)</f>
        <v>1</v>
      </c>
    </row>
    <row r="1026" spans="1:5">
      <c r="A1026" t="str">
        <f>检查点拆解!A1026</f>
        <v>Q0134</v>
      </c>
      <c r="B1026" t="str">
        <f>检查点拆解!D1026</f>
        <v>C23</v>
      </c>
      <c r="C1026" s="2">
        <f>--(COUNTIFS($A$2:A1026,A1026,$B$2:B1026,B1026)=1)</f>
        <v>1</v>
      </c>
      <c r="D1026" t="str">
        <f>检查点拆解!F1026</f>
        <v>D09.01.02</v>
      </c>
      <c r="E1026" s="2">
        <f>--(COUNTIFS($A$2:A1026,A1026,$D$2:D1026,D1026)=1)</f>
        <v>1</v>
      </c>
    </row>
    <row r="1027" spans="1:5">
      <c r="A1027" t="str">
        <f>检查点拆解!A1027</f>
        <v>Q0134</v>
      </c>
      <c r="B1027" t="str">
        <f>检查点拆解!D1027</f>
        <v>C24</v>
      </c>
      <c r="C1027" s="2">
        <f>--(COUNTIFS($A$2:A1027,A1027,$B$2:B1027,B1027)=1)</f>
        <v>1</v>
      </c>
      <c r="D1027" t="str">
        <f>检查点拆解!F1027</f>
        <v>D09.02.02</v>
      </c>
      <c r="E1027" s="2">
        <f>--(COUNTIFS($A$2:A1027,A1027,$D$2:D1027,D1027)=1)</f>
        <v>1</v>
      </c>
    </row>
    <row r="1028" spans="1:5">
      <c r="A1028" t="str">
        <f>检查点拆解!A1028</f>
        <v>Q0134</v>
      </c>
      <c r="B1028" t="str">
        <f>检查点拆解!D1028</f>
        <v>C27</v>
      </c>
      <c r="C1028" s="2">
        <f>--(COUNTIFS($A$2:A1028,A1028,$B$2:B1028,B1028)=1)</f>
        <v>1</v>
      </c>
      <c r="D1028" t="str">
        <f>检查点拆解!F1028</f>
        <v>D11.02.01</v>
      </c>
      <c r="E1028" s="2">
        <f>--(COUNTIFS($A$2:A1028,A1028,$D$2:D1028,D1028)=1)</f>
        <v>1</v>
      </c>
    </row>
    <row r="1029" spans="1:5">
      <c r="A1029" t="str">
        <f>检查点拆解!A1029</f>
        <v>Q0134</v>
      </c>
      <c r="B1029" t="str">
        <f>检查点拆解!D1029</f>
        <v>C27</v>
      </c>
      <c r="C1029" s="2">
        <f>--(COUNTIFS($A$2:A1029,A1029,$B$2:B1029,B1029)=1)</f>
        <v>0</v>
      </c>
      <c r="D1029" t="str">
        <f>检查点拆解!F1029</f>
        <v>D11.01.02</v>
      </c>
      <c r="E1029" s="2">
        <f>--(COUNTIFS($A$2:A1029,A1029,$D$2:D1029,D1029)=1)</f>
        <v>1</v>
      </c>
    </row>
    <row r="1030" spans="1:5">
      <c r="A1030" t="str">
        <f>检查点拆解!A1030</f>
        <v>Q0134</v>
      </c>
      <c r="B1030" t="str">
        <f>检查点拆解!D1030</f>
        <v>C24</v>
      </c>
      <c r="C1030" s="2">
        <f>--(COUNTIFS($A$2:A1030,A1030,$B$2:B1030,B1030)=1)</f>
        <v>0</v>
      </c>
      <c r="D1030" t="str">
        <f>检查点拆解!F1030</f>
        <v>D09.03.03</v>
      </c>
      <c r="E1030" s="2">
        <f>--(COUNTIFS($A$2:A1030,A1030,$D$2:D1030,D1030)=1)</f>
        <v>1</v>
      </c>
    </row>
    <row r="1031" spans="1:5">
      <c r="A1031" t="str">
        <f>检查点拆解!A1031</f>
        <v>Q0134</v>
      </c>
      <c r="B1031" t="str">
        <f>检查点拆解!D1031</f>
        <v>C25</v>
      </c>
      <c r="C1031" s="2">
        <f>--(COUNTIFS($A$2:A1031,A1031,$B$2:B1031,B1031)=1)</f>
        <v>1</v>
      </c>
      <c r="D1031" t="str">
        <f>检查点拆解!F1031</f>
        <v>D10.01.01</v>
      </c>
      <c r="E1031" s="2">
        <f>--(COUNTIFS($A$2:A1031,A1031,$D$2:D1031,D1031)=1)</f>
        <v>1</v>
      </c>
    </row>
    <row r="1032" spans="1:5">
      <c r="A1032" t="str">
        <f>检查点拆解!A1032</f>
        <v>Q0134</v>
      </c>
      <c r="B1032" t="str">
        <f>检查点拆解!D1032</f>
        <v>C26</v>
      </c>
      <c r="C1032" s="2">
        <f>--(COUNTIFS($A$2:A1032,A1032,$B$2:B1032,B1032)=1)</f>
        <v>1</v>
      </c>
      <c r="D1032" t="str">
        <f>检查点拆解!F1032</f>
        <v>D10.02.01</v>
      </c>
      <c r="E1032" s="2">
        <f>--(COUNTIFS($A$2:A1032,A1032,$D$2:D1032,D1032)=1)</f>
        <v>1</v>
      </c>
    </row>
    <row r="1033" spans="1:5">
      <c r="A1033" t="str">
        <f>检查点拆解!A1033</f>
        <v>Q0134</v>
      </c>
      <c r="B1033" t="str">
        <f>检查点拆解!D1033</f>
        <v>C28</v>
      </c>
      <c r="C1033" s="2">
        <f>--(COUNTIFS($A$2:A1033,A1033,$B$2:B1033,B1033)=1)</f>
        <v>1</v>
      </c>
      <c r="D1033" t="str">
        <f>检查点拆解!F1033</f>
        <v>D12.01.01</v>
      </c>
      <c r="E1033" s="2">
        <f>--(COUNTIFS($A$2:A1033,A1033,$D$2:D1033,D1033)=1)</f>
        <v>1</v>
      </c>
    </row>
    <row r="1034" spans="1:5">
      <c r="A1034" t="str">
        <f>检查点拆解!A1034</f>
        <v>Q0134</v>
      </c>
      <c r="B1034" t="str">
        <f>检查点拆解!D1034</f>
        <v>C28</v>
      </c>
      <c r="C1034" s="2">
        <f>--(COUNTIFS($A$2:A1034,A1034,$B$2:B1034,B1034)=1)</f>
        <v>0</v>
      </c>
      <c r="D1034" t="str">
        <f>检查点拆解!F1034</f>
        <v>D12.01.02</v>
      </c>
      <c r="E1034" s="2">
        <f>--(COUNTIFS($A$2:A1034,A1034,$D$2:D1034,D1034)=1)</f>
        <v>1</v>
      </c>
    </row>
    <row r="1035" spans="1:5">
      <c r="A1035" t="str">
        <f>检查点拆解!A1035</f>
        <v>Q0134</v>
      </c>
      <c r="B1035" t="str">
        <f>检查点拆解!D1035</f>
        <v>C04</v>
      </c>
      <c r="C1035" s="2">
        <f>--(COUNTIFS($A$2:A1035,A1035,$B$2:B1035,B1035)=1)</f>
        <v>1</v>
      </c>
      <c r="D1035" t="str">
        <f>检查点拆解!F1035</f>
        <v>D02.02.01</v>
      </c>
      <c r="E1035" s="2">
        <f>--(COUNTIFS($A$2:A1035,A1035,$D$2:D1035,D1035)=1)</f>
        <v>1</v>
      </c>
    </row>
    <row r="1036" spans="1:5">
      <c r="A1036" t="str">
        <f>检查点拆解!A1036</f>
        <v>Q0135</v>
      </c>
      <c r="B1036" t="str">
        <f>检查点拆解!D1036</f>
        <v>C23</v>
      </c>
      <c r="C1036" s="2">
        <f>--(COUNTIFS($A$2:A1036,A1036,$B$2:B1036,B1036)=1)</f>
        <v>1</v>
      </c>
      <c r="D1036" t="str">
        <f>检查点拆解!F1036</f>
        <v>D09.01.02</v>
      </c>
      <c r="E1036" s="2">
        <f>--(COUNTIFS($A$2:A1036,A1036,$D$2:D1036,D1036)=1)</f>
        <v>1</v>
      </c>
    </row>
    <row r="1037" spans="1:5">
      <c r="A1037" t="str">
        <f>检查点拆解!A1037</f>
        <v>Q0135</v>
      </c>
      <c r="B1037" t="str">
        <f>检查点拆解!D1037</f>
        <v>C24</v>
      </c>
      <c r="C1037" s="2">
        <f>--(COUNTIFS($A$2:A1037,A1037,$B$2:B1037,B1037)=1)</f>
        <v>1</v>
      </c>
      <c r="D1037" t="str">
        <f>检查点拆解!F1037</f>
        <v>D09.02.02</v>
      </c>
      <c r="E1037" s="2">
        <f>--(COUNTIFS($A$2:A1037,A1037,$D$2:D1037,D1037)=1)</f>
        <v>1</v>
      </c>
    </row>
    <row r="1038" spans="1:5">
      <c r="A1038" t="str">
        <f>检查点拆解!A1038</f>
        <v>Q0135</v>
      </c>
      <c r="B1038" t="str">
        <f>检查点拆解!D1038</f>
        <v>C25</v>
      </c>
      <c r="C1038" s="2">
        <f>--(COUNTIFS($A$2:A1038,A1038,$B$2:B1038,B1038)=1)</f>
        <v>1</v>
      </c>
      <c r="D1038" t="str">
        <f>检查点拆解!F1038</f>
        <v>D10.01.03</v>
      </c>
      <c r="E1038" s="2">
        <f>--(COUNTIFS($A$2:A1038,A1038,$D$2:D1038,D1038)=1)</f>
        <v>1</v>
      </c>
    </row>
    <row r="1039" spans="1:5">
      <c r="A1039" t="str">
        <f>检查点拆解!A1039</f>
        <v>Q0135</v>
      </c>
      <c r="B1039" t="str">
        <f>检查点拆解!D1039</f>
        <v>C18</v>
      </c>
      <c r="C1039" s="2">
        <f>--(COUNTIFS($A$2:A1039,A1039,$B$2:B1039,B1039)=1)</f>
        <v>1</v>
      </c>
      <c r="D1039" t="str">
        <f>检查点拆解!F1039</f>
        <v>D07.01.01</v>
      </c>
      <c r="E1039" s="2">
        <f>--(COUNTIFS($A$2:A1039,A1039,$D$2:D1039,D1039)=1)</f>
        <v>1</v>
      </c>
    </row>
    <row r="1040" spans="1:5">
      <c r="A1040" t="str">
        <f>检查点拆解!A1040</f>
        <v>Q0135</v>
      </c>
      <c r="B1040" t="str">
        <f>检查点拆解!D1040</f>
        <v>C25</v>
      </c>
      <c r="C1040" s="2">
        <f>--(COUNTIFS($A$2:A1040,A1040,$B$2:B1040,B1040)=1)</f>
        <v>0</v>
      </c>
      <c r="D1040" t="str">
        <f>检查点拆解!F1040</f>
        <v>D10.01.01</v>
      </c>
      <c r="E1040" s="2">
        <f>--(COUNTIFS($A$2:A1040,A1040,$D$2:D1040,D1040)=1)</f>
        <v>1</v>
      </c>
    </row>
    <row r="1041" spans="1:5">
      <c r="A1041" t="str">
        <f>检查点拆解!A1041</f>
        <v>Q0135</v>
      </c>
      <c r="B1041" t="str">
        <f>检查点拆解!D1041</f>
        <v>C04</v>
      </c>
      <c r="C1041" s="2">
        <f>--(COUNTIFS($A$2:A1041,A1041,$B$2:B1041,B1041)=1)</f>
        <v>1</v>
      </c>
      <c r="D1041" t="str">
        <f>检查点拆解!F1041</f>
        <v>D02.02.02</v>
      </c>
      <c r="E1041" s="2">
        <f>--(COUNTIFS($A$2:A1041,A1041,$D$2:D1041,D1041)=1)</f>
        <v>1</v>
      </c>
    </row>
    <row r="1042" spans="1:5">
      <c r="A1042" t="str">
        <f>检查点拆解!A1042</f>
        <v>Q0136</v>
      </c>
      <c r="B1042" t="str">
        <f>检查点拆解!D1042</f>
        <v>C12</v>
      </c>
      <c r="C1042" s="2">
        <f>--(COUNTIFS($A$2:A1042,A1042,$B$2:B1042,B1042)=1)</f>
        <v>1</v>
      </c>
      <c r="D1042" t="str">
        <f>检查点拆解!F1042</f>
        <v>D04.03.03</v>
      </c>
      <c r="E1042" s="2">
        <f>--(COUNTIFS($A$2:A1042,A1042,$D$2:D1042,D1042)=1)</f>
        <v>1</v>
      </c>
    </row>
    <row r="1043" spans="1:5">
      <c r="A1043" t="str">
        <f>检查点拆解!A1043</f>
        <v>Q0136</v>
      </c>
      <c r="B1043" t="str">
        <f>检查点拆解!D1043</f>
        <v>C27</v>
      </c>
      <c r="C1043" s="2">
        <f>--(COUNTIFS($A$2:A1043,A1043,$B$2:B1043,B1043)=1)</f>
        <v>1</v>
      </c>
      <c r="D1043" t="str">
        <f>检查点拆解!F1043</f>
        <v>D11.02.01</v>
      </c>
      <c r="E1043" s="2">
        <f>--(COUNTIFS($A$2:A1043,A1043,$D$2:D1043,D1043)=1)</f>
        <v>1</v>
      </c>
    </row>
    <row r="1044" spans="1:5">
      <c r="A1044" t="str">
        <f>检查点拆解!A1044</f>
        <v>Q0136</v>
      </c>
      <c r="B1044" t="str">
        <f>检查点拆解!D1044</f>
        <v>C17</v>
      </c>
      <c r="C1044" s="2">
        <f>--(COUNTIFS($A$2:A1044,A1044,$B$2:B1044,B1044)=1)</f>
        <v>1</v>
      </c>
      <c r="D1044" t="str">
        <f>检查点拆解!F1044</f>
        <v>D06.03.01</v>
      </c>
      <c r="E1044" s="2">
        <f>--(COUNTIFS($A$2:A1044,A1044,$D$2:D1044,D1044)=1)</f>
        <v>1</v>
      </c>
    </row>
    <row r="1045" spans="1:5">
      <c r="A1045" t="str">
        <f>检查点拆解!A1045</f>
        <v>Q0136</v>
      </c>
      <c r="B1045" t="str">
        <f>检查点拆解!D1045</f>
        <v>C27</v>
      </c>
      <c r="C1045" s="2">
        <f>--(COUNTIFS($A$2:A1045,A1045,$B$2:B1045,B1045)=1)</f>
        <v>0</v>
      </c>
      <c r="D1045" t="str">
        <f>检查点拆解!F1045</f>
        <v>D11.01.02</v>
      </c>
      <c r="E1045" s="2">
        <f>--(COUNTIFS($A$2:A1045,A1045,$D$2:D1045,D1045)=1)</f>
        <v>1</v>
      </c>
    </row>
    <row r="1046" spans="1:5">
      <c r="A1046" t="str">
        <f>检查点拆解!A1046</f>
        <v>Q0136</v>
      </c>
      <c r="B1046" t="str">
        <f>检查点拆解!D1046</f>
        <v>C15</v>
      </c>
      <c r="C1046" s="2">
        <f>--(COUNTIFS($A$2:A1046,A1046,$B$2:B1046,B1046)=1)</f>
        <v>1</v>
      </c>
      <c r="D1046" t="str">
        <f>检查点拆解!F1046</f>
        <v>D05.02.02</v>
      </c>
      <c r="E1046" s="2">
        <f>--(COUNTIFS($A$2:A1046,A1046,$D$2:D1046,D1046)=1)</f>
        <v>1</v>
      </c>
    </row>
    <row r="1047" spans="1:5">
      <c r="A1047" t="str">
        <f>检查点拆解!A1047</f>
        <v>Q0136</v>
      </c>
      <c r="B1047" t="str">
        <f>检查点拆解!D1047</f>
        <v>C25</v>
      </c>
      <c r="C1047" s="2">
        <f>--(COUNTIFS($A$2:A1047,A1047,$B$2:B1047,B1047)=1)</f>
        <v>1</v>
      </c>
      <c r="D1047" t="str">
        <f>检查点拆解!F1047</f>
        <v>D10.01.01</v>
      </c>
      <c r="E1047" s="2">
        <f>--(COUNTIFS($A$2:A1047,A1047,$D$2:D1047,D1047)=1)</f>
        <v>1</v>
      </c>
    </row>
    <row r="1048" spans="1:5">
      <c r="A1048" t="str">
        <f>检查点拆解!A1048</f>
        <v>Q0136</v>
      </c>
      <c r="B1048" t="str">
        <f>检查点拆解!D1048</f>
        <v>C25</v>
      </c>
      <c r="C1048" s="2">
        <f>--(COUNTIFS($A$2:A1048,A1048,$B$2:B1048,B1048)=1)</f>
        <v>0</v>
      </c>
      <c r="D1048" t="str">
        <f>检查点拆解!F1048</f>
        <v>D10.01.04</v>
      </c>
      <c r="E1048" s="2">
        <f>--(COUNTIFS($A$2:A1048,A1048,$D$2:D1048,D1048)=1)</f>
        <v>1</v>
      </c>
    </row>
    <row r="1049" spans="1:5">
      <c r="A1049" t="str">
        <f>检查点拆解!A1049</f>
        <v>Q0136</v>
      </c>
      <c r="B1049" t="str">
        <f>检查点拆解!D1049</f>
        <v>C08</v>
      </c>
      <c r="C1049" s="2">
        <f>--(COUNTIFS($A$2:A1049,A1049,$B$2:B1049,B1049)=1)</f>
        <v>1</v>
      </c>
      <c r="D1049" t="str">
        <f>检查点拆解!F1049</f>
        <v>D04.01.03</v>
      </c>
      <c r="E1049" s="2">
        <f>--(COUNTIFS($A$2:A1049,A1049,$D$2:D1049,D1049)=1)</f>
        <v>1</v>
      </c>
    </row>
    <row r="1050" spans="1:5">
      <c r="A1050" t="str">
        <f>检查点拆解!A1050</f>
        <v>Q0137</v>
      </c>
      <c r="B1050" t="str">
        <f>检查点拆解!D1050</f>
        <v>C27</v>
      </c>
      <c r="C1050" s="2">
        <f>--(COUNTIFS($A$2:A1050,A1050,$B$2:B1050,B1050)=1)</f>
        <v>1</v>
      </c>
      <c r="D1050" t="str">
        <f>检查点拆解!F1050</f>
        <v>D11.02.01</v>
      </c>
      <c r="E1050" s="2">
        <f>--(COUNTIFS($A$2:A1050,A1050,$D$2:D1050,D1050)=1)</f>
        <v>1</v>
      </c>
    </row>
    <row r="1051" spans="1:5">
      <c r="A1051" t="str">
        <f>检查点拆解!A1051</f>
        <v>Q0137</v>
      </c>
      <c r="B1051" t="str">
        <f>检查点拆解!D1051</f>
        <v>C17</v>
      </c>
      <c r="C1051" s="2">
        <f>--(COUNTIFS($A$2:A1051,A1051,$B$2:B1051,B1051)=1)</f>
        <v>1</v>
      </c>
      <c r="D1051" t="str">
        <f>检查点拆解!F1051</f>
        <v>D06.03.01</v>
      </c>
      <c r="E1051" s="2">
        <f>--(COUNTIFS($A$2:A1051,A1051,$D$2:D1051,D1051)=1)</f>
        <v>1</v>
      </c>
    </row>
    <row r="1052" spans="1:5">
      <c r="A1052" t="str">
        <f>检查点拆解!A1052</f>
        <v>Q0137</v>
      </c>
      <c r="B1052" t="str">
        <f>检查点拆解!D1052</f>
        <v>C27</v>
      </c>
      <c r="C1052" s="2">
        <f>--(COUNTIFS($A$2:A1052,A1052,$B$2:B1052,B1052)=1)</f>
        <v>0</v>
      </c>
      <c r="D1052" t="str">
        <f>检查点拆解!F1052</f>
        <v>D11.02.03</v>
      </c>
      <c r="E1052" s="2">
        <f>--(COUNTIFS($A$2:A1052,A1052,$D$2:D1052,D1052)=1)</f>
        <v>1</v>
      </c>
    </row>
    <row r="1053" spans="1:5">
      <c r="A1053" t="str">
        <f>检查点拆解!A1053</f>
        <v>Q0137</v>
      </c>
      <c r="B1053" t="str">
        <f>检查点拆解!D1053</f>
        <v>C21</v>
      </c>
      <c r="C1053" s="2">
        <f>--(COUNTIFS($A$2:A1053,A1053,$B$2:B1053,B1053)=1)</f>
        <v>1</v>
      </c>
      <c r="D1053" t="str">
        <f>检查点拆解!F1053</f>
        <v>D07.03.01</v>
      </c>
      <c r="E1053" s="2">
        <f>--(COUNTIFS($A$2:A1053,A1053,$D$2:D1053,D1053)=1)</f>
        <v>1</v>
      </c>
    </row>
    <row r="1054" spans="1:5">
      <c r="A1054" t="str">
        <f>检查点拆解!A1054</f>
        <v>Q0137</v>
      </c>
      <c r="B1054" t="str">
        <f>检查点拆解!D1054</f>
        <v>C25</v>
      </c>
      <c r="C1054" s="2">
        <f>--(COUNTIFS($A$2:A1054,A1054,$B$2:B1054,B1054)=1)</f>
        <v>1</v>
      </c>
      <c r="D1054" t="str">
        <f>检查点拆解!F1054</f>
        <v>D10.01.01</v>
      </c>
      <c r="E1054" s="2">
        <f>--(COUNTIFS($A$2:A1054,A1054,$D$2:D1054,D1054)=1)</f>
        <v>1</v>
      </c>
    </row>
    <row r="1055" spans="1:5">
      <c r="A1055" t="str">
        <f>检查点拆解!A1055</f>
        <v>Q0137</v>
      </c>
      <c r="B1055" t="str">
        <f>检查点拆解!D1055</f>
        <v>C26</v>
      </c>
      <c r="C1055" s="2">
        <f>--(COUNTIFS($A$2:A1055,A1055,$B$2:B1055,B1055)=1)</f>
        <v>1</v>
      </c>
      <c r="D1055" t="str">
        <f>检查点拆解!F1055</f>
        <v>D10.02.01</v>
      </c>
      <c r="E1055" s="2">
        <f>--(COUNTIFS($A$2:A1055,A1055,$D$2:D1055,D1055)=1)</f>
        <v>1</v>
      </c>
    </row>
    <row r="1056" spans="1:5">
      <c r="A1056" t="str">
        <f>检查点拆解!A1056</f>
        <v>Q0137</v>
      </c>
      <c r="B1056" t="str">
        <f>检查点拆解!D1056</f>
        <v>C04</v>
      </c>
      <c r="C1056" s="2">
        <f>--(COUNTIFS($A$2:A1056,A1056,$B$2:B1056,B1056)=1)</f>
        <v>1</v>
      </c>
      <c r="D1056" t="str">
        <f>检查点拆解!F1056</f>
        <v>D02.02.03</v>
      </c>
      <c r="E1056" s="2">
        <f>--(COUNTIFS($A$2:A1056,A1056,$D$2:D1056,D1056)=1)</f>
        <v>1</v>
      </c>
    </row>
    <row r="1057" spans="1:5">
      <c r="A1057" t="str">
        <f>检查点拆解!A1057</f>
        <v>Q0137</v>
      </c>
      <c r="B1057" t="str">
        <f>检查点拆解!D1057</f>
        <v>C03</v>
      </c>
      <c r="C1057" s="2">
        <f>--(COUNTIFS($A$2:A1057,A1057,$B$2:B1057,B1057)=1)</f>
        <v>1</v>
      </c>
      <c r="D1057" t="str">
        <f>检查点拆解!F1057</f>
        <v>D02.01.01</v>
      </c>
      <c r="E1057" s="2">
        <f>--(COUNTIFS($A$2:A1057,A1057,$D$2:D1057,D1057)=1)</f>
        <v>1</v>
      </c>
    </row>
    <row r="1058" spans="1:5">
      <c r="A1058" t="str">
        <f>检查点拆解!A1058</f>
        <v>Q0137</v>
      </c>
      <c r="B1058" t="str">
        <f>检查点拆解!D1058</f>
        <v>C08</v>
      </c>
      <c r="C1058" s="2">
        <f>--(COUNTIFS($A$2:A1058,A1058,$B$2:B1058,B1058)=1)</f>
        <v>1</v>
      </c>
      <c r="D1058" t="str">
        <f>检查点拆解!F1058</f>
        <v>D03.03.01</v>
      </c>
      <c r="E1058" s="2">
        <f>--(COUNTIFS($A$2:A1058,A1058,$D$2:D1058,D1058)=1)</f>
        <v>1</v>
      </c>
    </row>
    <row r="1059" spans="1:5">
      <c r="A1059" t="str">
        <f>检查点拆解!A1059</f>
        <v>Q0138</v>
      </c>
      <c r="B1059" t="str">
        <f>检查点拆解!D1059</f>
        <v>C30</v>
      </c>
      <c r="C1059" s="2">
        <f>--(COUNTIFS($A$2:A1059,A1059,$B$2:B1059,B1059)=1)</f>
        <v>1</v>
      </c>
      <c r="D1059" t="str">
        <f>检查点拆解!F1059</f>
        <v>D15.01.01</v>
      </c>
      <c r="E1059" s="2">
        <f>--(COUNTIFS($A$2:A1059,A1059,$D$2:D1059,D1059)=1)</f>
        <v>1</v>
      </c>
    </row>
    <row r="1060" spans="1:5">
      <c r="A1060" t="str">
        <f>检查点拆解!A1060</f>
        <v>Q0138</v>
      </c>
      <c r="B1060" t="str">
        <f>检查点拆解!D1060</f>
        <v>C24</v>
      </c>
      <c r="C1060" s="2">
        <f>--(COUNTIFS($A$2:A1060,A1060,$B$2:B1060,B1060)=1)</f>
        <v>1</v>
      </c>
      <c r="D1060" t="str">
        <f>检查点拆解!F1060</f>
        <v>D09.02.02</v>
      </c>
      <c r="E1060" s="2">
        <f>--(COUNTIFS($A$2:A1060,A1060,$D$2:D1060,D1060)=1)</f>
        <v>1</v>
      </c>
    </row>
    <row r="1061" spans="1:5">
      <c r="A1061" t="str">
        <f>检查点拆解!A1061</f>
        <v>Q0138</v>
      </c>
      <c r="B1061" t="str">
        <f>检查点拆解!D1061</f>
        <v>C27</v>
      </c>
      <c r="C1061" s="2">
        <f>--(COUNTIFS($A$2:A1061,A1061,$B$2:B1061,B1061)=1)</f>
        <v>1</v>
      </c>
      <c r="D1061" t="str">
        <f>检查点拆解!F1061</f>
        <v>D11.02.03</v>
      </c>
      <c r="E1061" s="2">
        <f>--(COUNTIFS($A$2:A1061,A1061,$D$2:D1061,D1061)=1)</f>
        <v>1</v>
      </c>
    </row>
    <row r="1062" spans="1:5">
      <c r="A1062" t="str">
        <f>检查点拆解!A1062</f>
        <v>Q0138</v>
      </c>
      <c r="B1062" t="str">
        <f>检查点拆解!D1062</f>
        <v>C25</v>
      </c>
      <c r="C1062" s="2">
        <f>--(COUNTIFS($A$2:A1062,A1062,$B$2:B1062,B1062)=1)</f>
        <v>1</v>
      </c>
      <c r="D1062" t="str">
        <f>检查点拆解!F1062</f>
        <v>D10.01.01</v>
      </c>
      <c r="E1062" s="2">
        <f>--(COUNTIFS($A$2:A1062,A1062,$D$2:D1062,D1062)=1)</f>
        <v>1</v>
      </c>
    </row>
    <row r="1063" spans="1:5">
      <c r="A1063" t="str">
        <f>检查点拆解!A1063</f>
        <v>Q0138</v>
      </c>
      <c r="B1063" t="str">
        <f>检查点拆解!D1063</f>
        <v>C30</v>
      </c>
      <c r="C1063" s="2">
        <f>--(COUNTIFS($A$2:A1063,A1063,$B$2:B1063,B1063)=1)</f>
        <v>0</v>
      </c>
      <c r="D1063" t="str">
        <f>检查点拆解!F1063</f>
        <v>D15.01.04</v>
      </c>
      <c r="E1063" s="2">
        <f>--(COUNTIFS($A$2:A1063,A1063,$D$2:D1063,D1063)=1)</f>
        <v>1</v>
      </c>
    </row>
    <row r="1064" spans="1:5">
      <c r="A1064" t="str">
        <f>检查点拆解!A1064</f>
        <v>Q0138</v>
      </c>
      <c r="B1064" t="str">
        <f>检查点拆解!D1064</f>
        <v>C26</v>
      </c>
      <c r="C1064" s="2">
        <f>--(COUNTIFS($A$2:A1064,A1064,$B$2:B1064,B1064)=1)</f>
        <v>1</v>
      </c>
      <c r="D1064" t="str">
        <f>检查点拆解!F1064</f>
        <v>D10.02.02</v>
      </c>
      <c r="E1064" s="2">
        <f>--(COUNTIFS($A$2:A1064,A1064,$D$2:D1064,D1064)=1)</f>
        <v>1</v>
      </c>
    </row>
    <row r="1065" spans="1:5">
      <c r="A1065" t="str">
        <f>检查点拆解!A1065</f>
        <v>Q0138</v>
      </c>
      <c r="B1065" t="str">
        <f>检查点拆解!D1065</f>
        <v>C26</v>
      </c>
      <c r="C1065" s="2">
        <f>--(COUNTIFS($A$2:A1065,A1065,$B$2:B1065,B1065)=1)</f>
        <v>0</v>
      </c>
      <c r="D1065" t="str">
        <f>检查点拆解!F1065</f>
        <v>D10.02.01</v>
      </c>
      <c r="E1065" s="2">
        <f>--(COUNTIFS($A$2:A1065,A1065,$D$2:D1065,D1065)=1)</f>
        <v>1</v>
      </c>
    </row>
    <row r="1066" spans="1:5">
      <c r="A1066" t="str">
        <f>检查点拆解!A1066</f>
        <v>Q0138</v>
      </c>
      <c r="B1066" t="str">
        <f>检查点拆解!D1066</f>
        <v>C28</v>
      </c>
      <c r="C1066" s="2">
        <f>--(COUNTIFS($A$2:A1066,A1066,$B$2:B1066,B1066)=1)</f>
        <v>1</v>
      </c>
      <c r="D1066" t="str">
        <f>检查点拆解!F1066</f>
        <v>D12.01.01</v>
      </c>
      <c r="E1066" s="2">
        <f>--(COUNTIFS($A$2:A1066,A1066,$D$2:D1066,D1066)=1)</f>
        <v>1</v>
      </c>
    </row>
    <row r="1067" spans="1:5">
      <c r="A1067" t="str">
        <f>检查点拆解!A1067</f>
        <v>Q0139</v>
      </c>
      <c r="B1067" t="str">
        <f>检查点拆解!D1067</f>
        <v>C30</v>
      </c>
      <c r="C1067" s="2">
        <f>--(COUNTIFS($A$2:A1067,A1067,$B$2:B1067,B1067)=1)</f>
        <v>1</v>
      </c>
      <c r="D1067" t="str">
        <f>检查点拆解!F1067</f>
        <v>D15.01.01</v>
      </c>
      <c r="E1067" s="2">
        <f>--(COUNTIFS($A$2:A1067,A1067,$D$2:D1067,D1067)=1)</f>
        <v>1</v>
      </c>
    </row>
    <row r="1068" spans="1:5">
      <c r="A1068" t="str">
        <f>检查点拆解!A1068</f>
        <v>Q0139</v>
      </c>
      <c r="B1068" t="str">
        <f>检查点拆解!D1068</f>
        <v>C27</v>
      </c>
      <c r="C1068" s="2">
        <f>--(COUNTIFS($A$2:A1068,A1068,$B$2:B1068,B1068)=1)</f>
        <v>1</v>
      </c>
      <c r="D1068" t="str">
        <f>检查点拆解!F1068</f>
        <v>D11.02.03</v>
      </c>
      <c r="E1068" s="2">
        <f>--(COUNTIFS($A$2:A1068,A1068,$D$2:D1068,D1068)=1)</f>
        <v>1</v>
      </c>
    </row>
    <row r="1069" spans="1:5">
      <c r="A1069" t="str">
        <f>检查点拆解!A1069</f>
        <v>Q0139</v>
      </c>
      <c r="B1069" t="str">
        <f>检查点拆解!D1069</f>
        <v>C25</v>
      </c>
      <c r="C1069" s="2">
        <f>--(COUNTIFS($A$2:A1069,A1069,$B$2:B1069,B1069)=1)</f>
        <v>1</v>
      </c>
      <c r="D1069" t="str">
        <f>检查点拆解!F1069</f>
        <v>D10.01.01</v>
      </c>
      <c r="E1069" s="2">
        <f>--(COUNTIFS($A$2:A1069,A1069,$D$2:D1069,D1069)=1)</f>
        <v>1</v>
      </c>
    </row>
    <row r="1070" spans="1:5">
      <c r="A1070" t="str">
        <f>检查点拆解!A1070</f>
        <v>Q0139</v>
      </c>
      <c r="B1070" t="str">
        <f>检查点拆解!D1070</f>
        <v>C30</v>
      </c>
      <c r="C1070" s="2">
        <f>--(COUNTIFS($A$2:A1070,A1070,$B$2:B1070,B1070)=1)</f>
        <v>0</v>
      </c>
      <c r="D1070" t="str">
        <f>检查点拆解!F1070</f>
        <v>D15.01.04</v>
      </c>
      <c r="E1070" s="2">
        <f>--(COUNTIFS($A$2:A1070,A1070,$D$2:D1070,D1070)=1)</f>
        <v>1</v>
      </c>
    </row>
    <row r="1071" spans="1:5">
      <c r="A1071" t="str">
        <f>检查点拆解!A1071</f>
        <v>Q0140</v>
      </c>
      <c r="B1071" t="str">
        <f>检查点拆解!D1071</f>
        <v>C24</v>
      </c>
      <c r="C1071" s="2">
        <f>--(COUNTIFS($A$2:A1071,A1071,$B$2:B1071,B1071)=1)</f>
        <v>1</v>
      </c>
      <c r="D1071" t="str">
        <f>检查点拆解!F1071</f>
        <v>D09.02.02</v>
      </c>
      <c r="E1071" s="2">
        <f>--(COUNTIFS($A$2:A1071,A1071,$D$2:D1071,D1071)=1)</f>
        <v>1</v>
      </c>
    </row>
    <row r="1072" spans="1:5">
      <c r="A1072" t="str">
        <f>检查点拆解!A1072</f>
        <v>Q0140</v>
      </c>
      <c r="B1072" t="str">
        <f>检查点拆解!D1072</f>
        <v>C27</v>
      </c>
      <c r="C1072" s="2">
        <f>--(COUNTIFS($A$2:A1072,A1072,$B$2:B1072,B1072)=1)</f>
        <v>1</v>
      </c>
      <c r="D1072" t="str">
        <f>检查点拆解!F1072</f>
        <v>D11.02.03</v>
      </c>
      <c r="E1072" s="2">
        <f>--(COUNTIFS($A$2:A1072,A1072,$D$2:D1072,D1072)=1)</f>
        <v>1</v>
      </c>
    </row>
    <row r="1073" spans="1:5">
      <c r="A1073" t="str">
        <f>检查点拆解!A1073</f>
        <v>Q0140</v>
      </c>
      <c r="B1073" t="str">
        <f>检查点拆解!D1073</f>
        <v>C27</v>
      </c>
      <c r="C1073" s="2">
        <f>--(COUNTIFS($A$2:A1073,A1073,$B$2:B1073,B1073)=1)</f>
        <v>0</v>
      </c>
      <c r="D1073" t="str">
        <f>检查点拆解!F1073</f>
        <v>D11.01.02</v>
      </c>
      <c r="E1073" s="2">
        <f>--(COUNTIFS($A$2:A1073,A1073,$D$2:D1073,D1073)=1)</f>
        <v>1</v>
      </c>
    </row>
    <row r="1074" spans="1:5">
      <c r="A1074" t="str">
        <f>检查点拆解!A1074</f>
        <v>Q0140</v>
      </c>
      <c r="B1074" t="str">
        <f>检查点拆解!D1074</f>
        <v>C25</v>
      </c>
      <c r="C1074" s="2">
        <f>--(COUNTIFS($A$2:A1074,A1074,$B$2:B1074,B1074)=1)</f>
        <v>1</v>
      </c>
      <c r="D1074" t="str">
        <f>检查点拆解!F1074</f>
        <v>D10.01.01</v>
      </c>
      <c r="E1074" s="2">
        <f>--(COUNTIFS($A$2:A1074,A1074,$D$2:D1074,D1074)=1)</f>
        <v>1</v>
      </c>
    </row>
    <row r="1075" spans="1:5">
      <c r="A1075" t="str">
        <f>检查点拆解!A1075</f>
        <v>Q0140</v>
      </c>
      <c r="B1075" t="str">
        <f>检查点拆解!D1075</f>
        <v>C25</v>
      </c>
      <c r="C1075" s="2">
        <f>--(COUNTIFS($A$2:A1075,A1075,$B$2:B1075,B1075)=1)</f>
        <v>0</v>
      </c>
      <c r="D1075" t="str">
        <f>检查点拆解!F1075</f>
        <v>D10.01.04</v>
      </c>
      <c r="E1075" s="2">
        <f>--(COUNTIFS($A$2:A1075,A1075,$D$2:D1075,D1075)=1)</f>
        <v>1</v>
      </c>
    </row>
    <row r="1076" spans="1:5">
      <c r="A1076" t="str">
        <f>检查点拆解!A1076</f>
        <v>Q0140</v>
      </c>
      <c r="B1076" t="str">
        <f>检查点拆解!D1076</f>
        <v>C26</v>
      </c>
      <c r="C1076" s="2">
        <f>--(COUNTIFS($A$2:A1076,A1076,$B$2:B1076,B1076)=1)</f>
        <v>1</v>
      </c>
      <c r="D1076" t="str">
        <f>检查点拆解!F1076</f>
        <v>D10.02.01</v>
      </c>
      <c r="E1076" s="2">
        <f>--(COUNTIFS($A$2:A1076,A1076,$D$2:D1076,D1076)=1)</f>
        <v>1</v>
      </c>
    </row>
    <row r="1077" spans="1:5">
      <c r="A1077" t="str">
        <f>检查点拆解!A1077</f>
        <v>Q0140</v>
      </c>
      <c r="B1077" t="str">
        <f>检查点拆解!D1077</f>
        <v>C28</v>
      </c>
      <c r="C1077" s="2">
        <f>--(COUNTIFS($A$2:A1077,A1077,$B$2:B1077,B1077)=1)</f>
        <v>1</v>
      </c>
      <c r="D1077" t="str">
        <f>检查点拆解!F1077</f>
        <v>D12.01.01</v>
      </c>
      <c r="E1077" s="2">
        <f>--(COUNTIFS($A$2:A1077,A1077,$D$2:D1077,D1077)=1)</f>
        <v>1</v>
      </c>
    </row>
    <row r="1078" spans="1:5">
      <c r="A1078" t="str">
        <f>检查点拆解!A1078</f>
        <v>Q0140</v>
      </c>
      <c r="B1078" t="str">
        <f>检查点拆解!D1078</f>
        <v>C28</v>
      </c>
      <c r="C1078" s="2">
        <f>--(COUNTIFS($A$2:A1078,A1078,$B$2:B1078,B1078)=1)</f>
        <v>0</v>
      </c>
      <c r="D1078" t="str">
        <f>检查点拆解!F1078</f>
        <v>D12.01.02</v>
      </c>
      <c r="E1078" s="2">
        <f>--(COUNTIFS($A$2:A1078,A1078,$D$2:D1078,D1078)=1)</f>
        <v>1</v>
      </c>
    </row>
    <row r="1079" spans="1:5">
      <c r="A1079" t="str">
        <f>检查点拆解!A1079</f>
        <v>Q0141</v>
      </c>
      <c r="B1079" t="str">
        <f>检查点拆解!D1079</f>
        <v>C27</v>
      </c>
      <c r="C1079" s="2">
        <f>--(COUNTIFS($A$2:A1079,A1079,$B$2:B1079,B1079)=1)</f>
        <v>1</v>
      </c>
      <c r="D1079" t="str">
        <f>检查点拆解!F1079</f>
        <v>D11.02.01</v>
      </c>
      <c r="E1079" s="2">
        <f>--(COUNTIFS($A$2:A1079,A1079,$D$2:D1079,D1079)=1)</f>
        <v>1</v>
      </c>
    </row>
    <row r="1080" spans="1:5">
      <c r="A1080" t="str">
        <f>检查点拆解!A1080</f>
        <v>Q0141</v>
      </c>
      <c r="B1080" t="str">
        <f>检查点拆解!D1080</f>
        <v>C27</v>
      </c>
      <c r="C1080" s="2">
        <f>--(COUNTIFS($A$2:A1080,A1080,$B$2:B1080,B1080)=1)</f>
        <v>0</v>
      </c>
      <c r="D1080" t="str">
        <f>检查点拆解!F1080</f>
        <v>D11.01.02</v>
      </c>
      <c r="E1080" s="2">
        <f>--(COUNTIFS($A$2:A1080,A1080,$D$2:D1080,D1080)=1)</f>
        <v>1</v>
      </c>
    </row>
    <row r="1081" spans="1:5">
      <c r="A1081" t="str">
        <f>检查点拆解!A1081</f>
        <v>Q0141</v>
      </c>
      <c r="B1081" t="str">
        <f>检查点拆解!D1081</f>
        <v>C06</v>
      </c>
      <c r="C1081" s="2">
        <f>--(COUNTIFS($A$2:A1081,A1081,$B$2:B1081,B1081)=1)</f>
        <v>1</v>
      </c>
      <c r="D1081" t="str">
        <f>检查点拆解!F1081</f>
        <v>D03.01.03</v>
      </c>
      <c r="E1081" s="2">
        <f>--(COUNTIFS($A$2:A1081,A1081,$D$2:D1081,D1081)=1)</f>
        <v>1</v>
      </c>
    </row>
    <row r="1082" spans="1:5">
      <c r="A1082" t="str">
        <f>检查点拆解!A1082</f>
        <v>Q0141</v>
      </c>
      <c r="B1082" t="str">
        <f>检查点拆解!D1082</f>
        <v>C30</v>
      </c>
      <c r="C1082" s="2">
        <f>--(COUNTIFS($A$2:A1082,A1082,$B$2:B1082,B1082)=1)</f>
        <v>1</v>
      </c>
      <c r="D1082" t="str">
        <f>检查点拆解!F1082</f>
        <v>D15.01.04</v>
      </c>
      <c r="E1082" s="2">
        <f>--(COUNTIFS($A$2:A1082,A1082,$D$2:D1082,D1082)=1)</f>
        <v>1</v>
      </c>
    </row>
    <row r="1083" spans="1:5">
      <c r="A1083" t="str">
        <f>检查点拆解!A1083</f>
        <v>Q0141</v>
      </c>
      <c r="B1083" t="str">
        <f>检查点拆解!D1083</f>
        <v>C08</v>
      </c>
      <c r="C1083" s="2">
        <f>--(COUNTIFS($A$2:A1083,A1083,$B$2:B1083,B1083)=1)</f>
        <v>1</v>
      </c>
      <c r="D1083" t="str">
        <f>检查点拆解!F1083</f>
        <v>D04.01.02</v>
      </c>
      <c r="E1083" s="2">
        <f>--(COUNTIFS($A$2:A1083,A1083,$D$2:D1083,D1083)=1)</f>
        <v>1</v>
      </c>
    </row>
    <row r="1084" spans="1:5">
      <c r="A1084" t="str">
        <f>检查点拆解!A1084</f>
        <v>Q0141</v>
      </c>
      <c r="B1084" t="str">
        <f>检查点拆解!D1084</f>
        <v>C14</v>
      </c>
      <c r="C1084" s="2">
        <f>--(COUNTIFS($A$2:A1084,A1084,$B$2:B1084,B1084)=1)</f>
        <v>1</v>
      </c>
      <c r="D1084" t="str">
        <f>检查点拆解!F1084</f>
        <v>D05.01.03</v>
      </c>
      <c r="E1084" s="2">
        <f>--(COUNTIFS($A$2:A1084,A1084,$D$2:D1084,D1084)=1)</f>
        <v>1</v>
      </c>
    </row>
    <row r="1085" spans="1:5">
      <c r="A1085" t="str">
        <f>检查点拆解!A1085</f>
        <v>Q0141</v>
      </c>
      <c r="B1085" t="str">
        <f>检查点拆解!D1085</f>
        <v>C26</v>
      </c>
      <c r="C1085" s="2">
        <f>--(COUNTIFS($A$2:A1085,A1085,$B$2:B1085,B1085)=1)</f>
        <v>1</v>
      </c>
      <c r="D1085" t="str">
        <f>检查点拆解!F1085</f>
        <v>D10.02.01</v>
      </c>
      <c r="E1085" s="2">
        <f>--(COUNTIFS($A$2:A1085,A1085,$D$2:D1085,D1085)=1)</f>
        <v>1</v>
      </c>
    </row>
    <row r="1086" spans="1:5">
      <c r="A1086" t="str">
        <f>检查点拆解!A1086</f>
        <v>Q0141</v>
      </c>
      <c r="B1086" t="str">
        <f>检查点拆解!D1086</f>
        <v>C28</v>
      </c>
      <c r="C1086" s="2">
        <f>--(COUNTIFS($A$2:A1086,A1086,$B$2:B1086,B1086)=1)</f>
        <v>1</v>
      </c>
      <c r="D1086" t="str">
        <f>检查点拆解!F1086</f>
        <v>D12.01.01</v>
      </c>
      <c r="E1086" s="2">
        <f>--(COUNTIFS($A$2:A1086,A1086,$D$2:D1086,D1086)=1)</f>
        <v>1</v>
      </c>
    </row>
    <row r="1087" spans="1:5">
      <c r="A1087" t="str">
        <f>检查点拆解!A1087</f>
        <v>Q0142</v>
      </c>
      <c r="B1087" t="str">
        <f>检查点拆解!D1087</f>
        <v>C30</v>
      </c>
      <c r="C1087" s="2">
        <f>--(COUNTIFS($A$2:A1087,A1087,$B$2:B1087,B1087)=1)</f>
        <v>1</v>
      </c>
      <c r="D1087" t="str">
        <f>检查点拆解!F1087</f>
        <v>D15.01.02</v>
      </c>
      <c r="E1087" s="2">
        <f>--(COUNTIFS($A$2:A1087,A1087,$D$2:D1087,D1087)=1)</f>
        <v>1</v>
      </c>
    </row>
    <row r="1088" spans="1:5">
      <c r="A1088" t="str">
        <f>检查点拆解!A1088</f>
        <v>Q0142</v>
      </c>
      <c r="B1088" t="str">
        <f>检查点拆解!D1088</f>
        <v>C27</v>
      </c>
      <c r="C1088" s="2">
        <f>--(COUNTIFS($A$2:A1088,A1088,$B$2:B1088,B1088)=1)</f>
        <v>1</v>
      </c>
      <c r="D1088" t="str">
        <f>检查点拆解!F1088</f>
        <v>D11.02.03</v>
      </c>
      <c r="E1088" s="2">
        <f>--(COUNTIFS($A$2:A1088,A1088,$D$2:D1088,D1088)=1)</f>
        <v>1</v>
      </c>
    </row>
    <row r="1089" spans="1:5">
      <c r="A1089" t="str">
        <f>检查点拆解!A1089</f>
        <v>Q0142</v>
      </c>
      <c r="B1089" t="str">
        <f>检查点拆解!D1089</f>
        <v>C06</v>
      </c>
      <c r="C1089" s="2">
        <f>--(COUNTIFS($A$2:A1089,A1089,$B$2:B1089,B1089)=1)</f>
        <v>1</v>
      </c>
      <c r="D1089" t="str">
        <f>检查点拆解!F1089</f>
        <v>D03.01.03</v>
      </c>
      <c r="E1089" s="2">
        <f>--(COUNTIFS($A$2:A1089,A1089,$D$2:D1089,D1089)=1)</f>
        <v>1</v>
      </c>
    </row>
    <row r="1090" spans="1:5">
      <c r="A1090" t="str">
        <f>检查点拆解!A1090</f>
        <v>Q0142</v>
      </c>
      <c r="B1090" t="str">
        <f>检查点拆解!D1090</f>
        <v>C30</v>
      </c>
      <c r="C1090" s="2">
        <f>--(COUNTIFS($A$2:A1090,A1090,$B$2:B1090,B1090)=1)</f>
        <v>0</v>
      </c>
      <c r="D1090" t="str">
        <f>检查点拆解!F1090</f>
        <v>D15.01.04</v>
      </c>
      <c r="E1090" s="2">
        <f>--(COUNTIFS($A$2:A1090,A1090,$D$2:D1090,D1090)=1)</f>
        <v>1</v>
      </c>
    </row>
    <row r="1091" spans="1:5">
      <c r="A1091" t="str">
        <f>检查点拆解!A1091</f>
        <v>Q0142</v>
      </c>
      <c r="B1091" t="str">
        <f>检查点拆解!D1091</f>
        <v>C08</v>
      </c>
      <c r="C1091" s="2">
        <f>--(COUNTIFS($A$2:A1091,A1091,$B$2:B1091,B1091)=1)</f>
        <v>1</v>
      </c>
      <c r="D1091" t="str">
        <f>检查点拆解!F1091</f>
        <v>D04.01.02</v>
      </c>
      <c r="E1091" s="2">
        <f>--(COUNTIFS($A$2:A1091,A1091,$D$2:D1091,D1091)=1)</f>
        <v>1</v>
      </c>
    </row>
    <row r="1092" spans="1:5">
      <c r="A1092" t="str">
        <f>检查点拆解!A1092</f>
        <v>Q0142</v>
      </c>
      <c r="B1092" t="str">
        <f>检查点拆解!D1092</f>
        <v>C03</v>
      </c>
      <c r="C1092" s="2">
        <f>--(COUNTIFS($A$2:A1092,A1092,$B$2:B1092,B1092)=1)</f>
        <v>1</v>
      </c>
      <c r="D1092" t="str">
        <f>检查点拆解!F1092</f>
        <v>D02.01.01</v>
      </c>
      <c r="E1092" s="2">
        <f>--(COUNTIFS($A$2:A1092,A1092,$D$2:D1092,D1092)=1)</f>
        <v>1</v>
      </c>
    </row>
    <row r="1093" spans="1:5">
      <c r="A1093" t="str">
        <f>检查点拆解!A1093</f>
        <v>Q0142</v>
      </c>
      <c r="B1093" t="str">
        <f>检查点拆解!D1093</f>
        <v>C05</v>
      </c>
      <c r="C1093" s="2">
        <f>--(COUNTIFS($A$2:A1093,A1093,$B$2:B1093,B1093)=1)</f>
        <v>1</v>
      </c>
      <c r="D1093" t="str">
        <f>检查点拆解!F1093</f>
        <v>D02.03.02</v>
      </c>
      <c r="E1093" s="2">
        <f>--(COUNTIFS($A$2:A1093,A1093,$D$2:D1093,D1093)=1)</f>
        <v>1</v>
      </c>
    </row>
    <row r="1094" spans="1:5">
      <c r="A1094" t="str">
        <f>检查点拆解!A1094</f>
        <v>Q0142</v>
      </c>
      <c r="B1094" t="str">
        <f>检查点拆解!D1094</f>
        <v>C08</v>
      </c>
      <c r="C1094" s="2">
        <f>--(COUNTIFS($A$2:A1094,A1094,$B$2:B1094,B1094)=1)</f>
        <v>0</v>
      </c>
      <c r="D1094" t="str">
        <f>检查点拆解!F1094</f>
        <v>D03.03.01</v>
      </c>
      <c r="E1094" s="2">
        <f>--(COUNTIFS($A$2:A1094,A1094,$D$2:D1094,D1094)=1)</f>
        <v>1</v>
      </c>
    </row>
    <row r="1095" spans="1:5">
      <c r="A1095" t="str">
        <f>检查点拆解!A1095</f>
        <v>Q0143</v>
      </c>
      <c r="B1095" t="str">
        <f>检查点拆解!D1095</f>
        <v>C23</v>
      </c>
      <c r="C1095" s="2">
        <f>--(COUNTIFS($A$2:A1095,A1095,$B$2:B1095,B1095)=1)</f>
        <v>1</v>
      </c>
      <c r="D1095" t="str">
        <f>检查点拆解!F1095</f>
        <v>D09.01.03</v>
      </c>
      <c r="E1095" s="2">
        <f>--(COUNTIFS($A$2:A1095,A1095,$D$2:D1095,D1095)=1)</f>
        <v>1</v>
      </c>
    </row>
    <row r="1096" spans="1:5">
      <c r="A1096" t="str">
        <f>检查点拆解!A1096</f>
        <v>Q0143</v>
      </c>
      <c r="B1096" t="str">
        <f>检查点拆解!D1096</f>
        <v>C27</v>
      </c>
      <c r="C1096" s="2">
        <f>--(COUNTIFS($A$2:A1096,A1096,$B$2:B1096,B1096)=1)</f>
        <v>1</v>
      </c>
      <c r="D1096" t="str">
        <f>检查点拆解!F1096</f>
        <v>D11.02.02</v>
      </c>
      <c r="E1096" s="2">
        <f>--(COUNTIFS($A$2:A1096,A1096,$D$2:D1096,D1096)=1)</f>
        <v>1</v>
      </c>
    </row>
    <row r="1097" spans="1:5">
      <c r="A1097" t="str">
        <f>检查点拆解!A1097</f>
        <v>Q0143</v>
      </c>
      <c r="B1097" t="str">
        <f>检查点拆解!D1097</f>
        <v>C27</v>
      </c>
      <c r="C1097" s="2">
        <f>--(COUNTIFS($A$2:A1097,A1097,$B$2:B1097,B1097)=1)</f>
        <v>0</v>
      </c>
      <c r="D1097" t="str">
        <f>检查点拆解!F1097</f>
        <v>D11.01.02</v>
      </c>
      <c r="E1097" s="2">
        <f>--(COUNTIFS($A$2:A1097,A1097,$D$2:D1097,D1097)=1)</f>
        <v>1</v>
      </c>
    </row>
    <row r="1098" spans="1:5">
      <c r="A1098" t="str">
        <f>检查点拆解!A1098</f>
        <v>Q0143</v>
      </c>
      <c r="B1098" t="str">
        <f>检查点拆解!D1098</f>
        <v>C24</v>
      </c>
      <c r="C1098" s="2">
        <f>--(COUNTIFS($A$2:A1098,A1098,$B$2:B1098,B1098)=1)</f>
        <v>1</v>
      </c>
      <c r="D1098" t="str">
        <f>检查点拆解!F1098</f>
        <v>D09.03.03</v>
      </c>
      <c r="E1098" s="2">
        <f>--(COUNTIFS($A$2:A1098,A1098,$D$2:D1098,D1098)=1)</f>
        <v>1</v>
      </c>
    </row>
    <row r="1099" spans="1:5">
      <c r="A1099" t="str">
        <f>检查点拆解!A1099</f>
        <v>Q0143</v>
      </c>
      <c r="B1099" t="str">
        <f>检查点拆解!D1099</f>
        <v>C27</v>
      </c>
      <c r="C1099" s="2">
        <f>--(COUNTIFS($A$2:A1099,A1099,$B$2:B1099,B1099)=1)</f>
        <v>0</v>
      </c>
      <c r="D1099" t="str">
        <f>检查点拆解!F1099</f>
        <v>D11.01.03</v>
      </c>
      <c r="E1099" s="2">
        <f>--(COUNTIFS($A$2:A1099,A1099,$D$2:D1099,D1099)=1)</f>
        <v>1</v>
      </c>
    </row>
    <row r="1100" spans="1:5">
      <c r="A1100" t="str">
        <f>检查点拆解!A1100</f>
        <v>Q0143</v>
      </c>
      <c r="B1100" t="str">
        <f>检查点拆解!D1100</f>
        <v>C25</v>
      </c>
      <c r="C1100" s="2">
        <f>--(COUNTIFS($A$2:A1100,A1100,$B$2:B1100,B1100)=1)</f>
        <v>1</v>
      </c>
      <c r="D1100" t="str">
        <f>检查点拆解!F1100</f>
        <v>D10.01.01</v>
      </c>
      <c r="E1100" s="2">
        <f>--(COUNTIFS($A$2:A1100,A1100,$D$2:D1100,D1100)=1)</f>
        <v>1</v>
      </c>
    </row>
    <row r="1101" spans="1:5">
      <c r="A1101" t="str">
        <f>检查点拆解!A1101</f>
        <v>Q0143</v>
      </c>
      <c r="B1101" t="str">
        <f>检查点拆解!D1101</f>
        <v>C06</v>
      </c>
      <c r="C1101" s="2">
        <f>--(COUNTIFS($A$2:A1101,A1101,$B$2:B1101,B1101)=1)</f>
        <v>1</v>
      </c>
      <c r="D1101" t="str">
        <f>检查点拆解!F1101</f>
        <v>D03.01.02</v>
      </c>
      <c r="E1101" s="2">
        <f>--(COUNTIFS($A$2:A1101,A1101,$D$2:D1101,D1101)=1)</f>
        <v>1</v>
      </c>
    </row>
    <row r="1102" spans="1:5">
      <c r="A1102" t="str">
        <f>检查点拆解!A1102</f>
        <v>Q0143</v>
      </c>
      <c r="B1102" t="str">
        <f>检查点拆解!D1102</f>
        <v>C28</v>
      </c>
      <c r="C1102" s="2">
        <f>--(COUNTIFS($A$2:A1102,A1102,$B$2:B1102,B1102)=1)</f>
        <v>1</v>
      </c>
      <c r="D1102" t="str">
        <f>检查点拆解!F1102</f>
        <v>D12.02.02</v>
      </c>
      <c r="E1102" s="2">
        <f>--(COUNTIFS($A$2:A1102,A1102,$D$2:D1102,D1102)=1)</f>
        <v>1</v>
      </c>
    </row>
    <row r="1103" spans="1:5">
      <c r="A1103" t="str">
        <f>检查点拆解!A1103</f>
        <v>Q0144</v>
      </c>
      <c r="B1103" t="str">
        <f>检查点拆解!D1103</f>
        <v>C27</v>
      </c>
      <c r="C1103" s="2">
        <f>--(COUNTIFS($A$2:A1103,A1103,$B$2:B1103,B1103)=1)</f>
        <v>1</v>
      </c>
      <c r="D1103" t="str">
        <f>检查点拆解!F1103</f>
        <v>D11.01.02</v>
      </c>
      <c r="E1103" s="2">
        <f>--(COUNTIFS($A$2:A1103,A1103,$D$2:D1103,D1103)=1)</f>
        <v>1</v>
      </c>
    </row>
    <row r="1104" spans="1:5">
      <c r="A1104" t="str">
        <f>检查点拆解!A1104</f>
        <v>Q0144</v>
      </c>
      <c r="B1104" t="str">
        <f>检查点拆解!D1104</f>
        <v>C24</v>
      </c>
      <c r="C1104" s="2">
        <f>--(COUNTIFS($A$2:A1104,A1104,$B$2:B1104,B1104)=1)</f>
        <v>1</v>
      </c>
      <c r="D1104" t="str">
        <f>检查点拆解!F1104</f>
        <v>D09.03.03</v>
      </c>
      <c r="E1104" s="2">
        <f>--(COUNTIFS($A$2:A1104,A1104,$D$2:D1104,D1104)=1)</f>
        <v>1</v>
      </c>
    </row>
    <row r="1105" spans="1:5">
      <c r="A1105" t="str">
        <f>检查点拆解!A1105</f>
        <v>Q0144</v>
      </c>
      <c r="B1105" t="str">
        <f>检查点拆解!D1105</f>
        <v>C25</v>
      </c>
      <c r="C1105" s="2">
        <f>--(COUNTIFS($A$2:A1105,A1105,$B$2:B1105,B1105)=1)</f>
        <v>1</v>
      </c>
      <c r="D1105" t="str">
        <f>检查点拆解!F1105</f>
        <v>D10.01.04</v>
      </c>
      <c r="E1105" s="2">
        <f>--(COUNTIFS($A$2:A1105,A1105,$D$2:D1105,D1105)=1)</f>
        <v>1</v>
      </c>
    </row>
    <row r="1106" spans="1:5">
      <c r="A1106" t="str">
        <f>检查点拆解!A1106</f>
        <v>Q0144</v>
      </c>
      <c r="B1106" t="str">
        <f>检查点拆解!D1106</f>
        <v>C15</v>
      </c>
      <c r="C1106" s="2">
        <f>--(COUNTIFS($A$2:A1106,A1106,$B$2:B1106,B1106)=1)</f>
        <v>1</v>
      </c>
      <c r="D1106" t="str">
        <f>检查点拆解!F1106</f>
        <v>D05.02.01</v>
      </c>
      <c r="E1106" s="2">
        <f>--(COUNTIFS($A$2:A1106,A1106,$D$2:D1106,D1106)=1)</f>
        <v>1</v>
      </c>
    </row>
    <row r="1107" spans="1:5">
      <c r="A1107" t="str">
        <f>检查点拆解!A1107</f>
        <v>Q0145</v>
      </c>
      <c r="B1107" t="str">
        <f>检查点拆解!D1107</f>
        <v>C24</v>
      </c>
      <c r="C1107" s="2">
        <f>--(COUNTIFS($A$2:A1107,A1107,$B$2:B1107,B1107)=1)</f>
        <v>1</v>
      </c>
      <c r="D1107" t="str">
        <f>检查点拆解!F1107</f>
        <v>D09.03.03</v>
      </c>
      <c r="E1107" s="2">
        <f>--(COUNTIFS($A$2:A1107,A1107,$D$2:D1107,D1107)=1)</f>
        <v>1</v>
      </c>
    </row>
    <row r="1108" spans="1:5">
      <c r="A1108" t="str">
        <f>检查点拆解!A1108</f>
        <v>Q0145</v>
      </c>
      <c r="B1108" t="str">
        <f>检查点拆解!D1108</f>
        <v>C27</v>
      </c>
      <c r="C1108" s="2">
        <f>--(COUNTIFS($A$2:A1108,A1108,$B$2:B1108,B1108)=1)</f>
        <v>1</v>
      </c>
      <c r="D1108" t="str">
        <f>检查点拆解!F1108</f>
        <v>D11.01.03</v>
      </c>
      <c r="E1108" s="2">
        <f>--(COUNTIFS($A$2:A1108,A1108,$D$2:D1108,D1108)=1)</f>
        <v>1</v>
      </c>
    </row>
    <row r="1109" spans="1:5">
      <c r="A1109" t="str">
        <f>检查点拆解!A1109</f>
        <v>Q0145</v>
      </c>
      <c r="B1109" t="str">
        <f>检查点拆解!D1109</f>
        <v>C25</v>
      </c>
      <c r="C1109" s="2">
        <f>--(COUNTIFS($A$2:A1109,A1109,$B$2:B1109,B1109)=1)</f>
        <v>1</v>
      </c>
      <c r="D1109" t="str">
        <f>检查点拆解!F1109</f>
        <v>D10.01.01</v>
      </c>
      <c r="E1109" s="2">
        <f>--(COUNTIFS($A$2:A1109,A1109,$D$2:D1109,D1109)=1)</f>
        <v>1</v>
      </c>
    </row>
    <row r="1110" spans="1:5">
      <c r="A1110" t="str">
        <f>检查点拆解!A1110</f>
        <v>Q0145</v>
      </c>
      <c r="B1110" t="str">
        <f>检查点拆解!D1110</f>
        <v>C08</v>
      </c>
      <c r="C1110" s="2">
        <f>--(COUNTIFS($A$2:A1110,A1110,$B$2:B1110,B1110)=1)</f>
        <v>1</v>
      </c>
      <c r="D1110" t="str">
        <f>检查点拆解!F1110</f>
        <v>D04.01.02</v>
      </c>
      <c r="E1110" s="2">
        <f>--(COUNTIFS($A$2:A1110,A1110,$D$2:D1110,D1110)=1)</f>
        <v>1</v>
      </c>
    </row>
    <row r="1111" spans="1:5">
      <c r="A1111" t="str">
        <f>检查点拆解!A1111</f>
        <v>Q0145</v>
      </c>
      <c r="B1111" t="str">
        <f>检查点拆解!D1111</f>
        <v>C28</v>
      </c>
      <c r="C1111" s="2">
        <f>--(COUNTIFS($A$2:A1111,A1111,$B$2:B1111,B1111)=1)</f>
        <v>1</v>
      </c>
      <c r="D1111" t="str">
        <f>检查点拆解!F1111</f>
        <v>D12.02.02</v>
      </c>
      <c r="E1111" s="2">
        <f>--(COUNTIFS($A$2:A1111,A1111,$D$2:D1111,D1111)=1)</f>
        <v>1</v>
      </c>
    </row>
    <row r="1112" spans="1:5">
      <c r="A1112" t="str">
        <f>检查点拆解!A1112</f>
        <v>Q0145</v>
      </c>
      <c r="B1112" t="str">
        <f>检查点拆解!D1112</f>
        <v>C26</v>
      </c>
      <c r="C1112" s="2">
        <f>--(COUNTIFS($A$2:A1112,A1112,$B$2:B1112,B1112)=1)</f>
        <v>1</v>
      </c>
      <c r="D1112" t="str">
        <f>检查点拆解!F1112</f>
        <v>D10.02.01</v>
      </c>
      <c r="E1112" s="2">
        <f>--(COUNTIFS($A$2:A1112,A1112,$D$2:D1112,D1112)=1)</f>
        <v>1</v>
      </c>
    </row>
    <row r="1113" spans="1:5">
      <c r="A1113" t="str">
        <f>检查点拆解!A1113</f>
        <v>Q0145</v>
      </c>
      <c r="B1113" t="str">
        <f>检查点拆解!D1113</f>
        <v>C28</v>
      </c>
      <c r="C1113" s="2">
        <f>--(COUNTIFS($A$2:A1113,A1113,$B$2:B1113,B1113)=1)</f>
        <v>0</v>
      </c>
      <c r="D1113" t="str">
        <f>检查点拆解!F1113</f>
        <v>D12.01.01</v>
      </c>
      <c r="E1113" s="2">
        <f>--(COUNTIFS($A$2:A1113,A1113,$D$2:D1113,D1113)=1)</f>
        <v>1</v>
      </c>
    </row>
    <row r="1114" spans="1:5">
      <c r="A1114" t="str">
        <f>检查点拆解!A1114</f>
        <v>Q0145</v>
      </c>
      <c r="B1114" t="str">
        <f>检查点拆解!D1114</f>
        <v>C28</v>
      </c>
      <c r="C1114" s="2">
        <f>--(COUNTIFS($A$2:A1114,A1114,$B$2:B1114,B1114)=1)</f>
        <v>0</v>
      </c>
      <c r="D1114" t="str">
        <f>检查点拆解!F1114</f>
        <v>D12.01.02</v>
      </c>
      <c r="E1114" s="2">
        <f>--(COUNTIFS($A$2:A1114,A1114,$D$2:D1114,D1114)=1)</f>
        <v>1</v>
      </c>
    </row>
    <row r="1115" spans="1:5">
      <c r="A1115" t="str">
        <f>检查点拆解!A1115</f>
        <v>Q0145</v>
      </c>
      <c r="B1115" t="str">
        <f>检查点拆解!D1115</f>
        <v>C06</v>
      </c>
      <c r="C1115" s="2">
        <f>--(COUNTIFS($A$2:A1115,A1115,$B$2:B1115,B1115)=1)</f>
        <v>1</v>
      </c>
      <c r="D1115" t="str">
        <f>检查点拆解!F1115</f>
        <v>D03.01.01</v>
      </c>
      <c r="E1115" s="2">
        <f>--(COUNTIFS($A$2:A1115,A1115,$D$2:D1115,D1115)=1)</f>
        <v>1</v>
      </c>
    </row>
    <row r="1116" spans="1:5">
      <c r="A1116" t="str">
        <f>检查点拆解!A1116</f>
        <v>Q0145</v>
      </c>
      <c r="B1116" t="str">
        <f>检查点拆解!D1116</f>
        <v>C28</v>
      </c>
      <c r="C1116" s="2">
        <f>--(COUNTIFS($A$2:A1116,A1116,$B$2:B1116,B1116)=1)</f>
        <v>0</v>
      </c>
      <c r="D1116" t="str">
        <f>检查点拆解!F1116</f>
        <v>D12.01.03</v>
      </c>
      <c r="E1116" s="2">
        <f>--(COUNTIFS($A$2:A1116,A1116,$D$2:D1116,D1116)=1)</f>
        <v>1</v>
      </c>
    </row>
    <row r="1117" spans="1:5">
      <c r="A1117" t="str">
        <f>检查点拆解!A1117</f>
        <v>Q0145</v>
      </c>
      <c r="B1117" t="str">
        <f>检查点拆解!D1117</f>
        <v>C28</v>
      </c>
      <c r="C1117" s="2">
        <f>--(COUNTIFS($A$2:A1117,A1117,$B$2:B1117,B1117)=1)</f>
        <v>0</v>
      </c>
      <c r="D1117" t="str">
        <f>检查点拆解!F1117</f>
        <v>D13.01.01</v>
      </c>
      <c r="E1117" s="2">
        <f>--(COUNTIFS($A$2:A1117,A1117,$D$2:D1117,D1117)=1)</f>
        <v>1</v>
      </c>
    </row>
    <row r="1118" spans="1:5">
      <c r="A1118" t="str">
        <f>检查点拆解!A1118</f>
        <v>Q0145</v>
      </c>
      <c r="B1118" t="str">
        <f>检查点拆解!D1118</f>
        <v>C14</v>
      </c>
      <c r="C1118" s="2">
        <f>--(COUNTIFS($A$2:A1118,A1118,$B$2:B1118,B1118)=1)</f>
        <v>1</v>
      </c>
      <c r="D1118" t="str">
        <f>检查点拆解!F1118</f>
        <v>D05.01.01</v>
      </c>
      <c r="E1118" s="2">
        <f>--(COUNTIFS($A$2:A1118,A1118,$D$2:D1118,D1118)=1)</f>
        <v>1</v>
      </c>
    </row>
    <row r="1119" spans="1:5">
      <c r="A1119" t="str">
        <f>检查点拆解!A1119</f>
        <v>Q0146</v>
      </c>
      <c r="B1119" t="str">
        <f>检查点拆解!D1119</f>
        <v>C24</v>
      </c>
      <c r="C1119" s="2">
        <f>--(COUNTIFS($A$2:A1119,A1119,$B$2:B1119,B1119)=1)</f>
        <v>1</v>
      </c>
      <c r="D1119" t="str">
        <f>检查点拆解!F1119</f>
        <v>D09.03.03</v>
      </c>
      <c r="E1119" s="2">
        <f>--(COUNTIFS($A$2:A1119,A1119,$D$2:D1119,D1119)=1)</f>
        <v>1</v>
      </c>
    </row>
    <row r="1120" spans="1:5">
      <c r="A1120" t="str">
        <f>检查点拆解!A1120</f>
        <v>Q0146</v>
      </c>
      <c r="B1120" t="str">
        <f>检查点拆解!D1120</f>
        <v>C27</v>
      </c>
      <c r="C1120" s="2">
        <f>--(COUNTIFS($A$2:A1120,A1120,$B$2:B1120,B1120)=1)</f>
        <v>1</v>
      </c>
      <c r="D1120" t="str">
        <f>检查点拆解!F1120</f>
        <v>D11.01.03</v>
      </c>
      <c r="E1120" s="2">
        <f>--(COUNTIFS($A$2:A1120,A1120,$D$2:D1120,D1120)=1)</f>
        <v>1</v>
      </c>
    </row>
    <row r="1121" spans="1:5">
      <c r="A1121" t="str">
        <f>检查点拆解!A1121</f>
        <v>Q0146</v>
      </c>
      <c r="B1121" t="str">
        <f>检查点拆解!D1121</f>
        <v>C25</v>
      </c>
      <c r="C1121" s="2">
        <f>--(COUNTIFS($A$2:A1121,A1121,$B$2:B1121,B1121)=1)</f>
        <v>1</v>
      </c>
      <c r="D1121" t="str">
        <f>检查点拆解!F1121</f>
        <v>D10.01.01</v>
      </c>
      <c r="E1121" s="2">
        <f>--(COUNTIFS($A$2:A1121,A1121,$D$2:D1121,D1121)=1)</f>
        <v>1</v>
      </c>
    </row>
    <row r="1122" spans="1:5">
      <c r="A1122" t="str">
        <f>检查点拆解!A1122</f>
        <v>Q0146</v>
      </c>
      <c r="B1122" t="str">
        <f>检查点拆解!D1122</f>
        <v>C06</v>
      </c>
      <c r="C1122" s="2">
        <f>--(COUNTIFS($A$2:A1122,A1122,$B$2:B1122,B1122)=1)</f>
        <v>1</v>
      </c>
      <c r="D1122" t="str">
        <f>检查点拆解!F1122</f>
        <v>D03.01.01</v>
      </c>
      <c r="E1122" s="2">
        <f>--(COUNTIFS($A$2:A1122,A1122,$D$2:D1122,D1122)=1)</f>
        <v>1</v>
      </c>
    </row>
    <row r="1123" spans="1:5">
      <c r="A1123" t="str">
        <f>检查点拆解!A1123</f>
        <v>Q0146</v>
      </c>
      <c r="B1123" t="str">
        <f>检查点拆解!D1123</f>
        <v>C08</v>
      </c>
      <c r="C1123" s="2">
        <f>--(COUNTIFS($A$2:A1123,A1123,$B$2:B1123,B1123)=1)</f>
        <v>1</v>
      </c>
      <c r="D1123" t="str">
        <f>检查点拆解!F1123</f>
        <v>D04.01.01</v>
      </c>
      <c r="E1123" s="2">
        <f>--(COUNTIFS($A$2:A1123,A1123,$D$2:D1123,D1123)=1)</f>
        <v>1</v>
      </c>
    </row>
    <row r="1124" spans="1:5">
      <c r="A1124" t="str">
        <f>检查点拆解!A1124</f>
        <v>Q0146</v>
      </c>
      <c r="B1124" t="str">
        <f>检查点拆解!D1124</f>
        <v>C03</v>
      </c>
      <c r="C1124" s="2">
        <f>--(COUNTIFS($A$2:A1124,A1124,$B$2:B1124,B1124)=1)</f>
        <v>1</v>
      </c>
      <c r="D1124" t="str">
        <f>检查点拆解!F1124</f>
        <v>D02.01.01</v>
      </c>
      <c r="E1124" s="2">
        <f>--(COUNTIFS($A$2:A1124,A1124,$D$2:D1124,D1124)=1)</f>
        <v>1</v>
      </c>
    </row>
    <row r="1125" spans="1:5">
      <c r="A1125" t="str">
        <f>检查点拆解!A1125</f>
        <v>Q0146</v>
      </c>
      <c r="B1125" t="str">
        <f>检查点拆解!D1125</f>
        <v>C05</v>
      </c>
      <c r="C1125" s="2">
        <f>--(COUNTIFS($A$2:A1125,A1125,$B$2:B1125,B1125)=1)</f>
        <v>1</v>
      </c>
      <c r="D1125" t="str">
        <f>检查点拆解!F1125</f>
        <v>D02.03.01</v>
      </c>
      <c r="E1125" s="2">
        <f>--(COUNTIFS($A$2:A1125,A1125,$D$2:D1125,D1125)=1)</f>
        <v>1</v>
      </c>
    </row>
    <row r="1126" spans="1:5">
      <c r="A1126" t="str">
        <f>检查点拆解!A1126</f>
        <v>Q0146</v>
      </c>
      <c r="B1126" t="str">
        <f>检查点拆解!D1126</f>
        <v>C08</v>
      </c>
      <c r="C1126" s="2">
        <f>--(COUNTIFS($A$2:A1126,A1126,$B$2:B1126,B1126)=1)</f>
        <v>0</v>
      </c>
      <c r="D1126" t="str">
        <f>检查点拆解!F1126</f>
        <v>D03.03.01</v>
      </c>
      <c r="E1126" s="2">
        <f>--(COUNTIFS($A$2:A1126,A1126,$D$2:D1126,D1126)=1)</f>
        <v>1</v>
      </c>
    </row>
    <row r="1127" spans="1:5">
      <c r="A1127" t="str">
        <f>检查点拆解!A1127</f>
        <v>Q0147</v>
      </c>
      <c r="B1127" t="str">
        <f>检查点拆解!D1127</f>
        <v>C27</v>
      </c>
      <c r="C1127" s="2">
        <f>--(COUNTIFS($A$2:A1127,A1127,$B$2:B1127,B1127)=1)</f>
        <v>1</v>
      </c>
      <c r="D1127" t="str">
        <f>检查点拆解!F1127</f>
        <v>D11.02.02</v>
      </c>
      <c r="E1127" s="2">
        <f>--(COUNTIFS($A$2:A1127,A1127,$D$2:D1127,D1127)=1)</f>
        <v>1</v>
      </c>
    </row>
    <row r="1128" spans="1:5">
      <c r="A1128" t="str">
        <f>检查点拆解!A1128</f>
        <v>Q0147</v>
      </c>
      <c r="B1128" t="str">
        <f>检查点拆解!D1128</f>
        <v>C27</v>
      </c>
      <c r="C1128" s="2">
        <f>--(COUNTIFS($A$2:A1128,A1128,$B$2:B1128,B1128)=1)</f>
        <v>0</v>
      </c>
      <c r="D1128" t="str">
        <f>检查点拆解!F1128</f>
        <v>D11.01.02</v>
      </c>
      <c r="E1128" s="2">
        <f>--(COUNTIFS($A$2:A1128,A1128,$D$2:D1128,D1128)=1)</f>
        <v>1</v>
      </c>
    </row>
    <row r="1129" spans="1:5">
      <c r="A1129" t="str">
        <f>检查点拆解!A1129</f>
        <v>Q0147</v>
      </c>
      <c r="B1129" t="str">
        <f>检查点拆解!D1129</f>
        <v>C24</v>
      </c>
      <c r="C1129" s="2">
        <f>--(COUNTIFS($A$2:A1129,A1129,$B$2:B1129,B1129)=1)</f>
        <v>1</v>
      </c>
      <c r="D1129" t="str">
        <f>检查点拆解!F1129</f>
        <v>D09.03.03</v>
      </c>
      <c r="E1129" s="2">
        <f>--(COUNTIFS($A$2:A1129,A1129,$D$2:D1129,D1129)=1)</f>
        <v>1</v>
      </c>
    </row>
    <row r="1130" spans="1:5">
      <c r="A1130" t="str">
        <f>检查点拆解!A1130</f>
        <v>Q0147</v>
      </c>
      <c r="B1130" t="str">
        <f>检查点拆解!D1130</f>
        <v>C27</v>
      </c>
      <c r="C1130" s="2">
        <f>--(COUNTIFS($A$2:A1130,A1130,$B$2:B1130,B1130)=1)</f>
        <v>0</v>
      </c>
      <c r="D1130" t="str">
        <f>检查点拆解!F1130</f>
        <v>D11.01.03</v>
      </c>
      <c r="E1130" s="2">
        <f>--(COUNTIFS($A$2:A1130,A1130,$D$2:D1130,D1130)=1)</f>
        <v>1</v>
      </c>
    </row>
    <row r="1131" spans="1:5">
      <c r="A1131" t="str">
        <f>检查点拆解!A1131</f>
        <v>Q0147</v>
      </c>
      <c r="B1131" t="str">
        <f>检查点拆解!D1131</f>
        <v>C06</v>
      </c>
      <c r="C1131" s="2">
        <f>--(COUNTIFS($A$2:A1131,A1131,$B$2:B1131,B1131)=1)</f>
        <v>1</v>
      </c>
      <c r="D1131" t="str">
        <f>检查点拆解!F1131</f>
        <v>D03.01.03</v>
      </c>
      <c r="E1131" s="2">
        <f>--(COUNTIFS($A$2:A1131,A1131,$D$2:D1131,D1131)=1)</f>
        <v>1</v>
      </c>
    </row>
    <row r="1132" spans="1:5">
      <c r="A1132" t="str">
        <f>检查点拆解!A1132</f>
        <v>Q0147</v>
      </c>
      <c r="B1132" t="str">
        <f>检查点拆解!D1132</f>
        <v>C25</v>
      </c>
      <c r="C1132" s="2">
        <f>--(COUNTIFS($A$2:A1132,A1132,$B$2:B1132,B1132)=1)</f>
        <v>1</v>
      </c>
      <c r="D1132" t="str">
        <f>检查点拆解!F1132</f>
        <v>D10.01.01</v>
      </c>
      <c r="E1132" s="2">
        <f>--(COUNTIFS($A$2:A1132,A1132,$D$2:D1132,D1132)=1)</f>
        <v>1</v>
      </c>
    </row>
    <row r="1133" spans="1:5">
      <c r="A1133" t="str">
        <f>检查点拆解!A1133</f>
        <v>Q0147</v>
      </c>
      <c r="B1133" t="str">
        <f>检查点拆解!D1133</f>
        <v>C09</v>
      </c>
      <c r="C1133" s="2">
        <f>--(COUNTIFS($A$2:A1133,A1133,$B$2:B1133,B1133)=1)</f>
        <v>1</v>
      </c>
      <c r="D1133" t="str">
        <f>检查点拆解!F1133</f>
        <v>D04.02.02</v>
      </c>
      <c r="E1133" s="2">
        <f>--(COUNTIFS($A$2:A1133,A1133,$D$2:D1133,D1133)=1)</f>
        <v>1</v>
      </c>
    </row>
    <row r="1134" spans="1:5">
      <c r="A1134" t="str">
        <f>检查点拆解!A1134</f>
        <v>Q0147</v>
      </c>
      <c r="B1134" t="str">
        <f>检查点拆解!D1134</f>
        <v>C06</v>
      </c>
      <c r="C1134" s="2">
        <f>--(COUNTIFS($A$2:A1134,A1134,$B$2:B1134,B1134)=1)</f>
        <v>0</v>
      </c>
      <c r="D1134" t="str">
        <f>检查点拆解!F1134</f>
        <v>D03.01.02</v>
      </c>
      <c r="E1134" s="2">
        <f>--(COUNTIFS($A$2:A1134,A1134,$D$2:D1134,D1134)=1)</f>
        <v>1</v>
      </c>
    </row>
    <row r="1135" spans="1:5">
      <c r="A1135" t="str">
        <f>检查点拆解!A1135</f>
        <v>Q0148</v>
      </c>
      <c r="B1135" t="str">
        <f>检查点拆解!D1135</f>
        <v>C27</v>
      </c>
      <c r="C1135" s="2">
        <f>--(COUNTIFS($A$2:A1135,A1135,$B$2:B1135,B1135)=1)</f>
        <v>1</v>
      </c>
      <c r="D1135" t="str">
        <f>检查点拆解!F1135</f>
        <v>D11.01.02</v>
      </c>
      <c r="E1135" s="2">
        <f>--(COUNTIFS($A$2:A1135,A1135,$D$2:D1135,D1135)=1)</f>
        <v>1</v>
      </c>
    </row>
    <row r="1136" spans="1:5">
      <c r="A1136" t="str">
        <f>检查点拆解!A1136</f>
        <v>Q0148</v>
      </c>
      <c r="B1136" t="str">
        <f>检查点拆解!D1136</f>
        <v>C24</v>
      </c>
      <c r="C1136" s="2">
        <f>--(COUNTIFS($A$2:A1136,A1136,$B$2:B1136,B1136)=1)</f>
        <v>1</v>
      </c>
      <c r="D1136" t="str">
        <f>检查点拆解!F1136</f>
        <v>D09.03.03</v>
      </c>
      <c r="E1136" s="2">
        <f>--(COUNTIFS($A$2:A1136,A1136,$D$2:D1136,D1136)=1)</f>
        <v>1</v>
      </c>
    </row>
    <row r="1137" spans="1:5">
      <c r="A1137" t="str">
        <f>检查点拆解!A1137</f>
        <v>Q0148</v>
      </c>
      <c r="B1137" t="str">
        <f>检查点拆解!D1137</f>
        <v>C25</v>
      </c>
      <c r="C1137" s="2">
        <f>--(COUNTIFS($A$2:A1137,A1137,$B$2:B1137,B1137)=1)</f>
        <v>1</v>
      </c>
      <c r="D1137" t="str">
        <f>检查点拆解!F1137</f>
        <v>D10.01.01</v>
      </c>
      <c r="E1137" s="2">
        <f>--(COUNTIFS($A$2:A1137,A1137,$D$2:D1137,D1137)=1)</f>
        <v>1</v>
      </c>
    </row>
    <row r="1138" spans="1:5">
      <c r="A1138" t="str">
        <f>检查点拆解!A1138</f>
        <v>Q0148</v>
      </c>
      <c r="B1138" t="str">
        <f>检查点拆解!D1138</f>
        <v>C26</v>
      </c>
      <c r="C1138" s="2">
        <f>--(COUNTIFS($A$2:A1138,A1138,$B$2:B1138,B1138)=1)</f>
        <v>1</v>
      </c>
      <c r="D1138" t="str">
        <f>检查点拆解!F1138</f>
        <v>D10.02.01</v>
      </c>
      <c r="E1138" s="2">
        <f>--(COUNTIFS($A$2:A1138,A1138,$D$2:D1138,D1138)=1)</f>
        <v>1</v>
      </c>
    </row>
    <row r="1139" spans="1:5">
      <c r="A1139" t="str">
        <f>检查点拆解!A1139</f>
        <v>Q0148</v>
      </c>
      <c r="B1139" t="str">
        <f>检查点拆解!D1139</f>
        <v>C28</v>
      </c>
      <c r="C1139" s="2">
        <f>--(COUNTIFS($A$2:A1139,A1139,$B$2:B1139,B1139)=1)</f>
        <v>1</v>
      </c>
      <c r="D1139" t="str">
        <f>检查点拆解!F1139</f>
        <v>D12.01.01</v>
      </c>
      <c r="E1139" s="2">
        <f>--(COUNTIFS($A$2:A1139,A1139,$D$2:D1139,D1139)=1)</f>
        <v>1</v>
      </c>
    </row>
    <row r="1140" spans="1:5">
      <c r="A1140" t="str">
        <f>检查点拆解!A1140</f>
        <v>Q0148</v>
      </c>
      <c r="B1140" t="str">
        <f>检查点拆解!D1140</f>
        <v>C28</v>
      </c>
      <c r="C1140" s="2">
        <f>--(COUNTIFS($A$2:A1140,A1140,$B$2:B1140,B1140)=1)</f>
        <v>0</v>
      </c>
      <c r="D1140" t="str">
        <f>检查点拆解!F1140</f>
        <v>D12.01.02</v>
      </c>
      <c r="E1140" s="2">
        <f>--(COUNTIFS($A$2:A1140,A1140,$D$2:D1140,D1140)=1)</f>
        <v>1</v>
      </c>
    </row>
    <row r="1141" spans="1:5">
      <c r="A1141" t="str">
        <f>检查点拆解!A1141</f>
        <v>Q0148</v>
      </c>
      <c r="B1141" t="str">
        <f>检查点拆解!D1141</f>
        <v>C06</v>
      </c>
      <c r="C1141" s="2">
        <f>--(COUNTIFS($A$2:A1141,A1141,$B$2:B1141,B1141)=1)</f>
        <v>1</v>
      </c>
      <c r="D1141" t="str">
        <f>检查点拆解!F1141</f>
        <v>D03.01.01</v>
      </c>
      <c r="E1141" s="2">
        <f>--(COUNTIFS($A$2:A1141,A1141,$D$2:D1141,D1141)=1)</f>
        <v>1</v>
      </c>
    </row>
    <row r="1142" spans="1:5">
      <c r="A1142" t="str">
        <f>检查点拆解!A1142</f>
        <v>Q0148</v>
      </c>
      <c r="B1142" t="str">
        <f>检查点拆解!D1142</f>
        <v>C28</v>
      </c>
      <c r="C1142" s="2">
        <f>--(COUNTIFS($A$2:A1142,A1142,$B$2:B1142,B1142)=1)</f>
        <v>0</v>
      </c>
      <c r="D1142" t="str">
        <f>检查点拆解!F1142</f>
        <v>D13.01.01</v>
      </c>
      <c r="E1142" s="2">
        <f>--(COUNTIFS($A$2:A1142,A1142,$D$2:D1142,D1142)=1)</f>
        <v>1</v>
      </c>
    </row>
    <row r="1143" spans="1:5">
      <c r="A1143" t="str">
        <f>检查点拆解!A1143</f>
        <v>Q0149</v>
      </c>
      <c r="B1143" t="str">
        <f>检查点拆解!D1143</f>
        <v>C28</v>
      </c>
      <c r="C1143" s="2">
        <f>--(COUNTIFS($A$2:A1143,A1143,$B$2:B1143,B1143)=1)</f>
        <v>1</v>
      </c>
      <c r="D1143" t="str">
        <f>检查点拆解!F1143</f>
        <v>D12.01.01</v>
      </c>
      <c r="E1143" s="2">
        <f>--(COUNTIFS($A$2:A1143,A1143,$D$2:D1143,D1143)=1)</f>
        <v>1</v>
      </c>
    </row>
    <row r="1144" spans="1:5">
      <c r="A1144" t="str">
        <f>检查点拆解!A1144</f>
        <v>Q0149</v>
      </c>
      <c r="B1144" t="str">
        <f>检查点拆解!D1144</f>
        <v>C28</v>
      </c>
      <c r="C1144" s="2">
        <f>--(COUNTIFS($A$2:A1144,A1144,$B$2:B1144,B1144)=1)</f>
        <v>0</v>
      </c>
      <c r="D1144" t="str">
        <f>检查点拆解!F1144</f>
        <v>D12.01.02</v>
      </c>
      <c r="E1144" s="2">
        <f>--(COUNTIFS($A$2:A1144,A1144,$D$2:D1144,D1144)=1)</f>
        <v>1</v>
      </c>
    </row>
    <row r="1145" spans="1:5">
      <c r="A1145" t="str">
        <f>检查点拆解!A1145</f>
        <v>Q0149</v>
      </c>
      <c r="B1145" t="str">
        <f>检查点拆解!D1145</f>
        <v>C06</v>
      </c>
      <c r="C1145" s="2">
        <f>--(COUNTIFS($A$2:A1145,A1145,$B$2:B1145,B1145)=1)</f>
        <v>1</v>
      </c>
      <c r="D1145" t="str">
        <f>检查点拆解!F1145</f>
        <v>D03.01.01</v>
      </c>
      <c r="E1145" s="2">
        <f>--(COUNTIFS($A$2:A1145,A1145,$D$2:D1145,D1145)=1)</f>
        <v>1</v>
      </c>
    </row>
    <row r="1146" spans="1:5">
      <c r="A1146" t="str">
        <f>检查点拆解!A1146</f>
        <v>Q0149</v>
      </c>
      <c r="B1146" t="str">
        <f>检查点拆解!D1146</f>
        <v>C03</v>
      </c>
      <c r="C1146" s="2">
        <f>--(COUNTIFS($A$2:A1146,A1146,$B$2:B1146,B1146)=1)</f>
        <v>1</v>
      </c>
      <c r="D1146" t="str">
        <f>检查点拆解!F1146</f>
        <v>D02.01.01</v>
      </c>
      <c r="E1146" s="2">
        <f>--(COUNTIFS($A$2:A1146,A1146,$D$2:D1146,D1146)=1)</f>
        <v>1</v>
      </c>
    </row>
    <row r="1147" spans="1:5">
      <c r="A1147" t="str">
        <f>检查点拆解!A1147</f>
        <v>Q0150</v>
      </c>
      <c r="B1147" t="str">
        <f>检查点拆解!D1147</f>
        <v>C27</v>
      </c>
      <c r="C1147" s="2">
        <f>--(COUNTIFS($A$2:A1147,A1147,$B$2:B1147,B1147)=1)</f>
        <v>1</v>
      </c>
      <c r="D1147" t="str">
        <f>检查点拆解!F1147</f>
        <v>D11.02.02</v>
      </c>
      <c r="E1147" s="2">
        <f>--(COUNTIFS($A$2:A1147,A1147,$D$2:D1147,D1147)=1)</f>
        <v>1</v>
      </c>
    </row>
    <row r="1148" spans="1:5">
      <c r="A1148" t="str">
        <f>检查点拆解!A1148</f>
        <v>Q0150</v>
      </c>
      <c r="B1148" t="str">
        <f>检查点拆解!D1148</f>
        <v>C27</v>
      </c>
      <c r="C1148" s="2">
        <f>--(COUNTIFS($A$2:A1148,A1148,$B$2:B1148,B1148)=1)</f>
        <v>0</v>
      </c>
      <c r="D1148" t="str">
        <f>检查点拆解!F1148</f>
        <v>D11.01.02</v>
      </c>
      <c r="E1148" s="2">
        <f>--(COUNTIFS($A$2:A1148,A1148,$D$2:D1148,D1148)=1)</f>
        <v>1</v>
      </c>
    </row>
    <row r="1149" spans="1:5">
      <c r="A1149" t="str">
        <f>检查点拆解!A1149</f>
        <v>Q0150</v>
      </c>
      <c r="B1149" t="str">
        <f>检查点拆解!D1149</f>
        <v>C24</v>
      </c>
      <c r="C1149" s="2">
        <f>--(COUNTIFS($A$2:A1149,A1149,$B$2:B1149,B1149)=1)</f>
        <v>1</v>
      </c>
      <c r="D1149" t="str">
        <f>检查点拆解!F1149</f>
        <v>D09.03.03</v>
      </c>
      <c r="E1149" s="2">
        <f>--(COUNTIFS($A$2:A1149,A1149,$D$2:D1149,D1149)=1)</f>
        <v>1</v>
      </c>
    </row>
    <row r="1150" spans="1:5">
      <c r="A1150" t="str">
        <f>检查点拆解!A1150</f>
        <v>Q0150</v>
      </c>
      <c r="B1150" t="str">
        <f>检查点拆解!D1150</f>
        <v>C25</v>
      </c>
      <c r="C1150" s="2">
        <f>--(COUNTIFS($A$2:A1150,A1150,$B$2:B1150,B1150)=1)</f>
        <v>1</v>
      </c>
      <c r="D1150" t="str">
        <f>检查点拆解!F1150</f>
        <v>D10.01.01</v>
      </c>
      <c r="E1150" s="2">
        <f>--(COUNTIFS($A$2:A1150,A1150,$D$2:D1150,D1150)=1)</f>
        <v>1</v>
      </c>
    </row>
    <row r="1151" spans="1:5">
      <c r="A1151" t="str">
        <f>检查点拆解!A1151</f>
        <v>Q0150</v>
      </c>
      <c r="B1151" t="str">
        <f>检查点拆解!D1151</f>
        <v>C28</v>
      </c>
      <c r="C1151" s="2">
        <f>--(COUNTIFS($A$2:A1151,A1151,$B$2:B1151,B1151)=1)</f>
        <v>1</v>
      </c>
      <c r="D1151" t="str">
        <f>检查点拆解!F1151</f>
        <v>D12.02.01</v>
      </c>
      <c r="E1151" s="2">
        <f>--(COUNTIFS($A$2:A1151,A1151,$D$2:D1151,D1151)=1)</f>
        <v>1</v>
      </c>
    </row>
    <row r="1152" spans="1:5">
      <c r="A1152" t="str">
        <f>检查点拆解!A1152</f>
        <v>Q0150</v>
      </c>
      <c r="B1152" t="str">
        <f>检查点拆解!D1152</f>
        <v>C26</v>
      </c>
      <c r="C1152" s="2">
        <f>--(COUNTIFS($A$2:A1152,A1152,$B$2:B1152,B1152)=1)</f>
        <v>1</v>
      </c>
      <c r="D1152" t="str">
        <f>检查点拆解!F1152</f>
        <v>D10.02.01</v>
      </c>
      <c r="E1152" s="2">
        <f>--(COUNTIFS($A$2:A1152,A1152,$D$2:D1152,D1152)=1)</f>
        <v>1</v>
      </c>
    </row>
    <row r="1153" spans="1:5">
      <c r="A1153" t="str">
        <f>检查点拆解!A1153</f>
        <v>Q0151</v>
      </c>
      <c r="B1153" t="str">
        <f>检查点拆解!D1153</f>
        <v>C24</v>
      </c>
      <c r="C1153" s="2">
        <f>--(COUNTIFS($A$2:A1153,A1153,$B$2:B1153,B1153)=1)</f>
        <v>1</v>
      </c>
      <c r="D1153" t="str">
        <f>检查点拆解!F1153</f>
        <v>D09.03.03</v>
      </c>
      <c r="E1153" s="2">
        <f>--(COUNTIFS($A$2:A1153,A1153,$D$2:D1153,D1153)=1)</f>
        <v>1</v>
      </c>
    </row>
    <row r="1154" spans="1:5">
      <c r="A1154" t="str">
        <f>检查点拆解!A1154</f>
        <v>Q0151</v>
      </c>
      <c r="B1154" t="str">
        <f>检查点拆解!D1154</f>
        <v>C28</v>
      </c>
      <c r="C1154" s="2">
        <f>--(COUNTIFS($A$2:A1154,A1154,$B$2:B1154,B1154)=1)</f>
        <v>1</v>
      </c>
      <c r="D1154" t="str">
        <f>检查点拆解!F1154</f>
        <v>D12.02.01</v>
      </c>
      <c r="E1154" s="2">
        <f>--(COUNTIFS($A$2:A1154,A1154,$D$2:D1154,D1154)=1)</f>
        <v>1</v>
      </c>
    </row>
    <row r="1155" spans="1:5">
      <c r="A1155" t="str">
        <f>检查点拆解!A1155</f>
        <v>Q0151</v>
      </c>
      <c r="B1155" t="str">
        <f>检查点拆解!D1155</f>
        <v>C04</v>
      </c>
      <c r="C1155" s="2">
        <f>--(COUNTIFS($A$2:A1155,A1155,$B$2:B1155,B1155)=1)</f>
        <v>1</v>
      </c>
      <c r="D1155" t="str">
        <f>检查点拆解!F1155</f>
        <v>D02.02.02</v>
      </c>
      <c r="E1155" s="2">
        <f>--(COUNTIFS($A$2:A1155,A1155,$D$2:D1155,D1155)=1)</f>
        <v>1</v>
      </c>
    </row>
    <row r="1156" spans="1:5">
      <c r="A1156" t="str">
        <f>检查点拆解!A1156</f>
        <v>Q0152</v>
      </c>
      <c r="B1156" t="str">
        <f>检查点拆解!D1156</f>
        <v>C24</v>
      </c>
      <c r="C1156" s="2">
        <f>--(COUNTIFS($A$2:A1156,A1156,$B$2:B1156,B1156)=1)</f>
        <v>1</v>
      </c>
      <c r="D1156" t="str">
        <f>检查点拆解!F1156</f>
        <v>D09.03.01</v>
      </c>
      <c r="E1156" s="2">
        <f>--(COUNTIFS($A$2:A1156,A1156,$D$2:D1156,D1156)=1)</f>
        <v>1</v>
      </c>
    </row>
    <row r="1157" spans="1:5">
      <c r="A1157" t="str">
        <f>检查点拆解!A1157</f>
        <v>Q0152</v>
      </c>
      <c r="B1157" t="str">
        <f>检查点拆解!D1157</f>
        <v>C23</v>
      </c>
      <c r="C1157" s="2">
        <f>--(COUNTIFS($A$2:A1157,A1157,$B$2:B1157,B1157)=1)</f>
        <v>1</v>
      </c>
      <c r="D1157" t="str">
        <f>检查点拆解!F1157</f>
        <v>D09.01.02</v>
      </c>
      <c r="E1157" s="2">
        <f>--(COUNTIFS($A$2:A1157,A1157,$D$2:D1157,D1157)=1)</f>
        <v>1</v>
      </c>
    </row>
    <row r="1158" spans="1:5">
      <c r="A1158" t="str">
        <f>检查点拆解!A1158</f>
        <v>Q0152</v>
      </c>
      <c r="B1158" t="str">
        <f>检查点拆解!D1158</f>
        <v>C24</v>
      </c>
      <c r="C1158" s="2">
        <f>--(COUNTIFS($A$2:A1158,A1158,$B$2:B1158,B1158)=1)</f>
        <v>0</v>
      </c>
      <c r="D1158" t="str">
        <f>检查点拆解!F1158</f>
        <v>D09.02.02</v>
      </c>
      <c r="E1158" s="2">
        <f>--(COUNTIFS($A$2:A1158,A1158,$D$2:D1158,D1158)=1)</f>
        <v>1</v>
      </c>
    </row>
    <row r="1159" spans="1:5">
      <c r="A1159" t="str">
        <f>检查点拆解!A1159</f>
        <v>Q0152</v>
      </c>
      <c r="B1159" t="str">
        <f>检查点拆解!D1159</f>
        <v>C24</v>
      </c>
      <c r="C1159" s="2">
        <f>--(COUNTIFS($A$2:A1159,A1159,$B$2:B1159,B1159)=1)</f>
        <v>0</v>
      </c>
      <c r="D1159" t="str">
        <f>检查点拆解!F1159</f>
        <v>D09.03.03</v>
      </c>
      <c r="E1159" s="2">
        <f>--(COUNTIFS($A$2:A1159,A1159,$D$2:D1159,D1159)=1)</f>
        <v>1</v>
      </c>
    </row>
    <row r="1160" spans="1:5">
      <c r="A1160" t="str">
        <f>检查点拆解!A1160</f>
        <v>Q0152</v>
      </c>
      <c r="B1160" t="str">
        <f>检查点拆解!D1160</f>
        <v>C25</v>
      </c>
      <c r="C1160" s="2">
        <f>--(COUNTIFS($A$2:A1160,A1160,$B$2:B1160,B1160)=1)</f>
        <v>1</v>
      </c>
      <c r="D1160" t="str">
        <f>检查点拆解!F1160</f>
        <v>D10.01.01</v>
      </c>
      <c r="E1160" s="2">
        <f>--(COUNTIFS($A$2:A1160,A1160,$D$2:D1160,D1160)=1)</f>
        <v>1</v>
      </c>
    </row>
    <row r="1161" spans="1:5">
      <c r="A1161" t="str">
        <f>检查点拆解!A1161</f>
        <v>Q0152</v>
      </c>
      <c r="B1161" t="str">
        <f>检查点拆解!D1161</f>
        <v>C30</v>
      </c>
      <c r="C1161" s="2">
        <f>--(COUNTIFS($A$2:A1161,A1161,$B$2:B1161,B1161)=1)</f>
        <v>1</v>
      </c>
      <c r="D1161" t="str">
        <f>检查点拆解!F1161</f>
        <v>D15.01.04</v>
      </c>
      <c r="E1161" s="2">
        <f>--(COUNTIFS($A$2:A1161,A1161,$D$2:D1161,D1161)=1)</f>
        <v>1</v>
      </c>
    </row>
    <row r="1162" spans="1:5">
      <c r="A1162" t="str">
        <f>检查点拆解!A1162</f>
        <v>Q0152</v>
      </c>
      <c r="B1162" t="str">
        <f>检查点拆解!D1162</f>
        <v>C23</v>
      </c>
      <c r="C1162" s="2">
        <f>--(COUNTIFS($A$2:A1162,A1162,$B$2:B1162,B1162)=1)</f>
        <v>0</v>
      </c>
      <c r="D1162" t="str">
        <f>检查点拆解!F1162</f>
        <v>D09.01.01</v>
      </c>
      <c r="E1162" s="2">
        <f>--(COUNTIFS($A$2:A1162,A1162,$D$2:D1162,D1162)=1)</f>
        <v>1</v>
      </c>
    </row>
    <row r="1163" spans="1:5">
      <c r="A1163" t="str">
        <f>检查点拆解!A1163</f>
        <v>Q0152</v>
      </c>
      <c r="B1163" t="str">
        <f>检查点拆解!D1163</f>
        <v>C26</v>
      </c>
      <c r="C1163" s="2">
        <f>--(COUNTIFS($A$2:A1163,A1163,$B$2:B1163,B1163)=1)</f>
        <v>1</v>
      </c>
      <c r="D1163" t="str">
        <f>检查点拆解!F1163</f>
        <v>D10.02.01</v>
      </c>
      <c r="E1163" s="2">
        <f>--(COUNTIFS($A$2:A1163,A1163,$D$2:D1163,D1163)=1)</f>
        <v>1</v>
      </c>
    </row>
    <row r="1164" spans="1:5">
      <c r="A1164" t="str">
        <f>检查点拆解!A1164</f>
        <v>Q0152</v>
      </c>
      <c r="B1164" t="str">
        <f>检查点拆解!D1164</f>
        <v>C28</v>
      </c>
      <c r="C1164" s="2">
        <f>--(COUNTIFS($A$2:A1164,A1164,$B$2:B1164,B1164)=1)</f>
        <v>1</v>
      </c>
      <c r="D1164" t="str">
        <f>检查点拆解!F1164</f>
        <v>D12.01.01</v>
      </c>
      <c r="E1164" s="2">
        <f>--(COUNTIFS($A$2:A1164,A1164,$D$2:D1164,D1164)=1)</f>
        <v>1</v>
      </c>
    </row>
    <row r="1165" spans="1:5">
      <c r="A1165" t="str">
        <f>检查点拆解!A1165</f>
        <v>Q0152</v>
      </c>
      <c r="B1165" t="str">
        <f>检查点拆解!D1165</f>
        <v>C28</v>
      </c>
      <c r="C1165" s="2">
        <f>--(COUNTIFS($A$2:A1165,A1165,$B$2:B1165,B1165)=1)</f>
        <v>0</v>
      </c>
      <c r="D1165" t="str">
        <f>检查点拆解!F1165</f>
        <v>D13.01.01</v>
      </c>
      <c r="E1165" s="2">
        <f>--(COUNTIFS($A$2:A1165,A1165,$D$2:D1165,D1165)=1)</f>
        <v>1</v>
      </c>
    </row>
    <row r="1166" spans="1:5">
      <c r="A1166" t="str">
        <f>检查点拆解!A1166</f>
        <v>Q0153</v>
      </c>
      <c r="B1166" t="str">
        <f>检查点拆解!D1166</f>
        <v>C24</v>
      </c>
      <c r="C1166" s="2">
        <f>--(COUNTIFS($A$2:A1166,A1166,$B$2:B1166,B1166)=1)</f>
        <v>1</v>
      </c>
      <c r="D1166" t="str">
        <f>检查点拆解!F1166</f>
        <v>D09.02.02</v>
      </c>
      <c r="E1166" s="2">
        <f>--(COUNTIFS($A$2:A1166,A1166,$D$2:D1166,D1166)=1)</f>
        <v>1</v>
      </c>
    </row>
    <row r="1167" spans="1:5">
      <c r="A1167" t="str">
        <f>检查点拆解!A1167</f>
        <v>Q0153</v>
      </c>
      <c r="B1167" t="str">
        <f>检查点拆解!D1167</f>
        <v>C25</v>
      </c>
      <c r="C1167" s="2">
        <f>--(COUNTIFS($A$2:A1167,A1167,$B$2:B1167,B1167)=1)</f>
        <v>1</v>
      </c>
      <c r="D1167" t="str">
        <f>检查点拆解!F1167</f>
        <v>D10.01.01</v>
      </c>
      <c r="E1167" s="2">
        <f>--(COUNTIFS($A$2:A1167,A1167,$D$2:D1167,D1167)=1)</f>
        <v>1</v>
      </c>
    </row>
    <row r="1168" spans="1:5">
      <c r="A1168" t="str">
        <f>检查点拆解!A1168</f>
        <v>Q0154</v>
      </c>
      <c r="B1168" t="str">
        <f>检查点拆解!D1168</f>
        <v>C27</v>
      </c>
      <c r="C1168" s="2">
        <f>--(COUNTIFS($A$2:A1168,A1168,$B$2:B1168,B1168)=1)</f>
        <v>1</v>
      </c>
      <c r="D1168" t="str">
        <f>检查点拆解!F1168</f>
        <v>D11.02.02</v>
      </c>
      <c r="E1168" s="2">
        <f>--(COUNTIFS($A$2:A1168,A1168,$D$2:D1168,D1168)=1)</f>
        <v>1</v>
      </c>
    </row>
    <row r="1169" spans="1:5">
      <c r="A1169" t="str">
        <f>检查点拆解!A1169</f>
        <v>Q0154</v>
      </c>
      <c r="B1169" t="str">
        <f>检查点拆解!D1169</f>
        <v>C27</v>
      </c>
      <c r="C1169" s="2">
        <f>--(COUNTIFS($A$2:A1169,A1169,$B$2:B1169,B1169)=1)</f>
        <v>0</v>
      </c>
      <c r="D1169" t="str">
        <f>检查点拆解!F1169</f>
        <v>D11.01.02</v>
      </c>
      <c r="E1169" s="2">
        <f>--(COUNTIFS($A$2:A1169,A1169,$D$2:D1169,D1169)=1)</f>
        <v>1</v>
      </c>
    </row>
    <row r="1170" spans="1:5">
      <c r="A1170" t="str">
        <f>检查点拆解!A1170</f>
        <v>Q0154</v>
      </c>
      <c r="B1170" t="str">
        <f>检查点拆解!D1170</f>
        <v>C24</v>
      </c>
      <c r="C1170" s="2">
        <f>--(COUNTIFS($A$2:A1170,A1170,$B$2:B1170,B1170)=1)</f>
        <v>1</v>
      </c>
      <c r="D1170" t="str">
        <f>检查点拆解!F1170</f>
        <v>D09.03.03</v>
      </c>
      <c r="E1170" s="2">
        <f>--(COUNTIFS($A$2:A1170,A1170,$D$2:D1170,D1170)=1)</f>
        <v>1</v>
      </c>
    </row>
    <row r="1171" spans="1:5">
      <c r="A1171" t="str">
        <f>检查点拆解!A1171</f>
        <v>Q0154</v>
      </c>
      <c r="B1171" t="str">
        <f>检查点拆解!D1171</f>
        <v>C25</v>
      </c>
      <c r="C1171" s="2">
        <f>--(COUNTIFS($A$2:A1171,A1171,$B$2:B1171,B1171)=1)</f>
        <v>1</v>
      </c>
      <c r="D1171" t="str">
        <f>检查点拆解!F1171</f>
        <v>D10.01.01</v>
      </c>
      <c r="E1171" s="2">
        <f>--(COUNTIFS($A$2:A1171,A1171,$D$2:D1171,D1171)=1)</f>
        <v>1</v>
      </c>
    </row>
    <row r="1172" spans="1:5">
      <c r="A1172" t="str">
        <f>检查点拆解!A1172</f>
        <v>Q0154</v>
      </c>
      <c r="B1172" t="str">
        <f>检查点拆解!D1172</f>
        <v>C28</v>
      </c>
      <c r="C1172" s="2">
        <f>--(COUNTIFS($A$2:A1172,A1172,$B$2:B1172,B1172)=1)</f>
        <v>1</v>
      </c>
      <c r="D1172" t="str">
        <f>检查点拆解!F1172</f>
        <v>D12.02.01</v>
      </c>
      <c r="E1172" s="2">
        <f>--(COUNTIFS($A$2:A1172,A1172,$D$2:D1172,D1172)=1)</f>
        <v>1</v>
      </c>
    </row>
    <row r="1173" spans="1:5">
      <c r="A1173" t="str">
        <f>检查点拆解!A1173</f>
        <v>Q0154</v>
      </c>
      <c r="B1173" t="str">
        <f>检查点拆解!D1173</f>
        <v>C26</v>
      </c>
      <c r="C1173" s="2">
        <f>--(COUNTIFS($A$2:A1173,A1173,$B$2:B1173,B1173)=1)</f>
        <v>1</v>
      </c>
      <c r="D1173" t="str">
        <f>检查点拆解!F1173</f>
        <v>D10.02.01</v>
      </c>
      <c r="E1173" s="2">
        <f>--(COUNTIFS($A$2:A1173,A1173,$D$2:D1173,D1173)=1)</f>
        <v>1</v>
      </c>
    </row>
    <row r="1174" spans="1:5">
      <c r="A1174" t="str">
        <f>检查点拆解!A1174</f>
        <v>Q0154</v>
      </c>
      <c r="B1174" t="str">
        <f>检查点拆解!D1174</f>
        <v>C28</v>
      </c>
      <c r="C1174" s="2">
        <f>--(COUNTIFS($A$2:A1174,A1174,$B$2:B1174,B1174)=1)</f>
        <v>0</v>
      </c>
      <c r="D1174" t="str">
        <f>检查点拆解!F1174</f>
        <v>D12.01.01</v>
      </c>
      <c r="E1174" s="2">
        <f>--(COUNTIFS($A$2:A1174,A1174,$D$2:D1174,D1174)=1)</f>
        <v>1</v>
      </c>
    </row>
    <row r="1175" spans="1:5">
      <c r="A1175" t="str">
        <f>检查点拆解!A1175</f>
        <v>Q0154</v>
      </c>
      <c r="B1175" t="str">
        <f>检查点拆解!D1175</f>
        <v>C28</v>
      </c>
      <c r="C1175" s="2">
        <f>--(COUNTIFS($A$2:A1175,A1175,$B$2:B1175,B1175)=1)</f>
        <v>0</v>
      </c>
      <c r="D1175" t="str">
        <f>检查点拆解!F1175</f>
        <v>D13.01.01</v>
      </c>
      <c r="E1175" s="2">
        <f>--(COUNTIFS($A$2:A1175,A1175,$D$2:D1175,D1175)=1)</f>
        <v>1</v>
      </c>
    </row>
    <row r="1176" spans="1:5">
      <c r="A1176" t="str">
        <f>检查点拆解!A1176</f>
        <v>Q0155</v>
      </c>
      <c r="B1176" t="str">
        <f>检查点拆解!D1176</f>
        <v>C28</v>
      </c>
      <c r="C1176" s="2">
        <f>--(COUNTIFS($A$2:A1176,A1176,$B$2:B1176,B1176)=1)</f>
        <v>1</v>
      </c>
      <c r="D1176" t="str">
        <f>检查点拆解!F1176</f>
        <v>D12.02.01</v>
      </c>
      <c r="E1176" s="2">
        <f>--(COUNTIFS($A$2:A1176,A1176,$D$2:D1176,D1176)=1)</f>
        <v>1</v>
      </c>
    </row>
    <row r="1177" spans="1:5">
      <c r="A1177" t="str">
        <f>检查点拆解!A1177</f>
        <v>Q0155</v>
      </c>
      <c r="B1177" t="str">
        <f>检查点拆解!D1177</f>
        <v>C01</v>
      </c>
      <c r="C1177" s="2">
        <f>--(COUNTIFS($A$2:A1177,A1177,$B$2:B1177,B1177)=1)</f>
        <v>1</v>
      </c>
      <c r="D1177" t="str">
        <f>检查点拆解!F1177</f>
        <v>D01.01.01</v>
      </c>
      <c r="E1177" s="2">
        <f>--(COUNTIFS($A$2:A1177,A1177,$D$2:D1177,D1177)=1)</f>
        <v>1</v>
      </c>
    </row>
    <row r="1178" spans="1:5">
      <c r="A1178" t="str">
        <f>检查点拆解!A1178</f>
        <v>Q0156</v>
      </c>
      <c r="B1178" t="str">
        <f>检查点拆解!D1178</f>
        <v>C11</v>
      </c>
      <c r="C1178" s="2">
        <f>--(COUNTIFS($A$2:A1178,A1178,$B$2:B1178,B1178)=1)</f>
        <v>1</v>
      </c>
      <c r="D1178" t="str">
        <f>检查点拆解!F1178</f>
        <v>D04.03.02</v>
      </c>
      <c r="E1178" s="2">
        <f>--(COUNTIFS($A$2:A1178,A1178,$D$2:D1178,D1178)=1)</f>
        <v>1</v>
      </c>
    </row>
    <row r="1179" spans="1:5">
      <c r="A1179" t="str">
        <f>检查点拆解!A1179</f>
        <v>Q0156</v>
      </c>
      <c r="B1179" t="str">
        <f>检查点拆解!D1179</f>
        <v>C27</v>
      </c>
      <c r="C1179" s="2">
        <f>--(COUNTIFS($A$2:A1179,A1179,$B$2:B1179,B1179)=1)</f>
        <v>1</v>
      </c>
      <c r="D1179" t="str">
        <f>检查点拆解!F1179</f>
        <v>D11.02.01</v>
      </c>
      <c r="E1179" s="2">
        <f>--(COUNTIFS($A$2:A1179,A1179,$D$2:D1179,D1179)=1)</f>
        <v>1</v>
      </c>
    </row>
    <row r="1180" spans="1:5">
      <c r="A1180" t="str">
        <f>检查点拆解!A1180</f>
        <v>Q0156</v>
      </c>
      <c r="B1180" t="str">
        <f>检查点拆解!D1180</f>
        <v>C27</v>
      </c>
      <c r="C1180" s="2">
        <f>--(COUNTIFS($A$2:A1180,A1180,$B$2:B1180,B1180)=1)</f>
        <v>0</v>
      </c>
      <c r="D1180" t="str">
        <f>检查点拆解!F1180</f>
        <v>D11.01.02</v>
      </c>
      <c r="E1180" s="2">
        <f>--(COUNTIFS($A$2:A1180,A1180,$D$2:D1180,D1180)=1)</f>
        <v>1</v>
      </c>
    </row>
    <row r="1181" spans="1:5">
      <c r="A1181" t="str">
        <f>检查点拆解!A1181</f>
        <v>Q0156</v>
      </c>
      <c r="B1181" t="str">
        <f>检查点拆解!D1181</f>
        <v>C15</v>
      </c>
      <c r="C1181" s="2">
        <f>--(COUNTIFS($A$2:A1181,A1181,$B$2:B1181,B1181)=1)</f>
        <v>1</v>
      </c>
      <c r="D1181" t="str">
        <f>检查点拆解!F1181</f>
        <v>D05.02.02</v>
      </c>
      <c r="E1181" s="2">
        <f>--(COUNTIFS($A$2:A1181,A1181,$D$2:D1181,D1181)=1)</f>
        <v>1</v>
      </c>
    </row>
    <row r="1182" spans="1:5">
      <c r="A1182" t="str">
        <f>检查点拆解!A1182</f>
        <v>Q0156</v>
      </c>
      <c r="B1182" t="str">
        <f>检查点拆解!D1182</f>
        <v>C25</v>
      </c>
      <c r="C1182" s="2">
        <f>--(COUNTIFS($A$2:A1182,A1182,$B$2:B1182,B1182)=1)</f>
        <v>1</v>
      </c>
      <c r="D1182" t="str">
        <f>检查点拆解!F1182</f>
        <v>D10.01.01</v>
      </c>
      <c r="E1182" s="2">
        <f>--(COUNTIFS($A$2:A1182,A1182,$D$2:D1182,D1182)=1)</f>
        <v>1</v>
      </c>
    </row>
    <row r="1183" spans="1:5">
      <c r="A1183" t="str">
        <f>检查点拆解!A1183</f>
        <v>Q0156</v>
      </c>
      <c r="B1183" t="str">
        <f>检查点拆解!D1183</f>
        <v>C25</v>
      </c>
      <c r="C1183" s="2">
        <f>--(COUNTIFS($A$2:A1183,A1183,$B$2:B1183,B1183)=1)</f>
        <v>0</v>
      </c>
      <c r="D1183" t="str">
        <f>检查点拆解!F1183</f>
        <v>D10.01.04</v>
      </c>
      <c r="E1183" s="2">
        <f>--(COUNTIFS($A$2:A1183,A1183,$D$2:D1183,D1183)=1)</f>
        <v>1</v>
      </c>
    </row>
    <row r="1184" spans="1:5">
      <c r="A1184" t="str">
        <f>检查点拆解!A1184</f>
        <v>Q0156</v>
      </c>
      <c r="B1184" t="str">
        <f>检查点拆解!D1184</f>
        <v>C30</v>
      </c>
      <c r="C1184" s="2">
        <f>--(COUNTIFS($A$2:A1184,A1184,$B$2:B1184,B1184)=1)</f>
        <v>1</v>
      </c>
      <c r="D1184" t="str">
        <f>检查点拆解!F1184</f>
        <v>D15.01.04</v>
      </c>
      <c r="E1184" s="2">
        <f>--(COUNTIFS($A$2:A1184,A1184,$D$2:D1184,D1184)=1)</f>
        <v>1</v>
      </c>
    </row>
    <row r="1185" spans="1:5">
      <c r="A1185" t="str">
        <f>检查点拆解!A1185</f>
        <v>Q0156</v>
      </c>
      <c r="B1185" t="str">
        <f>检查点拆解!D1185</f>
        <v>C23</v>
      </c>
      <c r="C1185" s="2">
        <f>--(COUNTIFS($A$2:A1185,A1185,$B$2:B1185,B1185)=1)</f>
        <v>1</v>
      </c>
      <c r="D1185" t="str">
        <f>检查点拆解!F1185</f>
        <v>D09.01.01</v>
      </c>
      <c r="E1185" s="2">
        <f>--(COUNTIFS($A$2:A1185,A1185,$D$2:D1185,D1185)=1)</f>
        <v>1</v>
      </c>
    </row>
    <row r="1186" spans="1:5">
      <c r="A1186" t="str">
        <f>检查点拆解!A1186</f>
        <v>Q0157</v>
      </c>
      <c r="B1186" t="str">
        <f>检查点拆解!D1186</f>
        <v>C23</v>
      </c>
      <c r="C1186" s="2">
        <f>--(COUNTIFS($A$2:A1186,A1186,$B$2:B1186,B1186)=1)</f>
        <v>1</v>
      </c>
      <c r="D1186" t="str">
        <f>检查点拆解!F1186</f>
        <v>D09.01.01</v>
      </c>
      <c r="E1186" s="2">
        <f>--(COUNTIFS($A$2:A1186,A1186,$D$2:D1186,D1186)=1)</f>
        <v>1</v>
      </c>
    </row>
    <row r="1187" spans="1:5">
      <c r="A1187" t="str">
        <f>检查点拆解!A1187</f>
        <v>Q0157</v>
      </c>
      <c r="B1187" t="str">
        <f>检查点拆解!D1187</f>
        <v>C01</v>
      </c>
      <c r="C1187" s="2">
        <f>--(COUNTIFS($A$2:A1187,A1187,$B$2:B1187,B1187)=1)</f>
        <v>1</v>
      </c>
      <c r="D1187" t="str">
        <f>检查点拆解!F1187</f>
        <v>D01.01.01</v>
      </c>
      <c r="E1187" s="2">
        <f>--(COUNTIFS($A$2:A1187,A1187,$D$2:D1187,D1187)=1)</f>
        <v>1</v>
      </c>
    </row>
    <row r="1188" spans="1:5">
      <c r="A1188" t="str">
        <f>检查点拆解!A1188</f>
        <v>Q0158</v>
      </c>
      <c r="B1188" t="str">
        <f>检查点拆解!D1188</f>
        <v>C24</v>
      </c>
      <c r="C1188" s="2">
        <f>--(COUNTIFS($A$2:A1188,A1188,$B$2:B1188,B1188)=1)</f>
        <v>1</v>
      </c>
      <c r="D1188" t="str">
        <f>检查点拆解!F1188</f>
        <v>D09.03.01</v>
      </c>
      <c r="E1188" s="2">
        <f>--(COUNTIFS($A$2:A1188,A1188,$D$2:D1188,D1188)=1)</f>
        <v>1</v>
      </c>
    </row>
    <row r="1189" spans="1:5">
      <c r="A1189" t="str">
        <f>检查点拆解!A1189</f>
        <v>Q0158</v>
      </c>
      <c r="B1189" t="str">
        <f>检查点拆解!D1189</f>
        <v>C12</v>
      </c>
      <c r="C1189" s="2">
        <f>--(COUNTIFS($A$2:A1189,A1189,$B$2:B1189,B1189)=1)</f>
        <v>1</v>
      </c>
      <c r="D1189" t="str">
        <f>检查点拆解!F1189</f>
        <v>D04.03.03</v>
      </c>
      <c r="E1189" s="2">
        <f>--(COUNTIFS($A$2:A1189,A1189,$D$2:D1189,D1189)=1)</f>
        <v>1</v>
      </c>
    </row>
    <row r="1190" spans="1:5">
      <c r="A1190" t="str">
        <f>检查点拆解!A1190</f>
        <v>Q0158</v>
      </c>
      <c r="B1190" t="str">
        <f>检查点拆解!D1190</f>
        <v>C11</v>
      </c>
      <c r="C1190" s="2">
        <f>--(COUNTIFS($A$2:A1190,A1190,$B$2:B1190,B1190)=1)</f>
        <v>1</v>
      </c>
      <c r="D1190" t="str">
        <f>检查点拆解!F1190</f>
        <v>D04.03.02</v>
      </c>
      <c r="E1190" s="2">
        <f>--(COUNTIFS($A$2:A1190,A1190,$D$2:D1190,D1190)=1)</f>
        <v>1</v>
      </c>
    </row>
    <row r="1191" spans="1:5">
      <c r="A1191" t="str">
        <f>检查点拆解!A1191</f>
        <v>Q0158</v>
      </c>
      <c r="B1191" t="str">
        <f>检查点拆解!D1191</f>
        <v>C23</v>
      </c>
      <c r="C1191" s="2">
        <f>--(COUNTIFS($A$2:A1191,A1191,$B$2:B1191,B1191)=1)</f>
        <v>1</v>
      </c>
      <c r="D1191" t="str">
        <f>检查点拆解!F1191</f>
        <v>D09.01.02</v>
      </c>
      <c r="E1191" s="2">
        <f>--(COUNTIFS($A$2:A1191,A1191,$D$2:D1191,D1191)=1)</f>
        <v>1</v>
      </c>
    </row>
    <row r="1192" spans="1:5">
      <c r="A1192" t="str">
        <f>检查点拆解!A1192</f>
        <v>Q0158</v>
      </c>
      <c r="B1192" t="str">
        <f>检查点拆解!D1192</f>
        <v>C23</v>
      </c>
      <c r="C1192" s="2">
        <f>--(COUNTIFS($A$2:A1192,A1192,$B$2:B1192,B1192)=1)</f>
        <v>0</v>
      </c>
      <c r="D1192" t="str">
        <f>检查点拆解!F1192</f>
        <v>D09.01.03</v>
      </c>
      <c r="E1192" s="2">
        <f>--(COUNTIFS($A$2:A1192,A1192,$D$2:D1192,D1192)=1)</f>
        <v>1</v>
      </c>
    </row>
    <row r="1193" spans="1:5">
      <c r="A1193" t="str">
        <f>检查点拆解!A1193</f>
        <v>Q0158</v>
      </c>
      <c r="B1193" t="str">
        <f>检查点拆解!D1193</f>
        <v>C27</v>
      </c>
      <c r="C1193" s="2">
        <f>--(COUNTIFS($A$2:A1193,A1193,$B$2:B1193,B1193)=1)</f>
        <v>1</v>
      </c>
      <c r="D1193" t="str">
        <f>检查点拆解!F1193</f>
        <v>D11.02.01</v>
      </c>
      <c r="E1193" s="2">
        <f>--(COUNTIFS($A$2:A1193,A1193,$D$2:D1193,D1193)=1)</f>
        <v>1</v>
      </c>
    </row>
    <row r="1194" spans="1:5">
      <c r="A1194" t="str">
        <f>检查点拆解!A1194</f>
        <v>Q0158</v>
      </c>
      <c r="B1194" t="str">
        <f>检查点拆解!D1194</f>
        <v>C15</v>
      </c>
      <c r="C1194" s="2">
        <f>--(COUNTIFS($A$2:A1194,A1194,$B$2:B1194,B1194)=1)</f>
        <v>1</v>
      </c>
      <c r="D1194" t="str">
        <f>检查点拆解!F1194</f>
        <v>D05.02.02</v>
      </c>
      <c r="E1194" s="2">
        <f>--(COUNTIFS($A$2:A1194,A1194,$D$2:D1194,D1194)=1)</f>
        <v>1</v>
      </c>
    </row>
    <row r="1195" spans="1:5">
      <c r="A1195" t="str">
        <f>检查点拆解!A1195</f>
        <v>Q0158</v>
      </c>
      <c r="B1195" t="str">
        <f>检查点拆解!D1195</f>
        <v>C25</v>
      </c>
      <c r="C1195" s="2">
        <f>--(COUNTIFS($A$2:A1195,A1195,$B$2:B1195,B1195)=1)</f>
        <v>1</v>
      </c>
      <c r="D1195" t="str">
        <f>检查点拆解!F1195</f>
        <v>D10.01.01</v>
      </c>
      <c r="E1195" s="2">
        <f>--(COUNTIFS($A$2:A1195,A1195,$D$2:D1195,D1195)=1)</f>
        <v>1</v>
      </c>
    </row>
    <row r="1196" spans="1:5">
      <c r="A1196" t="str">
        <f>检查点拆解!A1196</f>
        <v>Q0159</v>
      </c>
      <c r="B1196" t="str">
        <f>检查点拆解!D1196</f>
        <v>C23</v>
      </c>
      <c r="C1196" s="2">
        <f>--(COUNTIFS($A$2:A1196,A1196,$B$2:B1196,B1196)=1)</f>
        <v>1</v>
      </c>
      <c r="D1196" t="str">
        <f>检查点拆解!F1196</f>
        <v>D09.01.02</v>
      </c>
      <c r="E1196" s="2">
        <f>--(COUNTIFS($A$2:A1196,A1196,$D$2:D1196,D1196)=1)</f>
        <v>1</v>
      </c>
    </row>
    <row r="1197" spans="1:5">
      <c r="A1197" t="str">
        <f>检查点拆解!A1197</f>
        <v>Q0159</v>
      </c>
      <c r="B1197" t="str">
        <f>检查点拆解!D1197</f>
        <v>C23</v>
      </c>
      <c r="C1197" s="2">
        <f>--(COUNTIFS($A$2:A1197,A1197,$B$2:B1197,B1197)=1)</f>
        <v>0</v>
      </c>
      <c r="D1197" t="str">
        <f>检查点拆解!F1197</f>
        <v>D09.01.03</v>
      </c>
      <c r="E1197" s="2">
        <f>--(COUNTIFS($A$2:A1197,A1197,$D$2:D1197,D1197)=1)</f>
        <v>1</v>
      </c>
    </row>
    <row r="1198" spans="1:5">
      <c r="A1198" t="str">
        <f>检查点拆解!A1198</f>
        <v>Q0159</v>
      </c>
      <c r="B1198" t="str">
        <f>检查点拆解!D1198</f>
        <v>C28</v>
      </c>
      <c r="C1198" s="2">
        <f>--(COUNTIFS($A$2:A1198,A1198,$B$2:B1198,B1198)=1)</f>
        <v>1</v>
      </c>
      <c r="D1198" t="str">
        <f>检查点拆解!F1198</f>
        <v>D12.02.01</v>
      </c>
      <c r="E1198" s="2">
        <f>--(COUNTIFS($A$2:A1198,A1198,$D$2:D1198,D1198)=1)</f>
        <v>1</v>
      </c>
    </row>
    <row r="1199" spans="1:5">
      <c r="A1199" t="str">
        <f>检查点拆解!A1199</f>
        <v>Q0159</v>
      </c>
      <c r="B1199" t="str">
        <f>检查点拆解!D1199</f>
        <v>C04</v>
      </c>
      <c r="C1199" s="2">
        <f>--(COUNTIFS($A$2:A1199,A1199,$B$2:B1199,B1199)=1)</f>
        <v>1</v>
      </c>
      <c r="D1199" t="str">
        <f>检查点拆解!F1199</f>
        <v>D02.02.01</v>
      </c>
      <c r="E1199" s="2">
        <f>--(COUNTIFS($A$2:A1199,A1199,$D$2:D1199,D1199)=1)</f>
        <v>1</v>
      </c>
    </row>
    <row r="1200" spans="1:5">
      <c r="A1200" t="str">
        <f>检查点拆解!A1200</f>
        <v>Q0160</v>
      </c>
      <c r="B1200" t="str">
        <f>检查点拆解!D1200</f>
        <v>C27</v>
      </c>
      <c r="C1200" s="2">
        <f>--(COUNTIFS($A$2:A1200,A1200,$B$2:B1200,B1200)=1)</f>
        <v>1</v>
      </c>
      <c r="D1200" t="str">
        <f>检查点拆解!F1200</f>
        <v>D11.02.02</v>
      </c>
      <c r="E1200" s="2">
        <f>--(COUNTIFS($A$2:A1200,A1200,$D$2:D1200,D1200)=1)</f>
        <v>1</v>
      </c>
    </row>
    <row r="1201" spans="1:5">
      <c r="A1201" t="str">
        <f>检查点拆解!A1201</f>
        <v>Q0160</v>
      </c>
      <c r="B1201" t="str">
        <f>检查点拆解!D1201</f>
        <v>C24</v>
      </c>
      <c r="C1201" s="2">
        <f>--(COUNTIFS($A$2:A1201,A1201,$B$2:B1201,B1201)=1)</f>
        <v>1</v>
      </c>
      <c r="D1201" t="str">
        <f>检查点拆解!F1201</f>
        <v>D09.03.02</v>
      </c>
      <c r="E1201" s="2">
        <f>--(COUNTIFS($A$2:A1201,A1201,$D$2:D1201,D1201)=1)</f>
        <v>1</v>
      </c>
    </row>
    <row r="1202" spans="1:5">
      <c r="A1202" t="str">
        <f>检查点拆解!A1202</f>
        <v>Q0160</v>
      </c>
      <c r="B1202" t="str">
        <f>检查点拆解!D1202</f>
        <v>C27</v>
      </c>
      <c r="C1202" s="2">
        <f>--(COUNTIFS($A$2:A1202,A1202,$B$2:B1202,B1202)=1)</f>
        <v>0</v>
      </c>
      <c r="D1202" t="str">
        <f>检查点拆解!F1202</f>
        <v>D11.01.02</v>
      </c>
      <c r="E1202" s="2">
        <f>--(COUNTIFS($A$2:A1202,A1202,$D$2:D1202,D1202)=1)</f>
        <v>1</v>
      </c>
    </row>
    <row r="1203" spans="1:5">
      <c r="A1203" t="str">
        <f>检查点拆解!A1203</f>
        <v>Q0160</v>
      </c>
      <c r="B1203" t="str">
        <f>检查点拆解!D1203</f>
        <v>C24</v>
      </c>
      <c r="C1203" s="2">
        <f>--(COUNTIFS($A$2:A1203,A1203,$B$2:B1203,B1203)=1)</f>
        <v>0</v>
      </c>
      <c r="D1203" t="str">
        <f>检查点拆解!F1203</f>
        <v>D09.02.03</v>
      </c>
      <c r="E1203" s="2">
        <f>--(COUNTIFS($A$2:A1203,A1203,$D$2:D1203,D1203)=1)</f>
        <v>1</v>
      </c>
    </row>
    <row r="1204" spans="1:5">
      <c r="A1204" t="str">
        <f>检查点拆解!A1204</f>
        <v>Q0160</v>
      </c>
      <c r="B1204" t="str">
        <f>检查点拆解!D1204</f>
        <v>C25</v>
      </c>
      <c r="C1204" s="2">
        <f>--(COUNTIFS($A$2:A1204,A1204,$B$2:B1204,B1204)=1)</f>
        <v>1</v>
      </c>
      <c r="D1204" t="str">
        <f>检查点拆解!F1204</f>
        <v>D10.01.01</v>
      </c>
      <c r="E1204" s="2">
        <f>--(COUNTIFS($A$2:A1204,A1204,$D$2:D1204,D1204)=1)</f>
        <v>1</v>
      </c>
    </row>
    <row r="1205" spans="1:5">
      <c r="A1205" t="str">
        <f>检查点拆解!A1205</f>
        <v>Q0160</v>
      </c>
      <c r="B1205" t="str">
        <f>检查点拆解!D1205</f>
        <v>C26</v>
      </c>
      <c r="C1205" s="2">
        <f>--(COUNTIFS($A$2:A1205,A1205,$B$2:B1205,B1205)=1)</f>
        <v>1</v>
      </c>
      <c r="D1205" t="str">
        <f>检查点拆解!F1205</f>
        <v>D10.02.01</v>
      </c>
      <c r="E1205" s="2">
        <f>--(COUNTIFS($A$2:A1205,A1205,$D$2:D1205,D1205)=1)</f>
        <v>1</v>
      </c>
    </row>
    <row r="1206" spans="1:5">
      <c r="A1206" t="str">
        <f>检查点拆解!A1206</f>
        <v>Q0160</v>
      </c>
      <c r="B1206" t="str">
        <f>检查点拆解!D1206</f>
        <v>C28</v>
      </c>
      <c r="C1206" s="2">
        <f>--(COUNTIFS($A$2:A1206,A1206,$B$2:B1206,B1206)=1)</f>
        <v>1</v>
      </c>
      <c r="D1206" t="str">
        <f>检查点拆解!F1206</f>
        <v>D12.01.01</v>
      </c>
      <c r="E1206" s="2">
        <f>--(COUNTIFS($A$2:A1206,A1206,$D$2:D1206,D1206)=1)</f>
        <v>1</v>
      </c>
    </row>
    <row r="1207" spans="1:5">
      <c r="A1207" t="str">
        <f>检查点拆解!A1207</f>
        <v>Q0160</v>
      </c>
      <c r="B1207" t="str">
        <f>检查点拆解!D1207</f>
        <v>C28</v>
      </c>
      <c r="C1207" s="2">
        <f>--(COUNTIFS($A$2:A1207,A1207,$B$2:B1207,B1207)=1)</f>
        <v>0</v>
      </c>
      <c r="D1207" t="str">
        <f>检查点拆解!F1207</f>
        <v>D13.01.01</v>
      </c>
      <c r="E1207" s="2">
        <f>--(COUNTIFS($A$2:A1207,A1207,$D$2:D1207,D1207)=1)</f>
        <v>1</v>
      </c>
    </row>
    <row r="1208" spans="1:5">
      <c r="A1208" t="str">
        <f>检查点拆解!A1208</f>
        <v>Q0161</v>
      </c>
      <c r="B1208" t="str">
        <f>检查点拆解!D1208</f>
        <v>C24</v>
      </c>
      <c r="C1208" s="2">
        <f>--(COUNTIFS($A$2:A1208,A1208,$B$2:B1208,B1208)=1)</f>
        <v>1</v>
      </c>
      <c r="D1208" t="str">
        <f>检查点拆解!F1208</f>
        <v>D09.03.02</v>
      </c>
      <c r="E1208" s="2">
        <f>--(COUNTIFS($A$2:A1208,A1208,$D$2:D1208,D1208)=1)</f>
        <v>1</v>
      </c>
    </row>
    <row r="1209" spans="1:5">
      <c r="A1209" t="str">
        <f>检查点拆解!A1209</f>
        <v>Q0161</v>
      </c>
      <c r="B1209" t="str">
        <f>检查点拆解!D1209</f>
        <v>C24</v>
      </c>
      <c r="C1209" s="2">
        <f>--(COUNTIFS($A$2:A1209,A1209,$B$2:B1209,B1209)=1)</f>
        <v>0</v>
      </c>
      <c r="D1209" t="str">
        <f>检查点拆解!F1209</f>
        <v>D09.02.03</v>
      </c>
      <c r="E1209" s="2">
        <f>--(COUNTIFS($A$2:A1209,A1209,$D$2:D1209,D1209)=1)</f>
        <v>1</v>
      </c>
    </row>
    <row r="1210" spans="1:5">
      <c r="A1210" t="str">
        <f>检查点拆解!A1210</f>
        <v>Q0161</v>
      </c>
      <c r="B1210" t="str">
        <f>检查点拆解!D1210</f>
        <v>C05</v>
      </c>
      <c r="C1210" s="2">
        <f>--(COUNTIFS($A$2:A1210,A1210,$B$2:B1210,B1210)=1)</f>
        <v>1</v>
      </c>
      <c r="D1210" t="str">
        <f>检查点拆解!F1210</f>
        <v>D02.03.03</v>
      </c>
      <c r="E1210" s="2">
        <f>--(COUNTIFS($A$2:A1210,A1210,$D$2:D1210,D1210)=1)</f>
        <v>1</v>
      </c>
    </row>
    <row r="1211" spans="1:5">
      <c r="A1211" t="str">
        <f>检查点拆解!A1211</f>
        <v>Q0162</v>
      </c>
      <c r="B1211" t="str">
        <f>检查点拆解!D1211</f>
        <v>C27</v>
      </c>
      <c r="C1211" s="2">
        <f>--(COUNTIFS($A$2:A1211,A1211,$B$2:B1211,B1211)=1)</f>
        <v>1</v>
      </c>
      <c r="D1211" t="str">
        <f>检查点拆解!F1211</f>
        <v>D11.02.03</v>
      </c>
      <c r="E1211" s="2">
        <f>--(COUNTIFS($A$2:A1211,A1211,$D$2:D1211,D1211)=1)</f>
        <v>1</v>
      </c>
    </row>
    <row r="1212" spans="1:5">
      <c r="A1212" t="str">
        <f>检查点拆解!A1212</f>
        <v>Q0162</v>
      </c>
      <c r="B1212" t="str">
        <f>检查点拆解!D1212</f>
        <v>C27</v>
      </c>
      <c r="C1212" s="2">
        <f>--(COUNTIFS($A$2:A1212,A1212,$B$2:B1212,B1212)=1)</f>
        <v>0</v>
      </c>
      <c r="D1212" t="str">
        <f>检查点拆解!F1212</f>
        <v>D11.01.02</v>
      </c>
      <c r="E1212" s="2">
        <f>--(COUNTIFS($A$2:A1212,A1212,$D$2:D1212,D1212)=1)</f>
        <v>1</v>
      </c>
    </row>
    <row r="1213" spans="1:5">
      <c r="A1213" t="str">
        <f>检查点拆解!A1213</f>
        <v>Q0162</v>
      </c>
      <c r="B1213" t="str">
        <f>检查点拆解!D1213</f>
        <v>C25</v>
      </c>
      <c r="C1213" s="2">
        <f>--(COUNTIFS($A$2:A1213,A1213,$B$2:B1213,B1213)=1)</f>
        <v>1</v>
      </c>
      <c r="D1213" t="str">
        <f>检查点拆解!F1213</f>
        <v>D10.01.01</v>
      </c>
      <c r="E1213" s="2">
        <f>--(COUNTIFS($A$2:A1213,A1213,$D$2:D1213,D1213)=1)</f>
        <v>1</v>
      </c>
    </row>
    <row r="1214" spans="1:5">
      <c r="A1214" t="str">
        <f>检查点拆解!A1214</f>
        <v>Q0162</v>
      </c>
      <c r="B1214" t="str">
        <f>检查点拆解!D1214</f>
        <v>C30</v>
      </c>
      <c r="C1214" s="2">
        <f>--(COUNTIFS($A$2:A1214,A1214,$B$2:B1214,B1214)=1)</f>
        <v>1</v>
      </c>
      <c r="D1214" t="str">
        <f>检查点拆解!F1214</f>
        <v>D15.01.04</v>
      </c>
      <c r="E1214" s="2">
        <f>--(COUNTIFS($A$2:A1214,A1214,$D$2:D1214,D1214)=1)</f>
        <v>1</v>
      </c>
    </row>
    <row r="1215" spans="1:5">
      <c r="A1215" t="str">
        <f>检查点拆解!A1215</f>
        <v>Q0162</v>
      </c>
      <c r="B1215" t="str">
        <f>检查点拆解!D1215</f>
        <v>C08</v>
      </c>
      <c r="C1215" s="2">
        <f>--(COUNTIFS($A$2:A1215,A1215,$B$2:B1215,B1215)=1)</f>
        <v>1</v>
      </c>
      <c r="D1215" t="str">
        <f>检查点拆解!F1215</f>
        <v>D04.01.03</v>
      </c>
      <c r="E1215" s="2">
        <f>--(COUNTIFS($A$2:A1215,A1215,$D$2:D1215,D1215)=1)</f>
        <v>1</v>
      </c>
    </row>
    <row r="1216" spans="1:5">
      <c r="A1216" t="str">
        <f>检查点拆解!A1216</f>
        <v>Q0162</v>
      </c>
      <c r="B1216" t="str">
        <f>检查点拆解!D1216</f>
        <v>C26</v>
      </c>
      <c r="C1216" s="2">
        <f>--(COUNTIFS($A$2:A1216,A1216,$B$2:B1216,B1216)=1)</f>
        <v>1</v>
      </c>
      <c r="D1216" t="str">
        <f>检查点拆解!F1216</f>
        <v>D10.02.01</v>
      </c>
      <c r="E1216" s="2">
        <f>--(COUNTIFS($A$2:A1216,A1216,$D$2:D1216,D1216)=1)</f>
        <v>1</v>
      </c>
    </row>
    <row r="1217" spans="1:5">
      <c r="A1217" t="str">
        <f>检查点拆解!A1217</f>
        <v>Q0162</v>
      </c>
      <c r="B1217" t="str">
        <f>检查点拆解!D1217</f>
        <v>C28</v>
      </c>
      <c r="C1217" s="2">
        <f>--(COUNTIFS($A$2:A1217,A1217,$B$2:B1217,B1217)=1)</f>
        <v>1</v>
      </c>
      <c r="D1217" t="str">
        <f>检查点拆解!F1217</f>
        <v>D12.01.01</v>
      </c>
      <c r="E1217" s="2">
        <f>--(COUNTIFS($A$2:A1217,A1217,$D$2:D1217,D1217)=1)</f>
        <v>1</v>
      </c>
    </row>
    <row r="1218" spans="1:5">
      <c r="A1218" t="str">
        <f>检查点拆解!A1218</f>
        <v>Q0162</v>
      </c>
      <c r="B1218" t="str">
        <f>检查点拆解!D1218</f>
        <v>C04</v>
      </c>
      <c r="C1218" s="2">
        <f>--(COUNTIFS($A$2:A1218,A1218,$B$2:B1218,B1218)=1)</f>
        <v>1</v>
      </c>
      <c r="D1218" t="str">
        <f>检查点拆解!F1218</f>
        <v>D02.02.03</v>
      </c>
      <c r="E1218" s="2">
        <f>--(COUNTIFS($A$2:A1218,A1218,$D$2:D1218,D1218)=1)</f>
        <v>1</v>
      </c>
    </row>
    <row r="1219" spans="1:5">
      <c r="A1219" t="str">
        <f>检查点拆解!A1219</f>
        <v>Q0163</v>
      </c>
      <c r="B1219" t="str">
        <f>检查点拆解!D1219</f>
        <v>C30</v>
      </c>
      <c r="C1219" s="2">
        <f>--(COUNTIFS($A$2:A1219,A1219,$B$2:B1219,B1219)=1)</f>
        <v>1</v>
      </c>
      <c r="D1219" t="str">
        <f>检查点拆解!F1219</f>
        <v>D15.01.04</v>
      </c>
      <c r="E1219" s="2">
        <f>--(COUNTIFS($A$2:A1219,A1219,$D$2:D1219,D1219)=1)</f>
        <v>1</v>
      </c>
    </row>
    <row r="1220" spans="1:5">
      <c r="A1220" t="str">
        <f>检查点拆解!A1220</f>
        <v>Q0163</v>
      </c>
      <c r="B1220" t="str">
        <f>检查点拆解!D1220</f>
        <v>C26</v>
      </c>
      <c r="C1220" s="2">
        <f>--(COUNTIFS($A$2:A1220,A1220,$B$2:B1220,B1220)=1)</f>
        <v>1</v>
      </c>
      <c r="D1220" t="str">
        <f>检查点拆解!F1220</f>
        <v>D10.02.01</v>
      </c>
      <c r="E1220" s="2">
        <f>--(COUNTIFS($A$2:A1220,A1220,$D$2:D1220,D1220)=1)</f>
        <v>1</v>
      </c>
    </row>
    <row r="1221" spans="1:5">
      <c r="A1221" t="str">
        <f>检查点拆解!A1221</f>
        <v>Q0163</v>
      </c>
      <c r="B1221" t="str">
        <f>检查点拆解!D1221</f>
        <v>C05</v>
      </c>
      <c r="C1221" s="2">
        <f>--(COUNTIFS($A$2:A1221,A1221,$B$2:B1221,B1221)=1)</f>
        <v>1</v>
      </c>
      <c r="D1221" t="str">
        <f>检查点拆解!F1221</f>
        <v>D02.03.01</v>
      </c>
      <c r="E1221" s="2">
        <f>--(COUNTIFS($A$2:A1221,A1221,$D$2:D1221,D1221)=1)</f>
        <v>1</v>
      </c>
    </row>
    <row r="1222" spans="1:5">
      <c r="A1222" t="str">
        <f>检查点拆解!A1222</f>
        <v>Q0164</v>
      </c>
      <c r="B1222" t="str">
        <f>检查点拆解!D1222</f>
        <v>C24</v>
      </c>
      <c r="C1222" s="2">
        <f>--(COUNTIFS($A$2:A1222,A1222,$B$2:B1222,B1222)=1)</f>
        <v>1</v>
      </c>
      <c r="D1222" t="str">
        <f>检查点拆解!F1222</f>
        <v>D09.02.02</v>
      </c>
      <c r="E1222" s="2">
        <f>--(COUNTIFS($A$2:A1222,A1222,$D$2:D1222,D1222)=1)</f>
        <v>1</v>
      </c>
    </row>
    <row r="1223" spans="1:5">
      <c r="A1223" t="str">
        <f>检查点拆解!A1223</f>
        <v>Q0164</v>
      </c>
      <c r="B1223" t="str">
        <f>检查点拆解!D1223</f>
        <v>C25</v>
      </c>
      <c r="C1223" s="2">
        <f>--(COUNTIFS($A$2:A1223,A1223,$B$2:B1223,B1223)=1)</f>
        <v>1</v>
      </c>
      <c r="D1223" t="str">
        <f>检查点拆解!F1223</f>
        <v>D10.01.03</v>
      </c>
      <c r="E1223" s="2">
        <f>--(COUNTIFS($A$2:A1223,A1223,$D$2:D1223,D1223)=1)</f>
        <v>1</v>
      </c>
    </row>
    <row r="1224" spans="1:5">
      <c r="A1224" t="str">
        <f>检查点拆解!A1224</f>
        <v>Q0164</v>
      </c>
      <c r="B1224" t="str">
        <f>检查点拆解!D1224</f>
        <v>C18</v>
      </c>
      <c r="C1224" s="2">
        <f>--(COUNTIFS($A$2:A1224,A1224,$B$2:B1224,B1224)=1)</f>
        <v>1</v>
      </c>
      <c r="D1224" t="str">
        <f>检查点拆解!F1224</f>
        <v>D07.01.01</v>
      </c>
      <c r="E1224" s="2">
        <f>--(COUNTIFS($A$2:A1224,A1224,$D$2:D1224,D1224)=1)</f>
        <v>1</v>
      </c>
    </row>
    <row r="1225" spans="1:5">
      <c r="A1225" t="str">
        <f>检查点拆解!A1225</f>
        <v>Q0164</v>
      </c>
      <c r="B1225" t="str">
        <f>检查点拆解!D1225</f>
        <v>C04</v>
      </c>
      <c r="C1225" s="2">
        <f>--(COUNTIFS($A$2:A1225,A1225,$B$2:B1225,B1225)=1)</f>
        <v>1</v>
      </c>
      <c r="D1225" t="str">
        <f>检查点拆解!F1225</f>
        <v>D02.02.02</v>
      </c>
      <c r="E1225" s="2">
        <f>--(COUNTIFS($A$2:A1225,A1225,$D$2:D1225,D1225)=1)</f>
        <v>1</v>
      </c>
    </row>
    <row r="1226" spans="1:5">
      <c r="A1226" t="str">
        <f>检查点拆解!A1226</f>
        <v>Q0165</v>
      </c>
      <c r="B1226" t="str">
        <f>检查点拆解!D1226</f>
        <v>C29</v>
      </c>
      <c r="C1226" s="2">
        <f>--(COUNTIFS($A$2:A1226,A1226,$B$2:B1226,B1226)=1)</f>
        <v>1</v>
      </c>
      <c r="D1226" t="str">
        <f>检查点拆解!F1226</f>
        <v>D14.01.01</v>
      </c>
      <c r="E1226" s="2">
        <f>--(COUNTIFS($A$2:A1226,A1226,$D$2:D1226,D1226)=1)</f>
        <v>1</v>
      </c>
    </row>
    <row r="1227" spans="1:5">
      <c r="A1227" t="str">
        <f>检查点拆解!A1227</f>
        <v>Q0165</v>
      </c>
      <c r="B1227" t="str">
        <f>检查点拆解!D1227</f>
        <v>C30</v>
      </c>
      <c r="C1227" s="2">
        <f>--(COUNTIFS($A$2:A1227,A1227,$B$2:B1227,B1227)=1)</f>
        <v>1</v>
      </c>
      <c r="D1227" t="str">
        <f>检查点拆解!F1227</f>
        <v>D15.01.01</v>
      </c>
      <c r="E1227" s="2">
        <f>--(COUNTIFS($A$2:A1227,A1227,$D$2:D1227,D1227)=1)</f>
        <v>1</v>
      </c>
    </row>
    <row r="1228" spans="1:5">
      <c r="A1228" t="str">
        <f>检查点拆解!A1228</f>
        <v>Q0165</v>
      </c>
      <c r="B1228" t="str">
        <f>检查点拆解!D1228</f>
        <v>C27</v>
      </c>
      <c r="C1228" s="2">
        <f>--(COUNTIFS($A$2:A1228,A1228,$B$2:B1228,B1228)=1)</f>
        <v>1</v>
      </c>
      <c r="D1228" t="str">
        <f>检查点拆解!F1228</f>
        <v>D11.01.02</v>
      </c>
      <c r="E1228" s="2">
        <f>--(COUNTIFS($A$2:A1228,A1228,$D$2:D1228,D1228)=1)</f>
        <v>1</v>
      </c>
    </row>
    <row r="1229" spans="1:5">
      <c r="A1229" t="str">
        <f>检查点拆解!A1229</f>
        <v>Q0165</v>
      </c>
      <c r="B1229" t="str">
        <f>检查点拆解!D1229</f>
        <v>C25</v>
      </c>
      <c r="C1229" s="2">
        <f>--(COUNTIFS($A$2:A1229,A1229,$B$2:B1229,B1229)=1)</f>
        <v>1</v>
      </c>
      <c r="D1229" t="str">
        <f>检查点拆解!F1229</f>
        <v>D10.01.01</v>
      </c>
      <c r="E1229" s="2">
        <f>--(COUNTIFS($A$2:A1229,A1229,$D$2:D1229,D1229)=1)</f>
        <v>1</v>
      </c>
    </row>
    <row r="1230" spans="1:5">
      <c r="A1230" t="str">
        <f>检查点拆解!A1230</f>
        <v>Q0165</v>
      </c>
      <c r="B1230" t="str">
        <f>检查点拆解!D1230</f>
        <v>C26</v>
      </c>
      <c r="C1230" s="2">
        <f>--(COUNTIFS($A$2:A1230,A1230,$B$2:B1230,B1230)=1)</f>
        <v>1</v>
      </c>
      <c r="D1230" t="str">
        <f>检查点拆解!F1230</f>
        <v>D10.02.02</v>
      </c>
      <c r="E1230" s="2">
        <f>--(COUNTIFS($A$2:A1230,A1230,$D$2:D1230,D1230)=1)</f>
        <v>1</v>
      </c>
    </row>
    <row r="1231" spans="1:5">
      <c r="A1231" t="str">
        <f>检查点拆解!A1231</f>
        <v>Q0165</v>
      </c>
      <c r="B1231" t="str">
        <f>检查点拆解!D1231</f>
        <v>C14</v>
      </c>
      <c r="C1231" s="2">
        <f>--(COUNTIFS($A$2:A1231,A1231,$B$2:B1231,B1231)=1)</f>
        <v>1</v>
      </c>
      <c r="D1231" t="str">
        <f>检查点拆解!F1231</f>
        <v>D05.01.03</v>
      </c>
      <c r="E1231" s="2">
        <f>--(COUNTIFS($A$2:A1231,A1231,$D$2:D1231,D1231)=1)</f>
        <v>1</v>
      </c>
    </row>
    <row r="1232" spans="1:5">
      <c r="A1232" t="str">
        <f>检查点拆解!A1232</f>
        <v>Q0165</v>
      </c>
      <c r="B1232" t="str">
        <f>检查点拆解!D1232</f>
        <v>C26</v>
      </c>
      <c r="C1232" s="2">
        <f>--(COUNTIFS($A$2:A1232,A1232,$B$2:B1232,B1232)=1)</f>
        <v>0</v>
      </c>
      <c r="D1232" t="str">
        <f>检查点拆解!F1232</f>
        <v>D10.02.01</v>
      </c>
      <c r="E1232" s="2">
        <f>--(COUNTIFS($A$2:A1232,A1232,$D$2:D1232,D1232)=1)</f>
        <v>1</v>
      </c>
    </row>
    <row r="1233" spans="1:5">
      <c r="A1233" t="str">
        <f>检查点拆解!A1233</f>
        <v>Q0165</v>
      </c>
      <c r="B1233" t="str">
        <f>检查点拆解!D1233</f>
        <v>C28</v>
      </c>
      <c r="C1233" s="2">
        <f>--(COUNTIFS($A$2:A1233,A1233,$B$2:B1233,B1233)=1)</f>
        <v>1</v>
      </c>
      <c r="D1233" t="str">
        <f>检查点拆解!F1233</f>
        <v>D12.01.01</v>
      </c>
      <c r="E1233" s="2">
        <f>--(COUNTIFS($A$2:A1233,A1233,$D$2:D1233,D1233)=1)</f>
        <v>1</v>
      </c>
    </row>
    <row r="1234" spans="1:5">
      <c r="A1234" t="str">
        <f>检查点拆解!A1234</f>
        <v>Q0166</v>
      </c>
      <c r="B1234" t="str">
        <f>检查点拆解!D1234</f>
        <v>C30</v>
      </c>
      <c r="C1234" s="2">
        <f>--(COUNTIFS($A$2:A1234,A1234,$B$2:B1234,B1234)=1)</f>
        <v>1</v>
      </c>
      <c r="D1234" t="str">
        <f>检查点拆解!F1234</f>
        <v>D15.01.02</v>
      </c>
      <c r="E1234" s="2">
        <f>--(COUNTIFS($A$2:A1234,A1234,$D$2:D1234,D1234)=1)</f>
        <v>1</v>
      </c>
    </row>
    <row r="1235" spans="1:5">
      <c r="A1235" t="str">
        <f>检查点拆解!A1235</f>
        <v>Q0166</v>
      </c>
      <c r="B1235" t="str">
        <f>检查点拆解!D1235</f>
        <v>C30</v>
      </c>
      <c r="C1235" s="2">
        <f>--(COUNTIFS($A$2:A1235,A1235,$B$2:B1235,B1235)=1)</f>
        <v>0</v>
      </c>
      <c r="D1235" t="str">
        <f>检查点拆解!F1235</f>
        <v>D15.01.04</v>
      </c>
      <c r="E1235" s="2">
        <f>--(COUNTIFS($A$2:A1235,A1235,$D$2:D1235,D1235)=1)</f>
        <v>1</v>
      </c>
    </row>
    <row r="1236" spans="1:5">
      <c r="A1236" t="str">
        <f>检查点拆解!A1236</f>
        <v>Q0166</v>
      </c>
      <c r="B1236" t="str">
        <f>检查点拆解!D1236</f>
        <v>C28</v>
      </c>
      <c r="C1236" s="2">
        <f>--(COUNTIFS($A$2:A1236,A1236,$B$2:B1236,B1236)=1)</f>
        <v>1</v>
      </c>
      <c r="D1236" t="str">
        <f>检查点拆解!F1236</f>
        <v>D12.01.02</v>
      </c>
      <c r="E1236" s="2">
        <f>--(COUNTIFS($A$2:A1236,A1236,$D$2:D1236,D1236)=1)</f>
        <v>1</v>
      </c>
    </row>
    <row r="1237" spans="1:5">
      <c r="A1237" t="str">
        <f>检查点拆解!A1237</f>
        <v>Q0166</v>
      </c>
      <c r="B1237" t="str">
        <f>检查点拆解!D1237</f>
        <v>C03</v>
      </c>
      <c r="C1237" s="2">
        <f>--(COUNTIFS($A$2:A1237,A1237,$B$2:B1237,B1237)=1)</f>
        <v>1</v>
      </c>
      <c r="D1237" t="str">
        <f>检查点拆解!F1237</f>
        <v>D02.01.01</v>
      </c>
      <c r="E1237" s="2">
        <f>--(COUNTIFS($A$2:A1237,A1237,$D$2:D1237,D1237)=1)</f>
        <v>1</v>
      </c>
    </row>
    <row r="1238" spans="1:5">
      <c r="A1238" t="str">
        <f>检查点拆解!A1238</f>
        <v>Q0166</v>
      </c>
      <c r="B1238" t="str">
        <f>检查点拆解!D1238</f>
        <v>C05</v>
      </c>
      <c r="C1238" s="2">
        <f>--(COUNTIFS($A$2:A1238,A1238,$B$2:B1238,B1238)=1)</f>
        <v>1</v>
      </c>
      <c r="D1238" t="str">
        <f>检查点拆解!F1238</f>
        <v>D02.03.02</v>
      </c>
      <c r="E1238" s="2">
        <f>--(COUNTIFS($A$2:A1238,A1238,$D$2:D1238,D1238)=1)</f>
        <v>1</v>
      </c>
    </row>
    <row r="1239" spans="1:5">
      <c r="A1239" t="str">
        <f>检查点拆解!A1239</f>
        <v>Q0166</v>
      </c>
      <c r="B1239" t="str">
        <f>检查点拆解!D1239</f>
        <v>C08</v>
      </c>
      <c r="C1239" s="2">
        <f>--(COUNTIFS($A$2:A1239,A1239,$B$2:B1239,B1239)=1)</f>
        <v>1</v>
      </c>
      <c r="D1239" t="str">
        <f>检查点拆解!F1239</f>
        <v>D03.03.01</v>
      </c>
      <c r="E1239" s="2">
        <f>--(COUNTIFS($A$2:A1239,A1239,$D$2:D1239,D1239)=1)</f>
        <v>1</v>
      </c>
    </row>
    <row r="1240" spans="1:5">
      <c r="A1240" t="str">
        <f>检查点拆解!A1240</f>
        <v>Q0167</v>
      </c>
      <c r="B1240" t="str">
        <f>检查点拆解!D1240</f>
        <v>C24</v>
      </c>
      <c r="C1240" s="2">
        <f>--(COUNTIFS($A$2:A1240,A1240,$B$2:B1240,B1240)=1)</f>
        <v>1</v>
      </c>
      <c r="D1240" t="str">
        <f>检查点拆解!F1240</f>
        <v>D09.02.02</v>
      </c>
      <c r="E1240" s="2">
        <f>--(COUNTIFS($A$2:A1240,A1240,$D$2:D1240,D1240)=1)</f>
        <v>1</v>
      </c>
    </row>
    <row r="1241" spans="1:5">
      <c r="A1241" t="str">
        <f>检查点拆解!A1241</f>
        <v>Q0167</v>
      </c>
      <c r="B1241" t="str">
        <f>检查点拆解!D1241</f>
        <v>C24</v>
      </c>
      <c r="C1241" s="2">
        <f>--(COUNTIFS($A$2:A1241,A1241,$B$2:B1241,B1241)=1)</f>
        <v>0</v>
      </c>
      <c r="D1241" t="str">
        <f>检查点拆解!F1241</f>
        <v>D09.03.02</v>
      </c>
      <c r="E1241" s="2">
        <f>--(COUNTIFS($A$2:A1241,A1241,$D$2:D1241,D1241)=1)</f>
        <v>1</v>
      </c>
    </row>
    <row r="1242" spans="1:5">
      <c r="A1242" t="str">
        <f>检查点拆解!A1242</f>
        <v>Q0167</v>
      </c>
      <c r="B1242" t="str">
        <f>检查点拆解!D1242</f>
        <v>C27</v>
      </c>
      <c r="C1242" s="2">
        <f>--(COUNTIFS($A$2:A1242,A1242,$B$2:B1242,B1242)=1)</f>
        <v>1</v>
      </c>
      <c r="D1242" t="str">
        <f>检查点拆解!F1242</f>
        <v>D11.01.02</v>
      </c>
      <c r="E1242" s="2">
        <f>--(COUNTIFS($A$2:A1242,A1242,$D$2:D1242,D1242)=1)</f>
        <v>1</v>
      </c>
    </row>
    <row r="1243" spans="1:5">
      <c r="A1243" t="str">
        <f>检查点拆解!A1243</f>
        <v>Q0167</v>
      </c>
      <c r="B1243" t="str">
        <f>检查点拆解!D1243</f>
        <v>C27</v>
      </c>
      <c r="C1243" s="2">
        <f>--(COUNTIFS($A$2:A1243,A1243,$B$2:B1243,B1243)=1)</f>
        <v>0</v>
      </c>
      <c r="D1243" t="str">
        <f>检查点拆解!F1243</f>
        <v>D11.01.03</v>
      </c>
      <c r="E1243" s="2">
        <f>--(COUNTIFS($A$2:A1243,A1243,$D$2:D1243,D1243)=1)</f>
        <v>1</v>
      </c>
    </row>
    <row r="1244" spans="1:5">
      <c r="A1244" t="str">
        <f>检查点拆解!A1244</f>
        <v>Q0167</v>
      </c>
      <c r="B1244" t="str">
        <f>检查点拆解!D1244</f>
        <v>C24</v>
      </c>
      <c r="C1244" s="2">
        <f>--(COUNTIFS($A$2:A1244,A1244,$B$2:B1244,B1244)=1)</f>
        <v>0</v>
      </c>
      <c r="D1244" t="str">
        <f>检查点拆解!F1244</f>
        <v>D09.02.03</v>
      </c>
      <c r="E1244" s="2">
        <f>--(COUNTIFS($A$2:A1244,A1244,$D$2:D1244,D1244)=1)</f>
        <v>1</v>
      </c>
    </row>
    <row r="1245" spans="1:5">
      <c r="A1245" t="str">
        <f>检查点拆解!A1245</f>
        <v>Q0167</v>
      </c>
      <c r="B1245" t="str">
        <f>检查点拆解!D1245</f>
        <v>C25</v>
      </c>
      <c r="C1245" s="2">
        <f>--(COUNTIFS($A$2:A1245,A1245,$B$2:B1245,B1245)=1)</f>
        <v>1</v>
      </c>
      <c r="D1245" t="str">
        <f>检查点拆解!F1245</f>
        <v>D10.01.01</v>
      </c>
      <c r="E1245" s="2">
        <f>--(COUNTIFS($A$2:A1245,A1245,$D$2:D1245,D1245)=1)</f>
        <v>1</v>
      </c>
    </row>
    <row r="1246" spans="1:5">
      <c r="A1246" t="str">
        <f>检查点拆解!A1246</f>
        <v>Q0168</v>
      </c>
      <c r="B1246" t="str">
        <f>检查点拆解!D1246</f>
        <v>C27</v>
      </c>
      <c r="C1246" s="2">
        <f>--(COUNTIFS($A$2:A1246,A1246,$B$2:B1246,B1246)=1)</f>
        <v>1</v>
      </c>
      <c r="D1246" t="str">
        <f>检查点拆解!F1246</f>
        <v>D11.01.02</v>
      </c>
      <c r="E1246" s="2">
        <f>--(COUNTIFS($A$2:A1246,A1246,$D$2:D1246,D1246)=1)</f>
        <v>1</v>
      </c>
    </row>
    <row r="1247" spans="1:5">
      <c r="A1247" t="str">
        <f>检查点拆解!A1247</f>
        <v>Q0168</v>
      </c>
      <c r="B1247" t="str">
        <f>检查点拆解!D1247</f>
        <v>C25</v>
      </c>
      <c r="C1247" s="2">
        <f>--(COUNTIFS($A$2:A1247,A1247,$B$2:B1247,B1247)=1)</f>
        <v>1</v>
      </c>
      <c r="D1247" t="str">
        <f>检查点拆解!F1247</f>
        <v>D10.01.01</v>
      </c>
      <c r="E1247" s="2">
        <f>--(COUNTIFS($A$2:A1247,A1247,$D$2:D1247,D1247)=1)</f>
        <v>1</v>
      </c>
    </row>
    <row r="1248" spans="1:5">
      <c r="A1248" t="str">
        <f>检查点拆解!A1248</f>
        <v>Q0168</v>
      </c>
      <c r="B1248" t="str">
        <f>检查点拆解!D1248</f>
        <v>C28</v>
      </c>
      <c r="C1248" s="2">
        <f>--(COUNTIFS($A$2:A1248,A1248,$B$2:B1248,B1248)=1)</f>
        <v>1</v>
      </c>
      <c r="D1248" t="str">
        <f>检查点拆解!F1248</f>
        <v>D12.01.01</v>
      </c>
      <c r="E1248" s="2">
        <f>--(COUNTIFS($A$2:A1248,A1248,$D$2:D1248,D1248)=1)</f>
        <v>1</v>
      </c>
    </row>
    <row r="1249" spans="1:5">
      <c r="A1249" t="str">
        <f>检查点拆解!A1249</f>
        <v>Q0168</v>
      </c>
      <c r="B1249" t="str">
        <f>检查点拆解!D1249</f>
        <v>C28</v>
      </c>
      <c r="C1249" s="2">
        <f>--(COUNTIFS($A$2:A1249,A1249,$B$2:B1249,B1249)=1)</f>
        <v>0</v>
      </c>
      <c r="D1249" t="str">
        <f>检查点拆解!F1249</f>
        <v>D12.01.03</v>
      </c>
      <c r="E1249" s="2">
        <f>--(COUNTIFS($A$2:A1249,A1249,$D$2:D1249,D1249)=1)</f>
        <v>1</v>
      </c>
    </row>
    <row r="1250" spans="1:5">
      <c r="A1250" t="str">
        <f>检查点拆解!A1250</f>
        <v>Q0168</v>
      </c>
      <c r="B1250" t="str">
        <f>检查点拆解!D1250</f>
        <v>C04</v>
      </c>
      <c r="C1250" s="2">
        <f>--(COUNTIFS($A$2:A1250,A1250,$B$2:B1250,B1250)=1)</f>
        <v>1</v>
      </c>
      <c r="D1250" t="str">
        <f>检查点拆解!F1250</f>
        <v>D02.02.02</v>
      </c>
      <c r="E1250" s="2">
        <f>--(COUNTIFS($A$2:A1250,A1250,$D$2:D1250,D1250)=1)</f>
        <v>1</v>
      </c>
    </row>
    <row r="1251" spans="1:5">
      <c r="A1251" t="str">
        <f>检查点拆解!A1251</f>
        <v>Q0168</v>
      </c>
      <c r="B1251" t="str">
        <f>检查点拆解!D1251</f>
        <v>C05</v>
      </c>
      <c r="C1251" s="2">
        <f>--(COUNTIFS($A$2:A1251,A1251,$B$2:B1251,B1251)=1)</f>
        <v>1</v>
      </c>
      <c r="D1251" t="str">
        <f>检查点拆解!F1251</f>
        <v>D02.03.02</v>
      </c>
      <c r="E1251" s="2">
        <f>--(COUNTIFS($A$2:A1251,A1251,$D$2:D1251,D1251)=1)</f>
        <v>1</v>
      </c>
    </row>
    <row r="1252" spans="1:5">
      <c r="A1252" t="str">
        <f>检查点拆解!A1252</f>
        <v>Q0169</v>
      </c>
      <c r="B1252" t="str">
        <f>检查点拆解!D1252</f>
        <v>C03</v>
      </c>
      <c r="C1252" s="2">
        <f>--(COUNTIFS($A$2:A1252,A1252,$B$2:B1252,B1252)=1)</f>
        <v>1</v>
      </c>
      <c r="D1252" t="str">
        <f>检查点拆解!F1252</f>
        <v>D02.01.01</v>
      </c>
      <c r="E1252" s="2">
        <f>--(COUNTIFS($A$2:A1252,A1252,$D$2:D1252,D1252)=1)</f>
        <v>1</v>
      </c>
    </row>
    <row r="1253" spans="1:5">
      <c r="A1253" t="str">
        <f>检查点拆解!A1253</f>
        <v>Q0169</v>
      </c>
      <c r="B1253" t="str">
        <f>检查点拆解!D1253</f>
        <v>C05</v>
      </c>
      <c r="C1253" s="2">
        <f>--(COUNTIFS($A$2:A1253,A1253,$B$2:B1253,B1253)=1)</f>
        <v>1</v>
      </c>
      <c r="D1253" t="str">
        <f>检查点拆解!F1253</f>
        <v>D02.03.02</v>
      </c>
      <c r="E1253" s="2">
        <f>--(COUNTIFS($A$2:A1253,A1253,$D$2:D1253,D1253)=1)</f>
        <v>1</v>
      </c>
    </row>
    <row r="1254" spans="1:5">
      <c r="A1254" t="str">
        <f>检查点拆解!A1254</f>
        <v>Q0169</v>
      </c>
      <c r="B1254" t="str">
        <f>检查点拆解!D1254</f>
        <v>C08</v>
      </c>
      <c r="C1254" s="2">
        <f>--(COUNTIFS($A$2:A1254,A1254,$B$2:B1254,B1254)=1)</f>
        <v>1</v>
      </c>
      <c r="D1254" t="str">
        <f>检查点拆解!F1254</f>
        <v>D03.03.01</v>
      </c>
      <c r="E1254" s="2">
        <f>--(COUNTIFS($A$2:A1254,A1254,$D$2:D1254,D1254)=1)</f>
        <v>1</v>
      </c>
    </row>
    <row r="1255" spans="1:5">
      <c r="A1255" t="str">
        <f>检查点拆解!A1255</f>
        <v>Q0170</v>
      </c>
      <c r="B1255" t="str">
        <f>检查点拆解!D1255</f>
        <v>C19</v>
      </c>
      <c r="C1255" s="2">
        <f>--(COUNTIFS($A$2:A1255,A1255,$B$2:B1255,B1255)=1)</f>
        <v>1</v>
      </c>
      <c r="D1255" t="str">
        <f>检查点拆解!F1255</f>
        <v>D07.02.03</v>
      </c>
      <c r="E1255" s="2">
        <f>--(COUNTIFS($A$2:A1255,A1255,$D$2:D1255,D1255)=1)</f>
        <v>1</v>
      </c>
    </row>
    <row r="1256" spans="1:5">
      <c r="A1256" t="str">
        <f>检查点拆解!A1256</f>
        <v>Q0170</v>
      </c>
      <c r="B1256" t="str">
        <f>检查点拆解!D1256</f>
        <v>C28</v>
      </c>
      <c r="C1256" s="2">
        <f>--(COUNTIFS($A$2:A1256,A1256,$B$2:B1256,B1256)=1)</f>
        <v>1</v>
      </c>
      <c r="D1256" t="str">
        <f>检查点拆解!F1256</f>
        <v>D13.02.01</v>
      </c>
      <c r="E1256" s="2">
        <f>--(COUNTIFS($A$2:A1256,A1256,$D$2:D1256,D1256)=1)</f>
        <v>1</v>
      </c>
    </row>
    <row r="1257" spans="1:5">
      <c r="A1257" t="str">
        <f>检查点拆解!A1257</f>
        <v>Q0170</v>
      </c>
      <c r="B1257" t="str">
        <f>检查点拆解!D1257</f>
        <v>C04</v>
      </c>
      <c r="C1257" s="2">
        <f>--(COUNTIFS($A$2:A1257,A1257,$B$2:B1257,B1257)=1)</f>
        <v>1</v>
      </c>
      <c r="D1257" t="str">
        <f>检查点拆解!F1257</f>
        <v>D02.02.01</v>
      </c>
      <c r="E1257" s="2">
        <f>--(COUNTIFS($A$2:A1257,A1257,$D$2:D1257,D1257)=1)</f>
        <v>1</v>
      </c>
    </row>
    <row r="1258" spans="1:5">
      <c r="A1258" t="str">
        <f>检查点拆解!A1258</f>
        <v>Q0170</v>
      </c>
      <c r="B1258" t="str">
        <f>检查点拆解!D1258</f>
        <v>C05</v>
      </c>
      <c r="C1258" s="2">
        <f>--(COUNTIFS($A$2:A1258,A1258,$B$2:B1258,B1258)=1)</f>
        <v>1</v>
      </c>
      <c r="D1258" t="str">
        <f>检查点拆解!F1258</f>
        <v>D02.03.02</v>
      </c>
      <c r="E1258" s="2">
        <f>--(COUNTIFS($A$2:A1258,A1258,$D$2:D1258,D1258)=1)</f>
        <v>1</v>
      </c>
    </row>
    <row r="1259" spans="1:5">
      <c r="A1259" t="str">
        <f>检查点拆解!A1259</f>
        <v>Q0171</v>
      </c>
      <c r="B1259" t="str">
        <f>检查点拆解!D1259</f>
        <v>C24</v>
      </c>
      <c r="C1259" s="2">
        <f>--(COUNTIFS($A$2:A1259,A1259,$B$2:B1259,B1259)=1)</f>
        <v>1</v>
      </c>
      <c r="D1259" t="str">
        <f>检查点拆解!F1259</f>
        <v>D09.02.03</v>
      </c>
      <c r="E1259" s="2">
        <f>--(COUNTIFS($A$2:A1259,A1259,$D$2:D1259,D1259)=1)</f>
        <v>1</v>
      </c>
    </row>
    <row r="1260" spans="1:5">
      <c r="A1260" t="str">
        <f>检查点拆解!A1260</f>
        <v>Q0171</v>
      </c>
      <c r="B1260" t="str">
        <f>检查点拆解!D1260</f>
        <v>C25</v>
      </c>
      <c r="C1260" s="2">
        <f>--(COUNTIFS($A$2:A1260,A1260,$B$2:B1260,B1260)=1)</f>
        <v>1</v>
      </c>
      <c r="D1260" t="str">
        <f>检查点拆解!F1260</f>
        <v>D10.01.04</v>
      </c>
      <c r="E1260" s="2">
        <f>--(COUNTIFS($A$2:A1260,A1260,$D$2:D1260,D1260)=1)</f>
        <v>1</v>
      </c>
    </row>
    <row r="1261" spans="1:5">
      <c r="A1261" t="str">
        <f>检查点拆解!A1261</f>
        <v>Q0171</v>
      </c>
      <c r="B1261" t="str">
        <f>检查点拆解!D1261</f>
        <v>C30</v>
      </c>
      <c r="C1261" s="2">
        <f>--(COUNTIFS($A$2:A1261,A1261,$B$2:B1261,B1261)=1)</f>
        <v>1</v>
      </c>
      <c r="D1261" t="str">
        <f>检查点拆解!F1261</f>
        <v>D15.01.04</v>
      </c>
      <c r="E1261" s="2">
        <f>--(COUNTIFS($A$2:A1261,A1261,$D$2:D1261,D1261)=1)</f>
        <v>1</v>
      </c>
    </row>
    <row r="1262" spans="1:5">
      <c r="A1262" t="str">
        <f>检查点拆解!A1262</f>
        <v>Q0172</v>
      </c>
      <c r="B1262" t="str">
        <f>检查点拆解!D1262</f>
        <v>C12</v>
      </c>
      <c r="C1262" s="2">
        <f>--(COUNTIFS($A$2:A1262,A1262,$B$2:B1262,B1262)=1)</f>
        <v>1</v>
      </c>
      <c r="D1262" t="str">
        <f>检查点拆解!F1262</f>
        <v>D04.03.03</v>
      </c>
      <c r="E1262" s="2">
        <f>--(COUNTIFS($A$2:A1262,A1262,$D$2:D1262,D1262)=1)</f>
        <v>1</v>
      </c>
    </row>
    <row r="1263" spans="1:5">
      <c r="A1263" t="str">
        <f>检查点拆解!A1263</f>
        <v>Q0172</v>
      </c>
      <c r="B1263" t="str">
        <f>检查点拆解!D1263</f>
        <v>C30</v>
      </c>
      <c r="C1263" s="2">
        <f>--(COUNTIFS($A$2:A1263,A1263,$B$2:B1263,B1263)=1)</f>
        <v>1</v>
      </c>
      <c r="D1263" t="str">
        <f>检查点拆解!F1263</f>
        <v>D15.02.01</v>
      </c>
      <c r="E1263" s="2">
        <f>--(COUNTIFS($A$2:A1263,A1263,$D$2:D1263,D1263)=1)</f>
        <v>1</v>
      </c>
    </row>
    <row r="1264" spans="1:5">
      <c r="A1264" t="str">
        <f>检查点拆解!A1264</f>
        <v>Q0172</v>
      </c>
      <c r="B1264" t="str">
        <f>检查点拆解!D1264</f>
        <v>C23</v>
      </c>
      <c r="C1264" s="2">
        <f>--(COUNTIFS($A$2:A1264,A1264,$B$2:B1264,B1264)=1)</f>
        <v>1</v>
      </c>
      <c r="D1264" t="str">
        <f>检查点拆解!F1264</f>
        <v>D09.01.03</v>
      </c>
      <c r="E1264" s="2">
        <f>--(COUNTIFS($A$2:A1264,A1264,$D$2:D1264,D1264)=1)</f>
        <v>1</v>
      </c>
    </row>
    <row r="1265" spans="1:5">
      <c r="A1265" t="str">
        <f>检查点拆解!A1265</f>
        <v>Q0172</v>
      </c>
      <c r="B1265" t="str">
        <f>检查点拆解!D1265</f>
        <v>C24</v>
      </c>
      <c r="C1265" s="2">
        <f>--(COUNTIFS($A$2:A1265,A1265,$B$2:B1265,B1265)=1)</f>
        <v>1</v>
      </c>
      <c r="D1265" t="str">
        <f>检查点拆解!F1265</f>
        <v>D09.02.03</v>
      </c>
      <c r="E1265" s="2">
        <f>--(COUNTIFS($A$2:A1265,A1265,$D$2:D1265,D1265)=1)</f>
        <v>1</v>
      </c>
    </row>
    <row r="1266" spans="1:5">
      <c r="A1266" t="str">
        <f>检查点拆解!A1266</f>
        <v>Q0172</v>
      </c>
      <c r="B1266" t="str">
        <f>检查点拆解!D1266</f>
        <v>C25</v>
      </c>
      <c r="C1266" s="2">
        <f>--(COUNTIFS($A$2:A1266,A1266,$B$2:B1266,B1266)=1)</f>
        <v>1</v>
      </c>
      <c r="D1266" t="str">
        <f>检查点拆解!F1266</f>
        <v>D10.01.01</v>
      </c>
      <c r="E1266" s="2">
        <f>--(COUNTIFS($A$2:A1266,A1266,$D$2:D1266,D1266)=1)</f>
        <v>1</v>
      </c>
    </row>
    <row r="1267" spans="1:5">
      <c r="A1267" t="str">
        <f>检查点拆解!A1267</f>
        <v>Q0172</v>
      </c>
      <c r="B1267" t="str">
        <f>检查点拆解!D1267</f>
        <v>C23</v>
      </c>
      <c r="C1267" s="2">
        <f>--(COUNTIFS($A$2:A1267,A1267,$B$2:B1267,B1267)=1)</f>
        <v>0</v>
      </c>
      <c r="D1267" t="str">
        <f>检查点拆解!F1267</f>
        <v>D09.01.01</v>
      </c>
      <c r="E1267" s="2">
        <f>--(COUNTIFS($A$2:A1267,A1267,$D$2:D1267,D1267)=1)</f>
        <v>1</v>
      </c>
    </row>
    <row r="1268" spans="1:5">
      <c r="A1268" t="str">
        <f>检查点拆解!A1268</f>
        <v>Q0173</v>
      </c>
      <c r="B1268" t="str">
        <f>检查点拆解!D1268</f>
        <v>C24</v>
      </c>
      <c r="C1268" s="2">
        <f>--(COUNTIFS($A$2:A1268,A1268,$B$2:B1268,B1268)=1)</f>
        <v>1</v>
      </c>
      <c r="D1268" t="str">
        <f>检查点拆解!F1268</f>
        <v>D09.02.03</v>
      </c>
      <c r="E1268" s="2">
        <f>--(COUNTIFS($A$2:A1268,A1268,$D$2:D1268,D1268)=1)</f>
        <v>1</v>
      </c>
    </row>
    <row r="1269" spans="1:5">
      <c r="A1269" t="str">
        <f>检查点拆解!A1269</f>
        <v>Q0173</v>
      </c>
      <c r="B1269" t="str">
        <f>检查点拆解!D1269</f>
        <v>C04</v>
      </c>
      <c r="C1269" s="2">
        <f>--(COUNTIFS($A$2:A1269,A1269,$B$2:B1269,B1269)=1)</f>
        <v>1</v>
      </c>
      <c r="D1269" t="str">
        <f>检查点拆解!F1269</f>
        <v>D02.02.03</v>
      </c>
      <c r="E1269" s="2">
        <f>--(COUNTIFS($A$2:A1269,A1269,$D$2:D1269,D1269)=1)</f>
        <v>1</v>
      </c>
    </row>
    <row r="1270" spans="1:5">
      <c r="A1270" t="str">
        <f>检查点拆解!A1270</f>
        <v>Q0174</v>
      </c>
      <c r="B1270" t="str">
        <f>检查点拆解!D1270</f>
        <v>C12</v>
      </c>
      <c r="C1270" s="2">
        <f>--(COUNTIFS($A$2:A1270,A1270,$B$2:B1270,B1270)=1)</f>
        <v>1</v>
      </c>
      <c r="D1270" t="str">
        <f>检查点拆解!F1270</f>
        <v>D04.03.03</v>
      </c>
      <c r="E1270" s="2">
        <f>--(COUNTIFS($A$2:A1270,A1270,$D$2:D1270,D1270)=1)</f>
        <v>1</v>
      </c>
    </row>
    <row r="1271" spans="1:5">
      <c r="A1271" t="str">
        <f>检查点拆解!A1271</f>
        <v>Q0174</v>
      </c>
      <c r="B1271" t="str">
        <f>检查点拆解!D1271</f>
        <v>C30</v>
      </c>
      <c r="C1271" s="2">
        <f>--(COUNTIFS($A$2:A1271,A1271,$B$2:B1271,B1271)=1)</f>
        <v>1</v>
      </c>
      <c r="D1271" t="str">
        <f>检查点拆解!F1271</f>
        <v>D15.02.01</v>
      </c>
      <c r="E1271" s="2">
        <f>--(COUNTIFS($A$2:A1271,A1271,$D$2:D1271,D1271)=1)</f>
        <v>1</v>
      </c>
    </row>
    <row r="1272" spans="1:5">
      <c r="A1272" t="str">
        <f>检查点拆解!A1272</f>
        <v>Q0174</v>
      </c>
      <c r="B1272" t="str">
        <f>检查点拆解!D1272</f>
        <v>C24</v>
      </c>
      <c r="C1272" s="2">
        <f>--(COUNTIFS($A$2:A1272,A1272,$B$2:B1272,B1272)=1)</f>
        <v>1</v>
      </c>
      <c r="D1272" t="str">
        <f>检查点拆解!F1272</f>
        <v>D09.02.03</v>
      </c>
      <c r="E1272" s="2">
        <f>--(COUNTIFS($A$2:A1272,A1272,$D$2:D1272,D1272)=1)</f>
        <v>1</v>
      </c>
    </row>
    <row r="1273" spans="1:5">
      <c r="A1273" t="str">
        <f>检查点拆解!A1273</f>
        <v>Q0174</v>
      </c>
      <c r="B1273" t="str">
        <f>检查点拆解!D1273</f>
        <v>C08</v>
      </c>
      <c r="C1273" s="2">
        <f>--(COUNTIFS($A$2:A1273,A1273,$B$2:B1273,B1273)=1)</f>
        <v>1</v>
      </c>
      <c r="D1273" t="str">
        <f>检查点拆解!F1273</f>
        <v>D04.01.02</v>
      </c>
      <c r="E1273" s="2">
        <f>--(COUNTIFS($A$2:A1273,A1273,$D$2:D1273,D1273)=1)</f>
        <v>1</v>
      </c>
    </row>
    <row r="1274" spans="1:5">
      <c r="A1274" t="str">
        <f>检查点拆解!A1274</f>
        <v>Q0174</v>
      </c>
      <c r="B1274" t="str">
        <f>检查点拆解!D1274</f>
        <v>C28</v>
      </c>
      <c r="C1274" s="2">
        <f>--(COUNTIFS($A$2:A1274,A1274,$B$2:B1274,B1274)=1)</f>
        <v>1</v>
      </c>
      <c r="D1274" t="str">
        <f>检查点拆解!F1274</f>
        <v>D12.01.01</v>
      </c>
      <c r="E1274" s="2">
        <f>--(COUNTIFS($A$2:A1274,A1274,$D$2:D1274,D1274)=1)</f>
        <v>1</v>
      </c>
    </row>
    <row r="1275" spans="1:5">
      <c r="A1275" t="str">
        <f>检查点拆解!A1275</f>
        <v>Q0174</v>
      </c>
      <c r="B1275" t="str">
        <f>检查点拆解!D1275</f>
        <v>C06</v>
      </c>
      <c r="C1275" s="2">
        <f>--(COUNTIFS($A$2:A1275,A1275,$B$2:B1275,B1275)=1)</f>
        <v>1</v>
      </c>
      <c r="D1275" t="str">
        <f>检查点拆解!F1275</f>
        <v>D03.01.01</v>
      </c>
      <c r="E1275" s="2">
        <f>--(COUNTIFS($A$2:A1275,A1275,$D$2:D1275,D1275)=1)</f>
        <v>1</v>
      </c>
    </row>
    <row r="1276" spans="1:5">
      <c r="A1276" t="str">
        <f>检查点拆解!A1276</f>
        <v>Q0175</v>
      </c>
      <c r="B1276" t="str">
        <f>检查点拆解!D1276</f>
        <v>C12</v>
      </c>
      <c r="C1276" s="2">
        <f>--(COUNTIFS($A$2:A1276,A1276,$B$2:B1276,B1276)=1)</f>
        <v>1</v>
      </c>
      <c r="D1276" t="str">
        <f>检查点拆解!F1276</f>
        <v>D04.03.03</v>
      </c>
      <c r="E1276" s="2">
        <f>--(COUNTIFS($A$2:A1276,A1276,$D$2:D1276,D1276)=1)</f>
        <v>1</v>
      </c>
    </row>
    <row r="1277" spans="1:5">
      <c r="A1277" t="str">
        <f>检查点拆解!A1277</f>
        <v>Q0175</v>
      </c>
      <c r="B1277" t="str">
        <f>检查点拆解!D1277</f>
        <v>C24</v>
      </c>
      <c r="C1277" s="2">
        <f>--(COUNTIFS($A$2:A1277,A1277,$B$2:B1277,B1277)=1)</f>
        <v>1</v>
      </c>
      <c r="D1277" t="str">
        <f>检查点拆解!F1277</f>
        <v>D09.02.03</v>
      </c>
      <c r="E1277" s="2">
        <f>--(COUNTIFS($A$2:A1277,A1277,$D$2:D1277,D1277)=1)</f>
        <v>1</v>
      </c>
    </row>
    <row r="1278" spans="1:5">
      <c r="A1278" t="str">
        <f>检查点拆解!A1278</f>
        <v>Q0176</v>
      </c>
      <c r="B1278" t="str">
        <f>检查点拆解!D1278</f>
        <v>C11</v>
      </c>
      <c r="C1278" s="2">
        <f>--(COUNTIFS($A$2:A1278,A1278,$B$2:B1278,B1278)=1)</f>
        <v>1</v>
      </c>
      <c r="D1278" t="str">
        <f>检查点拆解!F1278</f>
        <v>D04.03.02</v>
      </c>
      <c r="E1278" s="2">
        <f>--(COUNTIFS($A$2:A1278,A1278,$D$2:D1278,D1278)=1)</f>
        <v>1</v>
      </c>
    </row>
    <row r="1279" spans="1:5">
      <c r="A1279" t="str">
        <f>检查点拆解!A1279</f>
        <v>Q0176</v>
      </c>
      <c r="B1279" t="str">
        <f>检查点拆解!D1279</f>
        <v>C24</v>
      </c>
      <c r="C1279" s="2">
        <f>--(COUNTIFS($A$2:A1279,A1279,$B$2:B1279,B1279)=1)</f>
        <v>1</v>
      </c>
      <c r="D1279" t="str">
        <f>检查点拆解!F1279</f>
        <v>D09.02.02</v>
      </c>
      <c r="E1279" s="2">
        <f>--(COUNTIFS($A$2:A1279,A1279,$D$2:D1279,D1279)=1)</f>
        <v>1</v>
      </c>
    </row>
    <row r="1280" spans="1:5">
      <c r="A1280" t="str">
        <f>检查点拆解!A1280</f>
        <v>Q0176</v>
      </c>
      <c r="B1280" t="str">
        <f>检查点拆解!D1280</f>
        <v>C30</v>
      </c>
      <c r="C1280" s="2">
        <f>--(COUNTIFS($A$2:A1280,A1280,$B$2:B1280,B1280)=1)</f>
        <v>1</v>
      </c>
      <c r="D1280" t="str">
        <f>检查点拆解!F1280</f>
        <v>D15.02.01</v>
      </c>
      <c r="E1280" s="2">
        <f>--(COUNTIFS($A$2:A1280,A1280,$D$2:D1280,D1280)=1)</f>
        <v>1</v>
      </c>
    </row>
    <row r="1281" spans="1:5">
      <c r="A1281" t="str">
        <f>检查点拆解!A1281</f>
        <v>Q0176</v>
      </c>
      <c r="B1281" t="str">
        <f>检查点拆解!D1281</f>
        <v>C23</v>
      </c>
      <c r="C1281" s="2">
        <f>--(COUNTIFS($A$2:A1281,A1281,$B$2:B1281,B1281)=1)</f>
        <v>1</v>
      </c>
      <c r="D1281" t="str">
        <f>检查点拆解!F1281</f>
        <v>D09.01.03</v>
      </c>
      <c r="E1281" s="2">
        <f>--(COUNTIFS($A$2:A1281,A1281,$D$2:D1281,D1281)=1)</f>
        <v>1</v>
      </c>
    </row>
    <row r="1282" spans="1:5">
      <c r="A1282" t="str">
        <f>检查点拆解!A1282</f>
        <v>Q0176</v>
      </c>
      <c r="B1282" t="str">
        <f>检查点拆解!D1282</f>
        <v>C27</v>
      </c>
      <c r="C1282" s="2">
        <f>--(COUNTIFS($A$2:A1282,A1282,$B$2:B1282,B1282)=1)</f>
        <v>1</v>
      </c>
      <c r="D1282" t="str">
        <f>检查点拆解!F1282</f>
        <v>D11.02.01</v>
      </c>
      <c r="E1282" s="2">
        <f>--(COUNTIFS($A$2:A1282,A1282,$D$2:D1282,D1282)=1)</f>
        <v>1</v>
      </c>
    </row>
    <row r="1283" spans="1:5">
      <c r="A1283" t="str">
        <f>检查点拆解!A1283</f>
        <v>Q0176</v>
      </c>
      <c r="B1283" t="str">
        <f>检查点拆解!D1283</f>
        <v>C24</v>
      </c>
      <c r="C1283" s="2">
        <f>--(COUNTIFS($A$2:A1283,A1283,$B$2:B1283,B1283)=1)</f>
        <v>0</v>
      </c>
      <c r="D1283" t="str">
        <f>检查点拆解!F1283</f>
        <v>D09.02.03</v>
      </c>
      <c r="E1283" s="2">
        <f>--(COUNTIFS($A$2:A1283,A1283,$D$2:D1283,D1283)=1)</f>
        <v>1</v>
      </c>
    </row>
    <row r="1284" spans="1:5">
      <c r="A1284" t="str">
        <f>检查点拆解!A1284</f>
        <v>Q0176</v>
      </c>
      <c r="B1284" t="str">
        <f>检查点拆解!D1284</f>
        <v>C28</v>
      </c>
      <c r="C1284" s="2">
        <f>--(COUNTIFS($A$2:A1284,A1284,$B$2:B1284,B1284)=1)</f>
        <v>1</v>
      </c>
      <c r="D1284" t="str">
        <f>检查点拆解!F1284</f>
        <v>D13.02.01</v>
      </c>
      <c r="E1284" s="2">
        <f>--(COUNTIFS($A$2:A1284,A1284,$D$2:D1284,D1284)=1)</f>
        <v>1</v>
      </c>
    </row>
    <row r="1285" spans="1:5">
      <c r="A1285" t="str">
        <f>检查点拆解!A1285</f>
        <v>Q0176</v>
      </c>
      <c r="B1285" t="str">
        <f>检查点拆解!D1285</f>
        <v>C26</v>
      </c>
      <c r="C1285" s="2">
        <f>--(COUNTIFS($A$2:A1285,A1285,$B$2:B1285,B1285)=1)</f>
        <v>1</v>
      </c>
      <c r="D1285" t="str">
        <f>检查点拆解!F1285</f>
        <v>D10.02.01</v>
      </c>
      <c r="E1285" s="2">
        <f>--(COUNTIFS($A$2:A1285,A1285,$D$2:D1285,D1285)=1)</f>
        <v>1</v>
      </c>
    </row>
    <row r="1286" spans="1:5">
      <c r="A1286" t="str">
        <f>检查点拆解!A1286</f>
        <v>Q0177</v>
      </c>
      <c r="B1286" t="str">
        <f>检查点拆解!D1286</f>
        <v>C30</v>
      </c>
      <c r="C1286" s="2">
        <f>--(COUNTIFS($A$2:A1286,A1286,$B$2:B1286,B1286)=1)</f>
        <v>1</v>
      </c>
      <c r="D1286" t="str">
        <f>检查点拆解!F1286</f>
        <v>D15.02.01</v>
      </c>
      <c r="E1286" s="2">
        <f>--(COUNTIFS($A$2:A1286,A1286,$D$2:D1286,D1286)=1)</f>
        <v>1</v>
      </c>
    </row>
    <row r="1287" spans="1:5">
      <c r="A1287" t="str">
        <f>检查点拆解!A1287</f>
        <v>Q0177</v>
      </c>
      <c r="B1287" t="str">
        <f>检查点拆解!D1287</f>
        <v>C24</v>
      </c>
      <c r="C1287" s="2">
        <f>--(COUNTIFS($A$2:A1287,A1287,$B$2:B1287,B1287)=1)</f>
        <v>1</v>
      </c>
      <c r="D1287" t="str">
        <f>检查点拆解!F1287</f>
        <v>D09.02.03</v>
      </c>
      <c r="E1287" s="2">
        <f>--(COUNTIFS($A$2:A1287,A1287,$D$2:D1287,D1287)=1)</f>
        <v>1</v>
      </c>
    </row>
    <row r="1288" spans="1:5">
      <c r="A1288" t="str">
        <f>检查点拆解!A1288</f>
        <v>Q0178</v>
      </c>
      <c r="B1288" t="str">
        <f>检查点拆解!D1288</f>
        <v>C27</v>
      </c>
      <c r="C1288" s="2">
        <f>--(COUNTIFS($A$2:A1288,A1288,$B$2:B1288,B1288)=1)</f>
        <v>1</v>
      </c>
      <c r="D1288" t="str">
        <f>检查点拆解!F1288</f>
        <v>D11.02.01</v>
      </c>
      <c r="E1288" s="2">
        <f>--(COUNTIFS($A$2:A1288,A1288,$D$2:D1288,D1288)=1)</f>
        <v>1</v>
      </c>
    </row>
    <row r="1289" spans="1:5">
      <c r="A1289" t="str">
        <f>检查点拆解!A1289</f>
        <v>Q0178</v>
      </c>
      <c r="B1289" t="str">
        <f>检查点拆解!D1289</f>
        <v>C17</v>
      </c>
      <c r="C1289" s="2">
        <f>--(COUNTIFS($A$2:A1289,A1289,$B$2:B1289,B1289)=1)</f>
        <v>1</v>
      </c>
      <c r="D1289" t="str">
        <f>检查点拆解!F1289</f>
        <v>D06.01.02</v>
      </c>
      <c r="E1289" s="2">
        <f>--(COUNTIFS($A$2:A1289,A1289,$D$2:D1289,D1289)=1)</f>
        <v>1</v>
      </c>
    </row>
    <row r="1290" spans="1:5">
      <c r="A1290" t="str">
        <f>检查点拆解!A1290</f>
        <v>Q0178</v>
      </c>
      <c r="B1290" t="str">
        <f>检查点拆解!D1290</f>
        <v>C13</v>
      </c>
      <c r="C1290" s="2">
        <f>--(COUNTIFS($A$2:A1290,A1290,$B$2:B1290,B1290)=1)</f>
        <v>1</v>
      </c>
      <c r="D1290" t="str">
        <f>检查点拆解!F1290</f>
        <v>D04.04.01</v>
      </c>
      <c r="E1290" s="2">
        <f>--(COUNTIFS($A$2:A1290,A1290,$D$2:D1290,D1290)=1)</f>
        <v>1</v>
      </c>
    </row>
    <row r="1291" spans="1:5">
      <c r="A1291" t="str">
        <f>检查点拆解!A1291</f>
        <v>Q0178</v>
      </c>
      <c r="B1291" t="str">
        <f>检查点拆解!D1291</f>
        <v>C04</v>
      </c>
      <c r="C1291" s="2">
        <f>--(COUNTIFS($A$2:A1291,A1291,$B$2:B1291,B1291)=1)</f>
        <v>1</v>
      </c>
      <c r="D1291" t="str">
        <f>检查点拆解!F1291</f>
        <v>D02.02.01</v>
      </c>
      <c r="E1291" s="2">
        <f>--(COUNTIFS($A$2:A1291,A1291,$D$2:D1291,D1291)=1)</f>
        <v>1</v>
      </c>
    </row>
    <row r="1292" spans="1:5">
      <c r="A1292" t="str">
        <f>检查点拆解!A1292</f>
        <v>Q0178</v>
      </c>
      <c r="B1292" t="str">
        <f>检查点拆解!D1292</f>
        <v>C28</v>
      </c>
      <c r="C1292" s="2">
        <f>--(COUNTIFS($A$2:A1292,A1292,$B$2:B1292,B1292)=1)</f>
        <v>1</v>
      </c>
      <c r="D1292" t="str">
        <f>检查点拆解!F1292</f>
        <v>D13.01.01</v>
      </c>
      <c r="E1292" s="2">
        <f>--(COUNTIFS($A$2:A1292,A1292,$D$2:D1292,D1292)=1)</f>
        <v>1</v>
      </c>
    </row>
    <row r="1293" spans="1:5">
      <c r="A1293" t="str">
        <f>检查点拆解!A1293</f>
        <v>Q0178</v>
      </c>
      <c r="B1293" t="str">
        <f>检查点拆解!D1293</f>
        <v>C08</v>
      </c>
      <c r="C1293" s="2">
        <f>--(COUNTIFS($A$2:A1293,A1293,$B$2:B1293,B1293)=1)</f>
        <v>1</v>
      </c>
      <c r="D1293" t="str">
        <f>检查点拆解!F1293</f>
        <v>D04.01.01</v>
      </c>
      <c r="E1293" s="2">
        <f>--(COUNTIFS($A$2:A1293,A1293,$D$2:D1293,D1293)=1)</f>
        <v>1</v>
      </c>
    </row>
    <row r="1294" spans="1:5">
      <c r="A1294" t="str">
        <f>检查点拆解!A1294</f>
        <v>Q0178</v>
      </c>
      <c r="B1294" t="str">
        <f>检查点拆解!D1294</f>
        <v>C03</v>
      </c>
      <c r="C1294" s="2">
        <f>--(COUNTIFS($A$2:A1294,A1294,$B$2:B1294,B1294)=1)</f>
        <v>1</v>
      </c>
      <c r="D1294" t="str">
        <f>检查点拆解!F1294</f>
        <v>D02.01.01</v>
      </c>
      <c r="E1294" s="2">
        <f>--(COUNTIFS($A$2:A1294,A1294,$D$2:D1294,D1294)=1)</f>
        <v>1</v>
      </c>
    </row>
    <row r="1295" spans="1:5">
      <c r="A1295" t="str">
        <f>检查点拆解!A1295</f>
        <v>Q0178</v>
      </c>
      <c r="B1295" t="str">
        <f>检查点拆解!D1295</f>
        <v>C05</v>
      </c>
      <c r="C1295" s="2">
        <f>--(COUNTIFS($A$2:A1295,A1295,$B$2:B1295,B1295)=1)</f>
        <v>1</v>
      </c>
      <c r="D1295" t="str">
        <f>检查点拆解!F1295</f>
        <v>D02.03.01</v>
      </c>
      <c r="E1295" s="2">
        <f>--(COUNTIFS($A$2:A1295,A1295,$D$2:D1295,D1295)=1)</f>
        <v>1</v>
      </c>
    </row>
    <row r="1296" spans="1:5">
      <c r="A1296" t="str">
        <f>检查点拆解!A1296</f>
        <v>Q0179</v>
      </c>
      <c r="B1296" t="str">
        <f>检查点拆解!D1296</f>
        <v>C17</v>
      </c>
      <c r="C1296" s="2">
        <f>--(COUNTIFS($A$2:A1296,A1296,$B$2:B1296,B1296)=1)</f>
        <v>1</v>
      </c>
      <c r="D1296" t="str">
        <f>检查点拆解!F1296</f>
        <v>D06.01.02</v>
      </c>
      <c r="E1296" s="2">
        <f>--(COUNTIFS($A$2:A1296,A1296,$D$2:D1296,D1296)=1)</f>
        <v>1</v>
      </c>
    </row>
    <row r="1297" spans="1:5">
      <c r="A1297" t="str">
        <f>检查点拆解!A1297</f>
        <v>Q0179</v>
      </c>
      <c r="B1297" t="str">
        <f>检查点拆解!D1297</f>
        <v>C04</v>
      </c>
      <c r="C1297" s="2">
        <f>--(COUNTIFS($A$2:A1297,A1297,$B$2:B1297,B1297)=1)</f>
        <v>1</v>
      </c>
      <c r="D1297" t="str">
        <f>检查点拆解!F1297</f>
        <v>D02.02.01</v>
      </c>
      <c r="E1297" s="2">
        <f>--(COUNTIFS($A$2:A1297,A1297,$D$2:D1297,D1297)=1)</f>
        <v>1</v>
      </c>
    </row>
    <row r="1298" spans="1:5">
      <c r="A1298" t="str">
        <f>检查点拆解!A1298</f>
        <v>Q0179</v>
      </c>
      <c r="B1298" t="str">
        <f>检查点拆解!D1298</f>
        <v>C08</v>
      </c>
      <c r="C1298" s="2">
        <f>--(COUNTIFS($A$2:A1298,A1298,$B$2:B1298,B1298)=1)</f>
        <v>1</v>
      </c>
      <c r="D1298" t="str">
        <f>检查点拆解!F1298</f>
        <v>D04.01.01</v>
      </c>
      <c r="E1298" s="2">
        <f>--(COUNTIFS($A$2:A1298,A1298,$D$2:D1298,D1298)=1)</f>
        <v>1</v>
      </c>
    </row>
    <row r="1299" spans="1:5">
      <c r="A1299" t="str">
        <f>检查点拆解!A1299</f>
        <v>Q0179</v>
      </c>
      <c r="B1299" t="str">
        <f>检查点拆解!D1299</f>
        <v>C03</v>
      </c>
      <c r="C1299" s="2">
        <f>--(COUNTIFS($A$2:A1299,A1299,$B$2:B1299,B1299)=1)</f>
        <v>1</v>
      </c>
      <c r="D1299" t="str">
        <f>检查点拆解!F1299</f>
        <v>D02.01.01</v>
      </c>
      <c r="E1299" s="2">
        <f>--(COUNTIFS($A$2:A1299,A1299,$D$2:D1299,D1299)=1)</f>
        <v>1</v>
      </c>
    </row>
    <row r="1300" spans="1:5">
      <c r="A1300" t="str">
        <f>检查点拆解!A1300</f>
        <v>Q0180</v>
      </c>
      <c r="B1300" t="str">
        <f>检查点拆解!D1300</f>
        <v>C30</v>
      </c>
      <c r="C1300" s="2">
        <f>--(COUNTIFS($A$2:A1300,A1300,$B$2:B1300,B1300)=1)</f>
        <v>1</v>
      </c>
      <c r="D1300" t="str">
        <f>检查点拆解!F1300</f>
        <v>D15.01.02</v>
      </c>
      <c r="E1300" s="2">
        <f>--(COUNTIFS($A$2:A1300,A1300,$D$2:D1300,D1300)=1)</f>
        <v>1</v>
      </c>
    </row>
    <row r="1301" spans="1:5">
      <c r="A1301" t="str">
        <f>检查点拆解!A1301</f>
        <v>Q0180</v>
      </c>
      <c r="B1301" t="str">
        <f>检查点拆解!D1301</f>
        <v>C12</v>
      </c>
      <c r="C1301" s="2">
        <f>--(COUNTIFS($A$2:A1301,A1301,$B$2:B1301,B1301)=1)</f>
        <v>1</v>
      </c>
      <c r="D1301" t="str">
        <f>检查点拆解!F1301</f>
        <v>D04.03.03</v>
      </c>
      <c r="E1301" s="2">
        <f>--(COUNTIFS($A$2:A1301,A1301,$D$2:D1301,D1301)=1)</f>
        <v>1</v>
      </c>
    </row>
    <row r="1302" spans="1:5">
      <c r="A1302" t="str">
        <f>检查点拆解!A1302</f>
        <v>Q0180</v>
      </c>
      <c r="B1302" t="str">
        <f>检查点拆解!D1302</f>
        <v>C11</v>
      </c>
      <c r="C1302" s="2">
        <f>--(COUNTIFS($A$2:A1302,A1302,$B$2:B1302,B1302)=1)</f>
        <v>1</v>
      </c>
      <c r="D1302" t="str">
        <f>检查点拆解!F1302</f>
        <v>D04.03.02</v>
      </c>
      <c r="E1302" s="2">
        <f>--(COUNTIFS($A$2:A1302,A1302,$D$2:D1302,D1302)=1)</f>
        <v>1</v>
      </c>
    </row>
    <row r="1303" spans="1:5">
      <c r="A1303" t="str">
        <f>检查点拆解!A1303</f>
        <v>Q0180</v>
      </c>
      <c r="B1303" t="str">
        <f>检查点拆解!D1303</f>
        <v>C23</v>
      </c>
      <c r="C1303" s="2">
        <f>--(COUNTIFS($A$2:A1303,A1303,$B$2:B1303,B1303)=1)</f>
        <v>1</v>
      </c>
      <c r="D1303" t="str">
        <f>检查点拆解!F1303</f>
        <v>D09.01.03</v>
      </c>
      <c r="E1303" s="2">
        <f>--(COUNTIFS($A$2:A1303,A1303,$D$2:D1303,D1303)=1)</f>
        <v>1</v>
      </c>
    </row>
    <row r="1304" spans="1:5">
      <c r="A1304" t="str">
        <f>检查点拆解!A1304</f>
        <v>Q0180</v>
      </c>
      <c r="B1304" t="str">
        <f>检查点拆解!D1304</f>
        <v>C27</v>
      </c>
      <c r="C1304" s="2">
        <f>--(COUNTIFS($A$2:A1304,A1304,$B$2:B1304,B1304)=1)</f>
        <v>1</v>
      </c>
      <c r="D1304" t="str">
        <f>检查点拆解!F1304</f>
        <v>D11.02.02</v>
      </c>
      <c r="E1304" s="2">
        <f>--(COUNTIFS($A$2:A1304,A1304,$D$2:D1304,D1304)=1)</f>
        <v>1</v>
      </c>
    </row>
    <row r="1305" spans="1:5">
      <c r="A1305" t="str">
        <f>检查点拆解!A1305</f>
        <v>Q0180</v>
      </c>
      <c r="B1305" t="str">
        <f>检查点拆解!D1305</f>
        <v>C17</v>
      </c>
      <c r="C1305" s="2">
        <f>--(COUNTIFS($A$2:A1305,A1305,$B$2:B1305,B1305)=1)</f>
        <v>1</v>
      </c>
      <c r="D1305" t="str">
        <f>检查点拆解!F1305</f>
        <v>D06.03.01</v>
      </c>
      <c r="E1305" s="2">
        <f>--(COUNTIFS($A$2:A1305,A1305,$D$2:D1305,D1305)=1)</f>
        <v>1</v>
      </c>
    </row>
    <row r="1306" spans="1:5">
      <c r="A1306" t="str">
        <f>检查点拆解!A1306</f>
        <v>Q0180</v>
      </c>
      <c r="B1306" t="str">
        <f>检查点拆解!D1306</f>
        <v>C27</v>
      </c>
      <c r="C1306" s="2">
        <f>--(COUNTIFS($A$2:A1306,A1306,$B$2:B1306,B1306)=1)</f>
        <v>0</v>
      </c>
      <c r="D1306" t="str">
        <f>检查点拆解!F1306</f>
        <v>D11.02.03</v>
      </c>
      <c r="E1306" s="2">
        <f>--(COUNTIFS($A$2:A1306,A1306,$D$2:D1306,D1306)=1)</f>
        <v>1</v>
      </c>
    </row>
    <row r="1307" spans="1:5">
      <c r="A1307" t="str">
        <f>检查点拆解!A1307</f>
        <v>Q0180</v>
      </c>
      <c r="B1307" t="str">
        <f>检查点拆解!D1307</f>
        <v>C30</v>
      </c>
      <c r="C1307" s="2">
        <f>--(COUNTIFS($A$2:A1307,A1307,$B$2:B1307,B1307)=1)</f>
        <v>0</v>
      </c>
      <c r="D1307" t="str">
        <f>检查点拆解!F1307</f>
        <v>D15.01.03</v>
      </c>
      <c r="E1307" s="2">
        <f>--(COUNTIFS($A$2:A1307,A1307,$D$2:D1307,D1307)=1)</f>
        <v>1</v>
      </c>
    </row>
    <row r="1308" spans="1:5">
      <c r="A1308" t="str">
        <f>检查点拆解!A1308</f>
        <v>Q0180</v>
      </c>
      <c r="B1308" t="str">
        <f>检查点拆解!D1308</f>
        <v>C27</v>
      </c>
      <c r="C1308" s="2">
        <f>--(COUNTIFS($A$2:A1308,A1308,$B$2:B1308,B1308)=1)</f>
        <v>0</v>
      </c>
      <c r="D1308" t="str">
        <f>检查点拆解!F1308</f>
        <v>D11.01.02</v>
      </c>
      <c r="E1308" s="2">
        <f>--(COUNTIFS($A$2:A1308,A1308,$D$2:D1308,D1308)=1)</f>
        <v>1</v>
      </c>
    </row>
    <row r="1309" spans="1:5">
      <c r="A1309" t="str">
        <f>检查点拆解!A1309</f>
        <v>Q0180</v>
      </c>
      <c r="B1309" t="str">
        <f>检查点拆解!D1309</f>
        <v>C25</v>
      </c>
      <c r="C1309" s="2">
        <f>--(COUNTIFS($A$2:A1309,A1309,$B$2:B1309,B1309)=1)</f>
        <v>1</v>
      </c>
      <c r="D1309" t="str">
        <f>检查点拆解!F1309</f>
        <v>D10.01.01</v>
      </c>
      <c r="E1309" s="2">
        <f>--(COUNTIFS($A$2:A1309,A1309,$D$2:D1309,D1309)=1)</f>
        <v>1</v>
      </c>
    </row>
    <row r="1310" spans="1:5">
      <c r="A1310" t="str">
        <f>检查点拆解!A1310</f>
        <v>Q0181</v>
      </c>
      <c r="B1310" t="str">
        <f>检查点拆解!D1310</f>
        <v>C27</v>
      </c>
      <c r="C1310" s="2">
        <f>--(COUNTIFS($A$2:A1310,A1310,$B$2:B1310,B1310)=1)</f>
        <v>1</v>
      </c>
      <c r="D1310" t="str">
        <f>检查点拆解!F1310</f>
        <v>D11.02.03</v>
      </c>
      <c r="E1310" s="2">
        <f>--(COUNTIFS($A$2:A1310,A1310,$D$2:D1310,D1310)=1)</f>
        <v>1</v>
      </c>
    </row>
    <row r="1311" spans="1:5">
      <c r="A1311" t="str">
        <f>检查点拆解!A1311</f>
        <v>Q0181</v>
      </c>
      <c r="B1311" t="str">
        <f>检查点拆解!D1311</f>
        <v>C25</v>
      </c>
      <c r="C1311" s="2">
        <f>--(COUNTIFS($A$2:A1311,A1311,$B$2:B1311,B1311)=1)</f>
        <v>1</v>
      </c>
      <c r="D1311" t="str">
        <f>检查点拆解!F1311</f>
        <v>D10.01.01</v>
      </c>
      <c r="E1311" s="2">
        <f>--(COUNTIFS($A$2:A1311,A1311,$D$2:D1311,D1311)=1)</f>
        <v>1</v>
      </c>
    </row>
    <row r="1312" spans="1:5">
      <c r="A1312" t="str">
        <f>检查点拆解!A1312</f>
        <v>Q0181</v>
      </c>
      <c r="B1312" t="str">
        <f>检查点拆解!D1312</f>
        <v>C28</v>
      </c>
      <c r="C1312" s="2">
        <f>--(COUNTIFS($A$2:A1312,A1312,$B$2:B1312,B1312)=1)</f>
        <v>1</v>
      </c>
      <c r="D1312" t="str">
        <f>检查点拆解!F1312</f>
        <v>D13.01.02</v>
      </c>
      <c r="E1312" s="2">
        <f>--(COUNTIFS($A$2:A1312,A1312,$D$2:D1312,D1312)=1)</f>
        <v>1</v>
      </c>
    </row>
    <row r="1313" spans="1:5">
      <c r="A1313" t="str">
        <f>检查点拆解!A1313</f>
        <v>Q0182</v>
      </c>
      <c r="B1313" t="str">
        <f>检查点拆解!D1313</f>
        <v>C26</v>
      </c>
      <c r="C1313" s="2">
        <f>--(COUNTIFS($A$2:A1313,A1313,$B$2:B1313,B1313)=1)</f>
        <v>1</v>
      </c>
      <c r="D1313" t="str">
        <f>检查点拆解!F1313</f>
        <v>D10.02.01</v>
      </c>
      <c r="E1313" s="2">
        <f>--(COUNTIFS($A$2:A1313,A1313,$D$2:D1313,D1313)=1)</f>
        <v>1</v>
      </c>
    </row>
    <row r="1314" spans="1:5">
      <c r="A1314" t="str">
        <f>检查点拆解!A1314</f>
        <v>Q0182</v>
      </c>
      <c r="B1314" t="str">
        <f>检查点拆解!D1314</f>
        <v>C28</v>
      </c>
      <c r="C1314" s="2">
        <f>--(COUNTIFS($A$2:A1314,A1314,$B$2:B1314,B1314)=1)</f>
        <v>1</v>
      </c>
      <c r="D1314" t="str">
        <f>检查点拆解!F1314</f>
        <v>D12.01.01</v>
      </c>
      <c r="E1314" s="2">
        <f>--(COUNTIFS($A$2:A1314,A1314,$D$2:D1314,D1314)=1)</f>
        <v>1</v>
      </c>
    </row>
    <row r="1315" spans="1:5">
      <c r="A1315" t="str">
        <f>检查点拆解!A1315</f>
        <v>Q0182</v>
      </c>
      <c r="B1315" t="str">
        <f>检查点拆解!D1315</f>
        <v>C03</v>
      </c>
      <c r="C1315" s="2">
        <f>--(COUNTIFS($A$2:A1315,A1315,$B$2:B1315,B1315)=1)</f>
        <v>1</v>
      </c>
      <c r="D1315" t="str">
        <f>检查点拆解!F1315</f>
        <v>D02.01.01</v>
      </c>
      <c r="E1315" s="2">
        <f>--(COUNTIFS($A$2:A1315,A1315,$D$2:D1315,D1315)=1)</f>
        <v>1</v>
      </c>
    </row>
    <row r="1316" spans="1:5">
      <c r="A1316" t="str">
        <f>检查点拆解!A1316</f>
        <v>Q0182</v>
      </c>
      <c r="B1316" t="str">
        <f>检查点拆解!D1316</f>
        <v>C05</v>
      </c>
      <c r="C1316" s="2">
        <f>--(COUNTIFS($A$2:A1316,A1316,$B$2:B1316,B1316)=1)</f>
        <v>1</v>
      </c>
      <c r="D1316" t="str">
        <f>检查点拆解!F1316</f>
        <v>D02.03.02</v>
      </c>
      <c r="E1316" s="2">
        <f>--(COUNTIFS($A$2:A1316,A1316,$D$2:D1316,D1316)=1)</f>
        <v>1</v>
      </c>
    </row>
    <row r="1317" spans="1:5">
      <c r="A1317" t="str">
        <f>检查点拆解!A1317</f>
        <v>Q0182</v>
      </c>
      <c r="B1317" t="str">
        <f>检查点拆解!D1317</f>
        <v>C08</v>
      </c>
      <c r="C1317" s="2">
        <f>--(COUNTIFS($A$2:A1317,A1317,$B$2:B1317,B1317)=1)</f>
        <v>1</v>
      </c>
      <c r="D1317" t="str">
        <f>检查点拆解!F1317</f>
        <v>D03.03.01</v>
      </c>
      <c r="E1317" s="2">
        <f>--(COUNTIFS($A$2:A1317,A1317,$D$2:D1317,D1317)=1)</f>
        <v>1</v>
      </c>
    </row>
    <row r="1318" spans="1:5">
      <c r="A1318" t="str">
        <f>检查点拆解!A1318</f>
        <v>Q0183</v>
      </c>
      <c r="B1318" t="str">
        <f>检查点拆解!D1318</f>
        <v>C28</v>
      </c>
      <c r="C1318" s="2">
        <f>--(COUNTIFS($A$2:A1318,A1318,$B$2:B1318,B1318)=1)</f>
        <v>1</v>
      </c>
      <c r="D1318" t="str">
        <f>检查点拆解!F1318</f>
        <v>D12.01.01</v>
      </c>
      <c r="E1318" s="2">
        <f>--(COUNTIFS($A$2:A1318,A1318,$D$2:D1318,D1318)=1)</f>
        <v>1</v>
      </c>
    </row>
    <row r="1319" spans="1:5">
      <c r="A1319" t="str">
        <f>检查点拆解!A1319</f>
        <v>Q0183</v>
      </c>
      <c r="B1319" t="str">
        <f>检查点拆解!D1319</f>
        <v>C03</v>
      </c>
      <c r="C1319" s="2">
        <f>--(COUNTIFS($A$2:A1319,A1319,$B$2:B1319,B1319)=1)</f>
        <v>1</v>
      </c>
      <c r="D1319" t="str">
        <f>检查点拆解!F1319</f>
        <v>D02.01.01</v>
      </c>
      <c r="E1319" s="2">
        <f>--(COUNTIFS($A$2:A1319,A1319,$D$2:D1319,D1319)=1)</f>
        <v>1</v>
      </c>
    </row>
    <row r="1320" spans="1:5">
      <c r="A1320" t="str">
        <f>检查点拆解!A1320</f>
        <v>Q0183</v>
      </c>
      <c r="B1320" t="str">
        <f>检查点拆解!D1320</f>
        <v>C08</v>
      </c>
      <c r="C1320" s="2">
        <f>--(COUNTIFS($A$2:A1320,A1320,$B$2:B1320,B1320)=1)</f>
        <v>1</v>
      </c>
      <c r="D1320" t="str">
        <f>检查点拆解!F1320</f>
        <v>D03.03.01</v>
      </c>
      <c r="E1320" s="2">
        <f>--(COUNTIFS($A$2:A1320,A1320,$D$2:D1320,D1320)=1)</f>
        <v>1</v>
      </c>
    </row>
    <row r="1321" spans="1:5">
      <c r="A1321" t="str">
        <f>检查点拆解!A1321</f>
        <v>Q0184</v>
      </c>
      <c r="B1321" t="str">
        <f>检查点拆解!D1321</f>
        <v>C30</v>
      </c>
      <c r="C1321" s="2">
        <f>--(COUNTIFS($A$2:A1321,A1321,$B$2:B1321,B1321)=1)</f>
        <v>1</v>
      </c>
      <c r="D1321" t="str">
        <f>检查点拆解!F1321</f>
        <v>D15.02.01</v>
      </c>
      <c r="E1321" s="2">
        <f>--(COUNTIFS($A$2:A1321,A1321,$D$2:D1321,D1321)=1)</f>
        <v>1</v>
      </c>
    </row>
    <row r="1322" spans="1:5">
      <c r="A1322" t="str">
        <f>检查点拆解!A1322</f>
        <v>Q0184</v>
      </c>
      <c r="B1322" t="str">
        <f>检查点拆解!D1322</f>
        <v>C27</v>
      </c>
      <c r="C1322" s="2">
        <f>--(COUNTIFS($A$2:A1322,A1322,$B$2:B1322,B1322)=1)</f>
        <v>1</v>
      </c>
      <c r="D1322" t="str">
        <f>检查点拆解!F1322</f>
        <v>D11.01.01</v>
      </c>
      <c r="E1322" s="2">
        <f>--(COUNTIFS($A$2:A1322,A1322,$D$2:D1322,D1322)=1)</f>
        <v>1</v>
      </c>
    </row>
    <row r="1323" spans="1:5">
      <c r="A1323" t="str">
        <f>检查点拆解!A1323</f>
        <v>Q0184</v>
      </c>
      <c r="B1323" t="str">
        <f>检查点拆解!D1323</f>
        <v>C25</v>
      </c>
      <c r="C1323" s="2">
        <f>--(COUNTIFS($A$2:A1323,A1323,$B$2:B1323,B1323)=1)</f>
        <v>1</v>
      </c>
      <c r="D1323" t="str">
        <f>检查点拆解!F1323</f>
        <v>D10.01.01</v>
      </c>
      <c r="E1323" s="2">
        <f>--(COUNTIFS($A$2:A1323,A1323,$D$2:D1323,D1323)=1)</f>
        <v>1</v>
      </c>
    </row>
    <row r="1324" spans="1:5">
      <c r="A1324" t="str">
        <f>检查点拆解!A1324</f>
        <v>Q0184</v>
      </c>
      <c r="B1324" t="str">
        <f>检查点拆解!D1324</f>
        <v>C26</v>
      </c>
      <c r="C1324" s="2">
        <f>--(COUNTIFS($A$2:A1324,A1324,$B$2:B1324,B1324)=1)</f>
        <v>1</v>
      </c>
      <c r="D1324" t="str">
        <f>检查点拆解!F1324</f>
        <v>D10.02.01</v>
      </c>
      <c r="E1324" s="2">
        <f>--(COUNTIFS($A$2:A1324,A1324,$D$2:D1324,D1324)=1)</f>
        <v>1</v>
      </c>
    </row>
    <row r="1325" spans="1:5">
      <c r="A1325" t="str">
        <f>检查点拆解!A1325</f>
        <v>Q0185</v>
      </c>
      <c r="B1325" t="str">
        <f>检查点拆解!D1325</f>
        <v>C04</v>
      </c>
      <c r="C1325" s="2">
        <f>--(COUNTIFS($A$2:A1325,A1325,$B$2:B1325,B1325)=1)</f>
        <v>1</v>
      </c>
      <c r="D1325" t="str">
        <f>检查点拆解!F1325</f>
        <v>D02.02.01</v>
      </c>
      <c r="E1325" s="2">
        <f>--(COUNTIFS($A$2:A1325,A1325,$D$2:D1325,D1325)=1)</f>
        <v>1</v>
      </c>
    </row>
    <row r="1326" spans="1:5">
      <c r="A1326" t="str">
        <f>检查点拆解!A1326</f>
        <v>Q0185</v>
      </c>
      <c r="B1326" t="str">
        <f>检查点拆解!D1326</f>
        <v>C04</v>
      </c>
      <c r="C1326" s="2">
        <f>--(COUNTIFS($A$2:A1326,A1326,$B$2:B1326,B1326)=1)</f>
        <v>0</v>
      </c>
      <c r="D1326" t="str">
        <f>检查点拆解!F1326</f>
        <v>D02.02.03</v>
      </c>
      <c r="E1326" s="2">
        <f>--(COUNTIFS($A$2:A1326,A1326,$D$2:D1326,D1326)=1)</f>
        <v>1</v>
      </c>
    </row>
    <row r="1327" spans="1:5">
      <c r="A1327" t="str">
        <f>检查点拆解!A1327</f>
        <v>Q0185</v>
      </c>
      <c r="B1327" t="str">
        <f>检查点拆解!D1327</f>
        <v>C03</v>
      </c>
      <c r="C1327" s="2">
        <f>--(COUNTIFS($A$2:A1327,A1327,$B$2:B1327,B1327)=1)</f>
        <v>1</v>
      </c>
      <c r="D1327" t="str">
        <f>检查点拆解!F1327</f>
        <v>D02.01.01</v>
      </c>
      <c r="E1327" s="2">
        <f>--(COUNTIFS($A$2:A1327,A1327,$D$2:D1327,D1327)=1)</f>
        <v>1</v>
      </c>
    </row>
    <row r="1328" spans="1:5">
      <c r="A1328" t="str">
        <f>检查点拆解!A1328</f>
        <v>Q0185</v>
      </c>
      <c r="B1328" t="str">
        <f>检查点拆解!D1328</f>
        <v>C05</v>
      </c>
      <c r="C1328" s="2">
        <f>--(COUNTIFS($A$2:A1328,A1328,$B$2:B1328,B1328)=1)</f>
        <v>1</v>
      </c>
      <c r="D1328" t="str">
        <f>检查点拆解!F1328</f>
        <v>D02.03.02</v>
      </c>
      <c r="E1328" s="2">
        <f>--(COUNTIFS($A$2:A1328,A1328,$D$2:D1328,D1328)=1)</f>
        <v>1</v>
      </c>
    </row>
    <row r="1329" spans="1:5">
      <c r="A1329" t="str">
        <f>检查点拆解!A1329</f>
        <v>Q0186</v>
      </c>
      <c r="B1329" t="str">
        <f>检查点拆解!D1329</f>
        <v>C24</v>
      </c>
      <c r="C1329" s="2">
        <f>--(COUNTIFS($A$2:A1329,A1329,$B$2:B1329,B1329)=1)</f>
        <v>1</v>
      </c>
      <c r="D1329" t="str">
        <f>检查点拆解!F1329</f>
        <v>D09.02.02</v>
      </c>
      <c r="E1329" s="2">
        <f>--(COUNTIFS($A$2:A1329,A1329,$D$2:D1329,D1329)=1)</f>
        <v>1</v>
      </c>
    </row>
    <row r="1330" spans="1:5">
      <c r="A1330" t="str">
        <f>检查点拆解!A1330</f>
        <v>Q0186</v>
      </c>
      <c r="B1330" t="str">
        <f>检查点拆解!D1330</f>
        <v>C27</v>
      </c>
      <c r="C1330" s="2">
        <f>--(COUNTIFS($A$2:A1330,A1330,$B$2:B1330,B1330)=1)</f>
        <v>1</v>
      </c>
      <c r="D1330" t="str">
        <f>检查点拆解!F1330</f>
        <v>D11.01.03</v>
      </c>
      <c r="E1330" s="2">
        <f>--(COUNTIFS($A$2:A1330,A1330,$D$2:D1330,D1330)=1)</f>
        <v>1</v>
      </c>
    </row>
    <row r="1331" spans="1:5">
      <c r="A1331" t="str">
        <f>检查点拆解!A1331</f>
        <v>Q0186</v>
      </c>
      <c r="B1331" t="str">
        <f>检查点拆解!D1331</f>
        <v>C28</v>
      </c>
      <c r="C1331" s="2">
        <f>--(COUNTIFS($A$2:A1331,A1331,$B$2:B1331,B1331)=1)</f>
        <v>1</v>
      </c>
      <c r="D1331" t="str">
        <f>检查点拆解!F1331</f>
        <v>D12.01.02</v>
      </c>
      <c r="E1331" s="2">
        <f>--(COUNTIFS($A$2:A1331,A1331,$D$2:D1331,D1331)=1)</f>
        <v>1</v>
      </c>
    </row>
    <row r="1332" spans="1:5">
      <c r="A1332" t="str">
        <f>检查点拆解!A1332</f>
        <v>Q0186</v>
      </c>
      <c r="B1332" t="str">
        <f>检查点拆解!D1332</f>
        <v>C06</v>
      </c>
      <c r="C1332" s="2">
        <f>--(COUNTIFS($A$2:A1332,A1332,$B$2:B1332,B1332)=1)</f>
        <v>1</v>
      </c>
      <c r="D1332" t="str">
        <f>检查点拆解!F1332</f>
        <v>D03.01.01</v>
      </c>
      <c r="E1332" s="2">
        <f>--(COUNTIFS($A$2:A1332,A1332,$D$2:D1332,D1332)=1)</f>
        <v>1</v>
      </c>
    </row>
    <row r="1333" spans="1:5">
      <c r="A1333" t="str">
        <f>检查点拆解!A1333</f>
        <v>Q0186</v>
      </c>
      <c r="B1333" t="str">
        <f>检查点拆解!D1333</f>
        <v>C03</v>
      </c>
      <c r="C1333" s="2">
        <f>--(COUNTIFS($A$2:A1333,A1333,$B$2:B1333,B1333)=1)</f>
        <v>1</v>
      </c>
      <c r="D1333" t="str">
        <f>检查点拆解!F1333</f>
        <v>D02.01.01</v>
      </c>
      <c r="E1333" s="2">
        <f>--(COUNTIFS($A$2:A1333,A1333,$D$2:D1333,D1333)=1)</f>
        <v>1</v>
      </c>
    </row>
    <row r="1334" spans="1:5">
      <c r="A1334" t="str">
        <f>检查点拆解!A1334</f>
        <v>Q0186</v>
      </c>
      <c r="B1334" t="str">
        <f>检查点拆解!D1334</f>
        <v>C04</v>
      </c>
      <c r="C1334" s="2">
        <f>--(COUNTIFS($A$2:A1334,A1334,$B$2:B1334,B1334)=1)</f>
        <v>1</v>
      </c>
      <c r="D1334" t="str">
        <f>检查点拆解!F1334</f>
        <v>D02.02.02</v>
      </c>
      <c r="E1334" s="2">
        <f>--(COUNTIFS($A$2:A1334,A1334,$D$2:D1334,D1334)=1)</f>
        <v>1</v>
      </c>
    </row>
    <row r="1335" spans="1:5">
      <c r="A1335" t="str">
        <f>检查点拆解!A1335</f>
        <v>Q0187</v>
      </c>
      <c r="B1335" t="str">
        <f>检查点拆解!D1335</f>
        <v>C28</v>
      </c>
      <c r="C1335" s="2">
        <f>--(COUNTIFS($A$2:A1335,A1335,$B$2:B1335,B1335)=1)</f>
        <v>1</v>
      </c>
      <c r="D1335" t="str">
        <f>检查点拆解!F1335</f>
        <v>D12.01.02</v>
      </c>
      <c r="E1335" s="2">
        <f>--(COUNTIFS($A$2:A1335,A1335,$D$2:D1335,D1335)=1)</f>
        <v>1</v>
      </c>
    </row>
    <row r="1336" spans="1:5">
      <c r="A1336" t="str">
        <f>检查点拆解!A1336</f>
        <v>Q0187</v>
      </c>
      <c r="B1336" t="str">
        <f>检查点拆解!D1336</f>
        <v>C03</v>
      </c>
      <c r="C1336" s="2">
        <f>--(COUNTIFS($A$2:A1336,A1336,$B$2:B1336,B1336)=1)</f>
        <v>1</v>
      </c>
      <c r="D1336" t="str">
        <f>检查点拆解!F1336</f>
        <v>D02.01.01</v>
      </c>
      <c r="E1336" s="2">
        <f>--(COUNTIFS($A$2:A1336,A1336,$D$2:D1336,D1336)=1)</f>
        <v>1</v>
      </c>
    </row>
    <row r="1337" spans="1:5">
      <c r="A1337" t="str">
        <f>检查点拆解!A1337</f>
        <v>Q0187</v>
      </c>
      <c r="B1337" t="str">
        <f>检查点拆解!D1337</f>
        <v>C08</v>
      </c>
      <c r="C1337" s="2">
        <f>--(COUNTIFS($A$2:A1337,A1337,$B$2:B1337,B1337)=1)</f>
        <v>1</v>
      </c>
      <c r="D1337" t="str">
        <f>检查点拆解!F1337</f>
        <v>D03.03.01</v>
      </c>
      <c r="E1337" s="2">
        <f>--(COUNTIFS($A$2:A1337,A1337,$D$2:D1337,D1337)=1)</f>
        <v>1</v>
      </c>
    </row>
    <row r="1338" spans="1:5">
      <c r="A1338" t="str">
        <f>检查点拆解!A1338</f>
        <v>Q0188</v>
      </c>
      <c r="B1338" t="str">
        <f>检查点拆解!D1338</f>
        <v>C30</v>
      </c>
      <c r="C1338" s="2">
        <f>--(COUNTIFS($A$2:A1338,A1338,$B$2:B1338,B1338)=1)</f>
        <v>1</v>
      </c>
      <c r="D1338" t="str">
        <f>检查点拆解!F1338</f>
        <v>D15.01.01</v>
      </c>
      <c r="E1338" s="2">
        <f>--(COUNTIFS($A$2:A1338,A1338,$D$2:D1338,D1338)=1)</f>
        <v>1</v>
      </c>
    </row>
    <row r="1339" spans="1:5">
      <c r="A1339" t="str">
        <f>检查点拆解!A1339</f>
        <v>Q0188</v>
      </c>
      <c r="B1339" t="str">
        <f>检查点拆解!D1339</f>
        <v>C24</v>
      </c>
      <c r="C1339" s="2">
        <f>--(COUNTIFS($A$2:A1339,A1339,$B$2:B1339,B1339)=1)</f>
        <v>1</v>
      </c>
      <c r="D1339" t="str">
        <f>检查点拆解!F1339</f>
        <v>D09.02.02</v>
      </c>
      <c r="E1339" s="2">
        <f>--(COUNTIFS($A$2:A1339,A1339,$D$2:D1339,D1339)=1)</f>
        <v>1</v>
      </c>
    </row>
    <row r="1340" spans="1:5">
      <c r="A1340" t="str">
        <f>检查点拆解!A1340</f>
        <v>Q0188</v>
      </c>
      <c r="B1340" t="str">
        <f>检查点拆解!D1340</f>
        <v>C27</v>
      </c>
      <c r="C1340" s="2">
        <f>--(COUNTIFS($A$2:A1340,A1340,$B$2:B1340,B1340)=1)</f>
        <v>1</v>
      </c>
      <c r="D1340" t="str">
        <f>检查点拆解!F1340</f>
        <v>D11.02.01</v>
      </c>
      <c r="E1340" s="2">
        <f>--(COUNTIFS($A$2:A1340,A1340,$D$2:D1340,D1340)=1)</f>
        <v>1</v>
      </c>
    </row>
    <row r="1341" spans="1:5">
      <c r="A1341" t="str">
        <f>检查点拆解!A1341</f>
        <v>Q0188</v>
      </c>
      <c r="B1341" t="str">
        <f>检查点拆解!D1341</f>
        <v>C24</v>
      </c>
      <c r="C1341" s="2">
        <f>--(COUNTIFS($A$2:A1341,A1341,$B$2:B1341,B1341)=1)</f>
        <v>0</v>
      </c>
      <c r="D1341" t="str">
        <f>检查点拆解!F1341</f>
        <v>D09.03.02</v>
      </c>
      <c r="E1341" s="2">
        <f>--(COUNTIFS($A$2:A1341,A1341,$D$2:D1341,D1341)=1)</f>
        <v>1</v>
      </c>
    </row>
    <row r="1342" spans="1:5">
      <c r="A1342" t="str">
        <f>检查点拆解!A1342</f>
        <v>Q0188</v>
      </c>
      <c r="B1342" t="str">
        <f>检查点拆解!D1342</f>
        <v>C24</v>
      </c>
      <c r="C1342" s="2">
        <f>--(COUNTIFS($A$2:A1342,A1342,$B$2:B1342,B1342)=1)</f>
        <v>0</v>
      </c>
      <c r="D1342" t="str">
        <f>检查点拆解!F1342</f>
        <v>D09.02.03</v>
      </c>
      <c r="E1342" s="2">
        <f>--(COUNTIFS($A$2:A1342,A1342,$D$2:D1342,D1342)=1)</f>
        <v>1</v>
      </c>
    </row>
    <row r="1343" spans="1:5">
      <c r="A1343" t="str">
        <f>检查点拆解!A1343</f>
        <v>Q0188</v>
      </c>
      <c r="B1343" t="str">
        <f>检查点拆解!D1343</f>
        <v>C25</v>
      </c>
      <c r="C1343" s="2">
        <f>--(COUNTIFS($A$2:A1343,A1343,$B$2:B1343,B1343)=1)</f>
        <v>1</v>
      </c>
      <c r="D1343" t="str">
        <f>检查点拆解!F1343</f>
        <v>D10.01.01</v>
      </c>
      <c r="E1343" s="2">
        <f>--(COUNTIFS($A$2:A1343,A1343,$D$2:D1343,D1343)=1)</f>
        <v>1</v>
      </c>
    </row>
    <row r="1344" spans="1:5">
      <c r="A1344" t="str">
        <f>检查点拆解!A1344</f>
        <v>Q0189</v>
      </c>
      <c r="B1344" t="str">
        <f>检查点拆解!D1344</f>
        <v>C24</v>
      </c>
      <c r="C1344" s="2">
        <f>--(COUNTIFS($A$2:A1344,A1344,$B$2:B1344,B1344)=1)</f>
        <v>1</v>
      </c>
      <c r="D1344" t="str">
        <f>检查点拆解!F1344</f>
        <v>D09.02.02</v>
      </c>
      <c r="E1344" s="2">
        <f>--(COUNTIFS($A$2:A1344,A1344,$D$2:D1344,D1344)=1)</f>
        <v>1</v>
      </c>
    </row>
    <row r="1345" spans="1:5">
      <c r="A1345" t="str">
        <f>检查点拆解!A1345</f>
        <v>Q0189</v>
      </c>
      <c r="B1345" t="str">
        <f>检查点拆解!D1345</f>
        <v>C24</v>
      </c>
      <c r="C1345" s="2">
        <f>--(COUNTIFS($A$2:A1345,A1345,$B$2:B1345,B1345)=1)</f>
        <v>0</v>
      </c>
      <c r="D1345" t="str">
        <f>检查点拆解!F1345</f>
        <v>D09.02.03</v>
      </c>
      <c r="E1345" s="2">
        <f>--(COUNTIFS($A$2:A1345,A1345,$D$2:D1345,D1345)=1)</f>
        <v>1</v>
      </c>
    </row>
    <row r="1346" spans="1:5">
      <c r="A1346" t="str">
        <f>检查点拆解!A1346</f>
        <v>Q0189</v>
      </c>
      <c r="B1346" t="str">
        <f>检查点拆解!D1346</f>
        <v>C25</v>
      </c>
      <c r="C1346" s="2">
        <f>--(COUNTIFS($A$2:A1346,A1346,$B$2:B1346,B1346)=1)</f>
        <v>1</v>
      </c>
      <c r="D1346" t="str">
        <f>检查点拆解!F1346</f>
        <v>D10.01.01</v>
      </c>
      <c r="E1346" s="2">
        <f>--(COUNTIFS($A$2:A1346,A1346,$D$2:D1346,D1346)=1)</f>
        <v>1</v>
      </c>
    </row>
    <row r="1347" spans="1:5">
      <c r="A1347" t="str">
        <f>检查点拆解!A1347</f>
        <v>Q0189</v>
      </c>
      <c r="B1347" t="str">
        <f>检查点拆解!D1347</f>
        <v>C08</v>
      </c>
      <c r="C1347" s="2">
        <f>--(COUNTIFS($A$2:A1347,A1347,$B$2:B1347,B1347)=1)</f>
        <v>1</v>
      </c>
      <c r="D1347" t="str">
        <f>检查点拆解!F1347</f>
        <v>D04.01.02</v>
      </c>
      <c r="E1347" s="2">
        <f>--(COUNTIFS($A$2:A1347,A1347,$D$2:D1347,D1347)=1)</f>
        <v>1</v>
      </c>
    </row>
    <row r="1348" spans="1:5">
      <c r="A1348" t="str">
        <f>检查点拆解!A1348</f>
        <v>Q0190</v>
      </c>
      <c r="B1348" t="str">
        <f>检查点拆解!D1348</f>
        <v>C27</v>
      </c>
      <c r="C1348" s="2">
        <f>--(COUNTIFS($A$2:A1348,A1348,$B$2:B1348,B1348)=1)</f>
        <v>1</v>
      </c>
      <c r="D1348" t="str">
        <f>检查点拆解!F1348</f>
        <v>D11.01.02</v>
      </c>
      <c r="E1348" s="2">
        <f>--(COUNTIFS($A$2:A1348,A1348,$D$2:D1348,D1348)=1)</f>
        <v>1</v>
      </c>
    </row>
    <row r="1349" spans="1:5">
      <c r="A1349" t="str">
        <f>检查点拆解!A1349</f>
        <v>Q0190</v>
      </c>
      <c r="B1349" t="str">
        <f>检查点拆解!D1349</f>
        <v>C27</v>
      </c>
      <c r="C1349" s="2">
        <f>--(COUNTIFS($A$2:A1349,A1349,$B$2:B1349,B1349)=1)</f>
        <v>0</v>
      </c>
      <c r="D1349" t="str">
        <f>检查点拆解!F1349</f>
        <v>D11.01.01</v>
      </c>
      <c r="E1349" s="2">
        <f>--(COUNTIFS($A$2:A1349,A1349,$D$2:D1349,D1349)=1)</f>
        <v>1</v>
      </c>
    </row>
    <row r="1350" spans="1:5">
      <c r="A1350" t="str">
        <f>检查点拆解!A1350</f>
        <v>Q0191</v>
      </c>
      <c r="B1350" t="str">
        <f>检查点拆解!D1350</f>
        <v>C24</v>
      </c>
      <c r="C1350" s="2">
        <f>--(COUNTIFS($A$2:A1350,A1350,$B$2:B1350,B1350)=1)</f>
        <v>1</v>
      </c>
      <c r="D1350" t="str">
        <f>检查点拆解!F1350</f>
        <v>D09.03.01</v>
      </c>
      <c r="E1350" s="2">
        <f>--(COUNTIFS($A$2:A1350,A1350,$D$2:D1350,D1350)=1)</f>
        <v>1</v>
      </c>
    </row>
    <row r="1351" spans="1:5">
      <c r="A1351" t="str">
        <f>检查点拆解!A1351</f>
        <v>Q0191</v>
      </c>
      <c r="B1351" t="str">
        <f>检查点拆解!D1351</f>
        <v>C23</v>
      </c>
      <c r="C1351" s="2">
        <f>--(COUNTIFS($A$2:A1351,A1351,$B$2:B1351,B1351)=1)</f>
        <v>1</v>
      </c>
      <c r="D1351" t="str">
        <f>检查点拆解!F1351</f>
        <v>D09.01.03</v>
      </c>
      <c r="E1351" s="2">
        <f>--(COUNTIFS($A$2:A1351,A1351,$D$2:D1351,D1351)=1)</f>
        <v>1</v>
      </c>
    </row>
    <row r="1352" spans="1:5">
      <c r="A1352" t="str">
        <f>检查点拆解!A1352</f>
        <v>Q0191</v>
      </c>
      <c r="B1352" t="str">
        <f>检查点拆解!D1352</f>
        <v>C17</v>
      </c>
      <c r="C1352" s="2">
        <f>--(COUNTIFS($A$2:A1352,A1352,$B$2:B1352,B1352)=1)</f>
        <v>1</v>
      </c>
      <c r="D1352" t="str">
        <f>检查点拆解!F1352</f>
        <v>D06.03.01</v>
      </c>
      <c r="E1352" s="2">
        <f>--(COUNTIFS($A$2:A1352,A1352,$D$2:D1352,D1352)=1)</f>
        <v>1</v>
      </c>
    </row>
    <row r="1353" spans="1:5">
      <c r="A1353" t="str">
        <f>检查点拆解!A1353</f>
        <v>Q0191</v>
      </c>
      <c r="B1353" t="str">
        <f>检查点拆解!D1353</f>
        <v>C27</v>
      </c>
      <c r="C1353" s="2">
        <f>--(COUNTIFS($A$2:A1353,A1353,$B$2:B1353,B1353)=1)</f>
        <v>1</v>
      </c>
      <c r="D1353" t="str">
        <f>检查点拆解!F1353</f>
        <v>D11.02.03</v>
      </c>
      <c r="E1353" s="2">
        <f>--(COUNTIFS($A$2:A1353,A1353,$D$2:D1353,D1353)=1)</f>
        <v>1</v>
      </c>
    </row>
    <row r="1354" spans="1:5">
      <c r="A1354" t="str">
        <f>检查点拆解!A1354</f>
        <v>Q0191</v>
      </c>
      <c r="B1354" t="str">
        <f>检查点拆解!D1354</f>
        <v>C15</v>
      </c>
      <c r="C1354" s="2">
        <f>--(COUNTIFS($A$2:A1354,A1354,$B$2:B1354,B1354)=1)</f>
        <v>1</v>
      </c>
      <c r="D1354" t="str">
        <f>检查点拆解!F1354</f>
        <v>D05.02.03</v>
      </c>
      <c r="E1354" s="2">
        <f>--(COUNTIFS($A$2:A1354,A1354,$D$2:D1354,D1354)=1)</f>
        <v>1</v>
      </c>
    </row>
    <row r="1355" spans="1:5">
      <c r="A1355" t="str">
        <f>检查点拆解!A1355</f>
        <v>Q0191</v>
      </c>
      <c r="B1355" t="str">
        <f>检查点拆解!D1355</f>
        <v>C24</v>
      </c>
      <c r="C1355" s="2">
        <f>--(COUNTIFS($A$2:A1355,A1355,$B$2:B1355,B1355)=1)</f>
        <v>0</v>
      </c>
      <c r="D1355" t="str">
        <f>检查点拆解!F1355</f>
        <v>D09.03.03</v>
      </c>
      <c r="E1355" s="2">
        <f>--(COUNTIFS($A$2:A1355,A1355,$D$2:D1355,D1355)=1)</f>
        <v>1</v>
      </c>
    </row>
    <row r="1356" spans="1:5">
      <c r="A1356" t="str">
        <f>检查点拆解!A1356</f>
        <v>Q0191</v>
      </c>
      <c r="B1356" t="str">
        <f>检查点拆解!D1356</f>
        <v>C24</v>
      </c>
      <c r="C1356" s="2">
        <f>--(COUNTIFS($A$2:A1356,A1356,$B$2:B1356,B1356)=1)</f>
        <v>0</v>
      </c>
      <c r="D1356" t="str">
        <f>检查点拆解!F1356</f>
        <v>D09.02.03</v>
      </c>
      <c r="E1356" s="2">
        <f>--(COUNTIFS($A$2:A1356,A1356,$D$2:D1356,D1356)=1)</f>
        <v>1</v>
      </c>
    </row>
    <row r="1357" spans="1:5">
      <c r="A1357" t="str">
        <f>检查点拆解!A1357</f>
        <v>Q0191</v>
      </c>
      <c r="B1357" t="str">
        <f>检查点拆解!D1357</f>
        <v>C16</v>
      </c>
      <c r="C1357" s="2">
        <f>--(COUNTIFS($A$2:A1357,A1357,$B$2:B1357,B1357)=1)</f>
        <v>1</v>
      </c>
      <c r="D1357" t="str">
        <f>检查点拆解!F1357</f>
        <v>D05.02.04</v>
      </c>
      <c r="E1357" s="2">
        <f>--(COUNTIFS($A$2:A1357,A1357,$D$2:D1357,D1357)=1)</f>
        <v>1</v>
      </c>
    </row>
    <row r="1358" spans="1:5">
      <c r="A1358" t="str">
        <f>检查点拆解!A1358</f>
        <v>Q0191</v>
      </c>
      <c r="B1358" t="str">
        <f>检查点拆解!D1358</f>
        <v>C25</v>
      </c>
      <c r="C1358" s="2">
        <f>--(COUNTIFS($A$2:A1358,A1358,$B$2:B1358,B1358)=1)</f>
        <v>1</v>
      </c>
      <c r="D1358" t="str">
        <f>检查点拆解!F1358</f>
        <v>D10.01.01</v>
      </c>
      <c r="E1358" s="2">
        <f>--(COUNTIFS($A$2:A1358,A1358,$D$2:D1358,D1358)=1)</f>
        <v>1</v>
      </c>
    </row>
    <row r="1359" spans="1:5">
      <c r="A1359" t="str">
        <f>检查点拆解!A1359</f>
        <v>Q0191</v>
      </c>
      <c r="B1359" t="str">
        <f>检查点拆解!D1359</f>
        <v>C30</v>
      </c>
      <c r="C1359" s="2">
        <f>--(COUNTIFS($A$2:A1359,A1359,$B$2:B1359,B1359)=1)</f>
        <v>1</v>
      </c>
      <c r="D1359" t="str">
        <f>检查点拆解!F1359</f>
        <v>D15.01.04</v>
      </c>
      <c r="E1359" s="2">
        <f>--(COUNTIFS($A$2:A1359,A1359,$D$2:D1359,D1359)=1)</f>
        <v>1</v>
      </c>
    </row>
    <row r="1360" spans="1:5">
      <c r="A1360" t="str">
        <f>检查点拆解!A1360</f>
        <v>Q0191</v>
      </c>
      <c r="B1360" t="str">
        <f>检查点拆解!D1360</f>
        <v>C28</v>
      </c>
      <c r="C1360" s="2">
        <f>--(COUNTIFS($A$2:A1360,A1360,$B$2:B1360,B1360)=1)</f>
        <v>1</v>
      </c>
      <c r="D1360" t="str">
        <f>检查点拆解!F1360</f>
        <v>D12.02.01</v>
      </c>
      <c r="E1360" s="2">
        <f>--(COUNTIFS($A$2:A1360,A1360,$D$2:D1360,D1360)=1)</f>
        <v>1</v>
      </c>
    </row>
    <row r="1361" spans="1:5">
      <c r="A1361" t="str">
        <f>检查点拆解!A1361</f>
        <v>Q0191</v>
      </c>
      <c r="B1361" t="str">
        <f>检查点拆解!D1361</f>
        <v>C26</v>
      </c>
      <c r="C1361" s="2">
        <f>--(COUNTIFS($A$2:A1361,A1361,$B$2:B1361,B1361)=1)</f>
        <v>1</v>
      </c>
      <c r="D1361" t="str">
        <f>检查点拆解!F1361</f>
        <v>D10.02.01</v>
      </c>
      <c r="E1361" s="2">
        <f>--(COUNTIFS($A$2:A1361,A1361,$D$2:D1361,D1361)=1)</f>
        <v>1</v>
      </c>
    </row>
    <row r="1362" spans="1:5">
      <c r="A1362" t="str">
        <f>检查点拆解!A1362</f>
        <v>Q0192</v>
      </c>
      <c r="B1362" t="str">
        <f>检查点拆解!D1362</f>
        <v>C24</v>
      </c>
      <c r="C1362" s="2">
        <f>--(COUNTIFS($A$2:A1362,A1362,$B$2:B1362,B1362)=1)</f>
        <v>1</v>
      </c>
      <c r="D1362" t="str">
        <f>检查点拆解!F1362</f>
        <v>D09.03.01</v>
      </c>
      <c r="E1362" s="2">
        <f>--(COUNTIFS($A$2:A1362,A1362,$D$2:D1362,D1362)=1)</f>
        <v>1</v>
      </c>
    </row>
    <row r="1363" spans="1:5">
      <c r="A1363" t="str">
        <f>检查点拆解!A1363</f>
        <v>Q0192</v>
      </c>
      <c r="B1363" t="str">
        <f>检查点拆解!D1363</f>
        <v>C30</v>
      </c>
      <c r="C1363" s="2">
        <f>--(COUNTIFS($A$2:A1363,A1363,$B$2:B1363,B1363)=1)</f>
        <v>1</v>
      </c>
      <c r="D1363" t="str">
        <f>检查点拆解!F1363</f>
        <v>D15.01.02</v>
      </c>
      <c r="E1363" s="2">
        <f>--(COUNTIFS($A$2:A1363,A1363,$D$2:D1363,D1363)=1)</f>
        <v>1</v>
      </c>
    </row>
    <row r="1364" spans="1:5">
      <c r="A1364" t="str">
        <f>检查点拆解!A1364</f>
        <v>Q0192</v>
      </c>
      <c r="B1364" t="str">
        <f>检查点拆解!D1364</f>
        <v>C12</v>
      </c>
      <c r="C1364" s="2">
        <f>--(COUNTIFS($A$2:A1364,A1364,$B$2:B1364,B1364)=1)</f>
        <v>1</v>
      </c>
      <c r="D1364" t="str">
        <f>检查点拆解!F1364</f>
        <v>D04.03.04</v>
      </c>
      <c r="E1364" s="2">
        <f>--(COUNTIFS($A$2:A1364,A1364,$D$2:D1364,D1364)=1)</f>
        <v>1</v>
      </c>
    </row>
    <row r="1365" spans="1:5">
      <c r="A1365" t="str">
        <f>检查点拆解!A1365</f>
        <v>Q0192</v>
      </c>
      <c r="B1365" t="str">
        <f>检查点拆解!D1365</f>
        <v>C30</v>
      </c>
      <c r="C1365" s="2">
        <f>--(COUNTIFS($A$2:A1365,A1365,$B$2:B1365,B1365)=1)</f>
        <v>0</v>
      </c>
      <c r="D1365" t="str">
        <f>检查点拆解!F1365</f>
        <v>D15.01.03</v>
      </c>
      <c r="E1365" s="2">
        <f>--(COUNTIFS($A$2:A1365,A1365,$D$2:D1365,D1365)=1)</f>
        <v>1</v>
      </c>
    </row>
    <row r="1366" spans="1:5">
      <c r="A1366" t="str">
        <f>检查点拆解!A1366</f>
        <v>Q0192</v>
      </c>
      <c r="B1366" t="str">
        <f>检查点拆解!D1366</f>
        <v>C27</v>
      </c>
      <c r="C1366" s="2">
        <f>--(COUNTIFS($A$2:A1366,A1366,$B$2:B1366,B1366)=1)</f>
        <v>1</v>
      </c>
      <c r="D1366" t="str">
        <f>检查点拆解!F1366</f>
        <v>D11.01.02</v>
      </c>
      <c r="E1366" s="2">
        <f>--(COUNTIFS($A$2:A1366,A1366,$D$2:D1366,D1366)=1)</f>
        <v>1</v>
      </c>
    </row>
    <row r="1367" spans="1:5">
      <c r="A1367" t="str">
        <f>检查点拆解!A1367</f>
        <v>Q0192</v>
      </c>
      <c r="B1367" t="str">
        <f>检查点拆解!D1367</f>
        <v>C24</v>
      </c>
      <c r="C1367" s="2">
        <f>--(COUNTIFS($A$2:A1367,A1367,$B$2:B1367,B1367)=1)</f>
        <v>0</v>
      </c>
      <c r="D1367" t="str">
        <f>检查点拆解!F1367</f>
        <v>D09.03.03</v>
      </c>
      <c r="E1367" s="2">
        <f>--(COUNTIFS($A$2:A1367,A1367,$D$2:D1367,D1367)=1)</f>
        <v>1</v>
      </c>
    </row>
    <row r="1368" spans="1:5">
      <c r="A1368" t="str">
        <f>检查点拆解!A1368</f>
        <v>Q0192</v>
      </c>
      <c r="B1368" t="str">
        <f>检查点拆解!D1368</f>
        <v>C06</v>
      </c>
      <c r="C1368" s="2">
        <f>--(COUNTIFS($A$2:A1368,A1368,$B$2:B1368,B1368)=1)</f>
        <v>1</v>
      </c>
      <c r="D1368" t="str">
        <f>检查点拆解!F1368</f>
        <v>D03.01.03</v>
      </c>
      <c r="E1368" s="2">
        <f>--(COUNTIFS($A$2:A1368,A1368,$D$2:D1368,D1368)=1)</f>
        <v>1</v>
      </c>
    </row>
    <row r="1369" spans="1:5">
      <c r="A1369" t="str">
        <f>检查点拆解!A1369</f>
        <v>Q0192</v>
      </c>
      <c r="B1369" t="str">
        <f>检查点拆解!D1369</f>
        <v>C24</v>
      </c>
      <c r="C1369" s="2">
        <f>--(COUNTIFS($A$2:A1369,A1369,$B$2:B1369,B1369)=1)</f>
        <v>0</v>
      </c>
      <c r="D1369" t="str">
        <f>检查点拆解!F1369</f>
        <v>D09.02.01</v>
      </c>
      <c r="E1369" s="2">
        <f>--(COUNTIFS($A$2:A1369,A1369,$D$2:D1369,D1369)=1)</f>
        <v>1</v>
      </c>
    </row>
    <row r="1370" spans="1:5">
      <c r="A1370" t="str">
        <f>检查点拆解!A1370</f>
        <v>Q0192</v>
      </c>
      <c r="B1370" t="str">
        <f>检查点拆解!D1370</f>
        <v>C25</v>
      </c>
      <c r="C1370" s="2">
        <f>--(COUNTIFS($A$2:A1370,A1370,$B$2:B1370,B1370)=1)</f>
        <v>1</v>
      </c>
      <c r="D1370" t="str">
        <f>检查点拆解!F1370</f>
        <v>D10.01.01</v>
      </c>
      <c r="E1370" s="2">
        <f>--(COUNTIFS($A$2:A1370,A1370,$D$2:D1370,D1370)=1)</f>
        <v>1</v>
      </c>
    </row>
    <row r="1371" spans="1:5">
      <c r="A1371" t="str">
        <f>检查点拆解!A1371</f>
        <v>Q0192</v>
      </c>
      <c r="B1371" t="str">
        <f>检查点拆解!D1371</f>
        <v>C09</v>
      </c>
      <c r="C1371" s="2">
        <f>--(COUNTIFS($A$2:A1371,A1371,$B$2:B1371,B1371)=1)</f>
        <v>1</v>
      </c>
      <c r="D1371" t="str">
        <f>检查点拆解!F1371</f>
        <v>D04.02.02</v>
      </c>
      <c r="E1371" s="2">
        <f>--(COUNTIFS($A$2:A1371,A1371,$D$2:D1371,D1371)=1)</f>
        <v>1</v>
      </c>
    </row>
    <row r="1372" spans="1:5">
      <c r="A1372" t="str">
        <f>检查点拆解!A1372</f>
        <v>Q0192</v>
      </c>
      <c r="B1372" t="str">
        <f>检查点拆解!D1372</f>
        <v>C30</v>
      </c>
      <c r="C1372" s="2">
        <f>--(COUNTIFS($A$2:A1372,A1372,$B$2:B1372,B1372)=1)</f>
        <v>0</v>
      </c>
      <c r="D1372" t="str">
        <f>检查点拆解!F1372</f>
        <v>D15.01.04</v>
      </c>
      <c r="E1372" s="2">
        <f>--(COUNTIFS($A$2:A1372,A1372,$D$2:D1372,D1372)=1)</f>
        <v>1</v>
      </c>
    </row>
    <row r="1373" spans="1:5">
      <c r="A1373" t="str">
        <f>检查点拆解!A1373</f>
        <v>Q0192</v>
      </c>
      <c r="B1373" t="str">
        <f>检查点拆解!D1373</f>
        <v>C06</v>
      </c>
      <c r="C1373" s="2">
        <f>--(COUNTIFS($A$2:A1373,A1373,$B$2:B1373,B1373)=1)</f>
        <v>0</v>
      </c>
      <c r="D1373" t="str">
        <f>检查点拆解!F1373</f>
        <v>D03.01.02</v>
      </c>
      <c r="E1373" s="2">
        <f>--(COUNTIFS($A$2:A1373,A1373,$D$2:D1373,D1373)=1)</f>
        <v>1</v>
      </c>
    </row>
    <row r="1374" spans="1:5">
      <c r="A1374" t="str">
        <f>检查点拆解!A1374</f>
        <v>Q0193</v>
      </c>
      <c r="B1374" t="str">
        <f>检查点拆解!D1374</f>
        <v>C29</v>
      </c>
      <c r="C1374" s="2">
        <f>--(COUNTIFS($A$2:A1374,A1374,$B$2:B1374,B1374)=1)</f>
        <v>1</v>
      </c>
      <c r="D1374" t="str">
        <f>检查点拆解!F1374</f>
        <v>D14.02.01</v>
      </c>
      <c r="E1374" s="2">
        <f>--(COUNTIFS($A$2:A1374,A1374,$D$2:D1374,D1374)=1)</f>
        <v>1</v>
      </c>
    </row>
    <row r="1375" spans="1:5">
      <c r="A1375" t="str">
        <f>检查点拆解!A1375</f>
        <v>Q0193</v>
      </c>
      <c r="B1375" t="str">
        <f>检查点拆解!D1375</f>
        <v>C23</v>
      </c>
      <c r="C1375" s="2">
        <f>--(COUNTIFS($A$2:A1375,A1375,$B$2:B1375,B1375)=1)</f>
        <v>1</v>
      </c>
      <c r="D1375" t="str">
        <f>检查点拆解!F1375</f>
        <v>D09.01.03</v>
      </c>
      <c r="E1375" s="2">
        <f>--(COUNTIFS($A$2:A1375,A1375,$D$2:D1375,D1375)=1)</f>
        <v>1</v>
      </c>
    </row>
    <row r="1376" spans="1:5">
      <c r="A1376" t="str">
        <f>检查点拆解!A1376</f>
        <v>Q0193</v>
      </c>
      <c r="B1376" t="str">
        <f>检查点拆解!D1376</f>
        <v>C12</v>
      </c>
      <c r="C1376" s="2">
        <f>--(COUNTIFS($A$2:A1376,A1376,$B$2:B1376,B1376)=1)</f>
        <v>1</v>
      </c>
      <c r="D1376" t="str">
        <f>检查点拆解!F1376</f>
        <v>D04.03.04</v>
      </c>
      <c r="E1376" s="2">
        <f>--(COUNTIFS($A$2:A1376,A1376,$D$2:D1376,D1376)=1)</f>
        <v>1</v>
      </c>
    </row>
    <row r="1377" spans="1:5">
      <c r="A1377" t="str">
        <f>检查点拆解!A1377</f>
        <v>Q0193</v>
      </c>
      <c r="B1377" t="str">
        <f>检查点拆解!D1377</f>
        <v>C27</v>
      </c>
      <c r="C1377" s="2">
        <f>--(COUNTIFS($A$2:A1377,A1377,$B$2:B1377,B1377)=1)</f>
        <v>1</v>
      </c>
      <c r="D1377" t="str">
        <f>检查点拆解!F1377</f>
        <v>D11.02.03</v>
      </c>
      <c r="E1377" s="2">
        <f>--(COUNTIFS($A$2:A1377,A1377,$D$2:D1377,D1377)=1)</f>
        <v>1</v>
      </c>
    </row>
    <row r="1378" spans="1:5">
      <c r="A1378" t="str">
        <f>检查点拆解!A1378</f>
        <v>Q0193</v>
      </c>
      <c r="B1378" t="str">
        <f>检查点拆解!D1378</f>
        <v>C27</v>
      </c>
      <c r="C1378" s="2">
        <f>--(COUNTIFS($A$2:A1378,A1378,$B$2:B1378,B1378)=1)</f>
        <v>0</v>
      </c>
      <c r="D1378" t="str">
        <f>检查点拆解!F1378</f>
        <v>D11.01.02</v>
      </c>
      <c r="E1378" s="2">
        <f>--(COUNTIFS($A$2:A1378,A1378,$D$2:D1378,D1378)=1)</f>
        <v>1</v>
      </c>
    </row>
    <row r="1379" spans="1:5">
      <c r="A1379" t="str">
        <f>检查点拆解!A1379</f>
        <v>Q0193</v>
      </c>
      <c r="B1379" t="str">
        <f>检查点拆解!D1379</f>
        <v>C24</v>
      </c>
      <c r="C1379" s="2">
        <f>--(COUNTIFS($A$2:A1379,A1379,$B$2:B1379,B1379)=1)</f>
        <v>1</v>
      </c>
      <c r="D1379" t="str">
        <f>检查点拆解!F1379</f>
        <v>D09.03.03</v>
      </c>
      <c r="E1379" s="2">
        <f>--(COUNTIFS($A$2:A1379,A1379,$D$2:D1379,D1379)=1)</f>
        <v>1</v>
      </c>
    </row>
    <row r="1380" spans="1:5">
      <c r="A1380" t="str">
        <f>检查点拆解!A1380</f>
        <v>Q0193</v>
      </c>
      <c r="B1380" t="str">
        <f>检查点拆解!D1380</f>
        <v>C24</v>
      </c>
      <c r="C1380" s="2">
        <f>--(COUNTIFS($A$2:A1380,A1380,$B$2:B1380,B1380)=1)</f>
        <v>0</v>
      </c>
      <c r="D1380" t="str">
        <f>检查点拆解!F1380</f>
        <v>D09.02.01</v>
      </c>
      <c r="E1380" s="2">
        <f>--(COUNTIFS($A$2:A1380,A1380,$D$2:D1380,D1380)=1)</f>
        <v>1</v>
      </c>
    </row>
    <row r="1381" spans="1:5">
      <c r="A1381" t="str">
        <f>检查点拆解!A1381</f>
        <v>Q0193</v>
      </c>
      <c r="B1381" t="str">
        <f>检查点拆解!D1381</f>
        <v>C25</v>
      </c>
      <c r="C1381" s="2">
        <f>--(COUNTIFS($A$2:A1381,A1381,$B$2:B1381,B1381)=1)</f>
        <v>1</v>
      </c>
      <c r="D1381" t="str">
        <f>检查点拆解!F1381</f>
        <v>D10.01.01</v>
      </c>
      <c r="E1381" s="2">
        <f>--(COUNTIFS($A$2:A1381,A1381,$D$2:D1381,D1381)=1)</f>
        <v>1</v>
      </c>
    </row>
    <row r="1382" spans="1:5">
      <c r="A1382" t="str">
        <f>检查点拆解!A1382</f>
        <v>Q0193</v>
      </c>
      <c r="B1382" t="str">
        <f>检查点拆解!D1382</f>
        <v>C09</v>
      </c>
      <c r="C1382" s="2">
        <f>--(COUNTIFS($A$2:A1382,A1382,$B$2:B1382,B1382)=1)</f>
        <v>1</v>
      </c>
      <c r="D1382" t="str">
        <f>检查点拆解!F1382</f>
        <v>D04.02.02</v>
      </c>
      <c r="E1382" s="2">
        <f>--(COUNTIFS($A$2:A1382,A1382,$D$2:D1382,D1382)=1)</f>
        <v>1</v>
      </c>
    </row>
    <row r="1383" spans="1:5">
      <c r="A1383" t="str">
        <f>检查点拆解!A1383</f>
        <v>Q0193</v>
      </c>
      <c r="B1383" t="str">
        <f>检查点拆解!D1383</f>
        <v>C25</v>
      </c>
      <c r="C1383" s="2">
        <f>--(COUNTIFS($A$2:A1383,A1383,$B$2:B1383,B1383)=1)</f>
        <v>0</v>
      </c>
      <c r="D1383" t="str">
        <f>检查点拆解!F1383</f>
        <v>D10.01.02</v>
      </c>
      <c r="E1383" s="2">
        <f>--(COUNTIFS($A$2:A1383,A1383,$D$2:D1383,D1383)=1)</f>
        <v>1</v>
      </c>
    </row>
    <row r="1384" spans="1:5">
      <c r="A1384" t="str">
        <f>检查点拆解!A1384</f>
        <v>Q0193</v>
      </c>
      <c r="B1384" t="str">
        <f>检查点拆解!D1384</f>
        <v>C06</v>
      </c>
      <c r="C1384" s="2">
        <f>--(COUNTIFS($A$2:A1384,A1384,$B$2:B1384,B1384)=1)</f>
        <v>1</v>
      </c>
      <c r="D1384" t="str">
        <f>检查点拆解!F1384</f>
        <v>D03.01.02</v>
      </c>
      <c r="E1384" s="2">
        <f>--(COUNTIFS($A$2:A1384,A1384,$D$2:D1384,D1384)=1)</f>
        <v>1</v>
      </c>
    </row>
    <row r="1385" spans="1:5">
      <c r="A1385" t="str">
        <f>检查点拆解!A1385</f>
        <v>Q0193</v>
      </c>
      <c r="B1385" t="str">
        <f>检查点拆解!D1385</f>
        <v>C23</v>
      </c>
      <c r="C1385" s="2">
        <f>--(COUNTIFS($A$2:A1385,A1385,$B$2:B1385,B1385)=1)</f>
        <v>0</v>
      </c>
      <c r="D1385" t="str">
        <f>检查点拆解!F1385</f>
        <v>D09.01.01</v>
      </c>
      <c r="E1385" s="2">
        <f>--(COUNTIFS($A$2:A1385,A1385,$D$2:D1385,D1385)=1)</f>
        <v>1</v>
      </c>
    </row>
    <row r="1386" spans="1:5">
      <c r="A1386" t="str">
        <f>检查点拆解!A1386</f>
        <v>Q0194</v>
      </c>
      <c r="B1386" t="str">
        <f>检查点拆解!D1386</f>
        <v>C28</v>
      </c>
      <c r="C1386" s="2">
        <f>--(COUNTIFS($A$2:A1386,A1386,$B$2:B1386,B1386)=1)</f>
        <v>1</v>
      </c>
      <c r="D1386" t="str">
        <f>检查点拆解!F1386</f>
        <v>D12.02.02</v>
      </c>
      <c r="E1386" s="2">
        <f>--(COUNTIFS($A$2:A1386,A1386,$D$2:D1386,D1386)=1)</f>
        <v>1</v>
      </c>
    </row>
    <row r="1387" spans="1:5">
      <c r="A1387" t="str">
        <f>检查点拆解!A1387</f>
        <v>Q0194</v>
      </c>
      <c r="B1387" t="str">
        <f>检查点拆解!D1387</f>
        <v>C28</v>
      </c>
      <c r="C1387" s="2">
        <f>--(COUNTIFS($A$2:A1387,A1387,$B$2:B1387,B1387)=1)</f>
        <v>0</v>
      </c>
      <c r="D1387" t="str">
        <f>检查点拆解!F1387</f>
        <v>D12.01.01</v>
      </c>
      <c r="E1387" s="2">
        <f>--(COUNTIFS($A$2:A1387,A1387,$D$2:D1387,D1387)=1)</f>
        <v>1</v>
      </c>
    </row>
    <row r="1388" spans="1:5">
      <c r="A1388" t="str">
        <f>检查点拆解!A1388</f>
        <v>Q0195</v>
      </c>
      <c r="B1388" t="str">
        <f>检查点拆解!D1388</f>
        <v>C29</v>
      </c>
      <c r="C1388" s="2">
        <f>--(COUNTIFS($A$2:A1388,A1388,$B$2:B1388,B1388)=1)</f>
        <v>1</v>
      </c>
      <c r="D1388" t="str">
        <f>检查点拆解!F1388</f>
        <v>D14.01.02</v>
      </c>
      <c r="E1388" s="2">
        <f>--(COUNTIFS($A$2:A1388,A1388,$D$2:D1388,D1388)=1)</f>
        <v>1</v>
      </c>
    </row>
    <row r="1389" spans="1:5">
      <c r="A1389" t="str">
        <f>检查点拆解!A1389</f>
        <v>Q0195</v>
      </c>
      <c r="B1389" t="str">
        <f>检查点拆解!D1389</f>
        <v>C19</v>
      </c>
      <c r="C1389" s="2">
        <f>--(COUNTIFS($A$2:A1389,A1389,$B$2:B1389,B1389)=1)</f>
        <v>1</v>
      </c>
      <c r="D1389" t="str">
        <f>检查点拆解!F1389</f>
        <v>D07.02.02</v>
      </c>
      <c r="E1389" s="2">
        <f>--(COUNTIFS($A$2:A1389,A1389,$D$2:D1389,D1389)=1)</f>
        <v>1</v>
      </c>
    </row>
    <row r="1390" spans="1:5">
      <c r="A1390" t="str">
        <f>检查点拆解!A1390</f>
        <v>Q0195</v>
      </c>
      <c r="B1390" t="str">
        <f>检查点拆解!D1390</f>
        <v>C14</v>
      </c>
      <c r="C1390" s="2">
        <f>--(COUNTIFS($A$2:A1390,A1390,$B$2:B1390,B1390)=1)</f>
        <v>1</v>
      </c>
      <c r="D1390" t="str">
        <f>检查点拆解!F1390</f>
        <v>D05.01.01</v>
      </c>
      <c r="E1390" s="2">
        <f>--(COUNTIFS($A$2:A1390,A1390,$D$2:D1390,D1390)=1)</f>
        <v>1</v>
      </c>
    </row>
    <row r="1391" spans="1:5">
      <c r="A1391" t="str">
        <f>检查点拆解!A1391</f>
        <v>Q0195</v>
      </c>
      <c r="B1391" t="str">
        <f>检查点拆解!D1391</f>
        <v>C04</v>
      </c>
      <c r="C1391" s="2">
        <f>--(COUNTIFS($A$2:A1391,A1391,$B$2:B1391,B1391)=1)</f>
        <v>1</v>
      </c>
      <c r="D1391" t="str">
        <f>检查点拆解!F1391</f>
        <v>D02.02.02</v>
      </c>
      <c r="E1391" s="2">
        <f>--(COUNTIFS($A$2:A1391,A1391,$D$2:D1391,D1391)=1)</f>
        <v>1</v>
      </c>
    </row>
    <row r="1392" spans="1:5">
      <c r="A1392" t="str">
        <f>检查点拆解!A1392</f>
        <v>Q0196</v>
      </c>
      <c r="B1392" t="str">
        <f>检查点拆解!D1392</f>
        <v>C20</v>
      </c>
      <c r="C1392" s="2">
        <f>--(COUNTIFS($A$2:A1392,A1392,$B$2:B1392,B1392)=1)</f>
        <v>1</v>
      </c>
      <c r="D1392" t="str">
        <f>检查点拆解!F1392</f>
        <v>D07.02.04</v>
      </c>
      <c r="E1392" s="2">
        <f>--(COUNTIFS($A$2:A1392,A1392,$D$2:D1392,D1392)=1)</f>
        <v>1</v>
      </c>
    </row>
    <row r="1393" spans="1:5">
      <c r="A1393" t="str">
        <f>检查点拆解!A1393</f>
        <v>Q0196</v>
      </c>
      <c r="B1393" t="str">
        <f>检查点拆解!D1393</f>
        <v>C18</v>
      </c>
      <c r="C1393" s="2">
        <f>--(COUNTIFS($A$2:A1393,A1393,$B$2:B1393,B1393)=1)</f>
        <v>1</v>
      </c>
      <c r="D1393" t="str">
        <f>检查点拆解!F1393</f>
        <v>D07.01.03</v>
      </c>
      <c r="E1393" s="2">
        <f>--(COUNTIFS($A$2:A1393,A1393,$D$2:D1393,D1393)=1)</f>
        <v>1</v>
      </c>
    </row>
    <row r="1394" spans="1:5">
      <c r="A1394" t="str">
        <f>检查点拆解!A1394</f>
        <v>Q0196</v>
      </c>
      <c r="B1394" t="str">
        <f>检查点拆解!D1394</f>
        <v>C24</v>
      </c>
      <c r="C1394" s="2">
        <f>--(COUNTIFS($A$2:A1394,A1394,$B$2:B1394,B1394)=1)</f>
        <v>1</v>
      </c>
      <c r="D1394" t="str">
        <f>检查点拆解!F1394</f>
        <v>D09.02.02</v>
      </c>
      <c r="E1394" s="2">
        <f>--(COUNTIFS($A$2:A1394,A1394,$D$2:D1394,D1394)=1)</f>
        <v>1</v>
      </c>
    </row>
    <row r="1395" spans="1:5">
      <c r="A1395" t="str">
        <f>检查点拆解!A1395</f>
        <v>Q0196</v>
      </c>
      <c r="B1395" t="str">
        <f>检查点拆解!D1395</f>
        <v>C23</v>
      </c>
      <c r="C1395" s="2">
        <f>--(COUNTIFS($A$2:A1395,A1395,$B$2:B1395,B1395)=1)</f>
        <v>1</v>
      </c>
      <c r="D1395" t="str">
        <f>检查点拆解!F1395</f>
        <v>D09.01.03</v>
      </c>
      <c r="E1395" s="2">
        <f>--(COUNTIFS($A$2:A1395,A1395,$D$2:D1395,D1395)=1)</f>
        <v>1</v>
      </c>
    </row>
    <row r="1396" spans="1:5">
      <c r="A1396" t="str">
        <f>检查点拆解!A1396</f>
        <v>Q0196</v>
      </c>
      <c r="B1396" t="str">
        <f>检查点拆解!D1396</f>
        <v>C27</v>
      </c>
      <c r="C1396" s="2">
        <f>--(COUNTIFS($A$2:A1396,A1396,$B$2:B1396,B1396)=1)</f>
        <v>1</v>
      </c>
      <c r="D1396" t="str">
        <f>检查点拆解!F1396</f>
        <v>D11.02.01</v>
      </c>
      <c r="E1396" s="2">
        <f>--(COUNTIFS($A$2:A1396,A1396,$D$2:D1396,D1396)=1)</f>
        <v>1</v>
      </c>
    </row>
    <row r="1397" spans="1:5">
      <c r="A1397" t="str">
        <f>检查点拆解!A1397</f>
        <v>Q0196</v>
      </c>
      <c r="B1397" t="str">
        <f>检查点拆解!D1397</f>
        <v>C12</v>
      </c>
      <c r="C1397" s="2">
        <f>--(COUNTIFS($A$2:A1397,A1397,$B$2:B1397,B1397)=1)</f>
        <v>1</v>
      </c>
      <c r="D1397" t="str">
        <f>检查点拆解!F1397</f>
        <v>D04.03.04</v>
      </c>
      <c r="E1397" s="2">
        <f>--(COUNTIFS($A$2:A1397,A1397,$D$2:D1397,D1397)=1)</f>
        <v>1</v>
      </c>
    </row>
    <row r="1398" spans="1:5">
      <c r="A1398" t="str">
        <f>检查点拆解!A1398</f>
        <v>Q0196</v>
      </c>
      <c r="B1398" t="str">
        <f>检查点拆解!D1398</f>
        <v>C17</v>
      </c>
      <c r="C1398" s="2">
        <f>--(COUNTIFS($A$2:A1398,A1398,$B$2:B1398,B1398)=1)</f>
        <v>1</v>
      </c>
      <c r="D1398" t="str">
        <f>检查点拆解!F1398</f>
        <v>D06.03.01</v>
      </c>
      <c r="E1398" s="2">
        <f>--(COUNTIFS($A$2:A1398,A1398,$D$2:D1398,D1398)=1)</f>
        <v>1</v>
      </c>
    </row>
    <row r="1399" spans="1:5">
      <c r="A1399" t="str">
        <f>检查点拆解!A1399</f>
        <v>Q0196</v>
      </c>
      <c r="B1399" t="str">
        <f>检查点拆解!D1399</f>
        <v>C24</v>
      </c>
      <c r="C1399" s="2">
        <f>--(COUNTIFS($A$2:A1399,A1399,$B$2:B1399,B1399)=1)</f>
        <v>0</v>
      </c>
      <c r="D1399" t="str">
        <f>检查点拆解!F1399</f>
        <v>D09.03.02</v>
      </c>
      <c r="E1399" s="2">
        <f>--(COUNTIFS($A$2:A1399,A1399,$D$2:D1399,D1399)=1)</f>
        <v>1</v>
      </c>
    </row>
    <row r="1400" spans="1:5">
      <c r="A1400" t="str">
        <f>检查点拆解!A1400</f>
        <v>Q0196</v>
      </c>
      <c r="B1400" t="str">
        <f>检查点拆解!D1400</f>
        <v>C27</v>
      </c>
      <c r="C1400" s="2">
        <f>--(COUNTIFS($A$2:A1400,A1400,$B$2:B1400,B1400)=1)</f>
        <v>0</v>
      </c>
      <c r="D1400" t="str">
        <f>检查点拆解!F1400</f>
        <v>D11.01.02</v>
      </c>
      <c r="E1400" s="2">
        <f>--(COUNTIFS($A$2:A1400,A1400,$D$2:D1400,D1400)=1)</f>
        <v>1</v>
      </c>
    </row>
    <row r="1401" spans="1:5">
      <c r="A1401" t="str">
        <f>检查点拆解!A1401</f>
        <v>Q0196</v>
      </c>
      <c r="B1401" t="str">
        <f>检查点拆解!D1401</f>
        <v>C24</v>
      </c>
      <c r="C1401" s="2">
        <f>--(COUNTIFS($A$2:A1401,A1401,$B$2:B1401,B1401)=1)</f>
        <v>0</v>
      </c>
      <c r="D1401" t="str">
        <f>检查点拆解!F1401</f>
        <v>D09.03.03</v>
      </c>
      <c r="E1401" s="2">
        <f>--(COUNTIFS($A$2:A1401,A1401,$D$2:D1401,D1401)=1)</f>
        <v>1</v>
      </c>
    </row>
    <row r="1402" spans="1:5">
      <c r="A1402" t="str">
        <f>检查点拆解!A1402</f>
        <v>Q0196</v>
      </c>
      <c r="B1402" t="str">
        <f>检查点拆解!D1402</f>
        <v>C25</v>
      </c>
      <c r="C1402" s="2">
        <f>--(COUNTIFS($A$2:A1402,A1402,$B$2:B1402,B1402)=1)</f>
        <v>1</v>
      </c>
      <c r="D1402" t="str">
        <f>检查点拆解!F1402</f>
        <v>D10.01.01</v>
      </c>
      <c r="E1402" s="2">
        <f>--(COUNTIFS($A$2:A1402,A1402,$D$2:D1402,D1402)=1)</f>
        <v>1</v>
      </c>
    </row>
    <row r="1403" spans="1:5">
      <c r="A1403" t="str">
        <f>检查点拆解!A1403</f>
        <v>Q0196</v>
      </c>
      <c r="B1403" t="str">
        <f>检查点拆解!D1403</f>
        <v>C09</v>
      </c>
      <c r="C1403" s="2">
        <f>--(COUNTIFS($A$2:A1403,A1403,$B$2:B1403,B1403)=1)</f>
        <v>1</v>
      </c>
      <c r="D1403" t="str">
        <f>检查点拆解!F1403</f>
        <v>D04.02.02</v>
      </c>
      <c r="E1403" s="2">
        <f>--(COUNTIFS($A$2:A1403,A1403,$D$2:D1403,D1403)=1)</f>
        <v>1</v>
      </c>
    </row>
    <row r="1404" spans="1:5">
      <c r="A1404" t="str">
        <f>检查点拆解!A1404</f>
        <v>Q0197</v>
      </c>
      <c r="B1404" t="str">
        <f>检查点拆解!D1404</f>
        <v>C29</v>
      </c>
      <c r="C1404" s="2">
        <f>--(COUNTIFS($A$2:A1404,A1404,$B$2:B1404,B1404)=1)</f>
        <v>1</v>
      </c>
      <c r="D1404" t="str">
        <f>检查点拆解!F1404</f>
        <v>D14.01.02</v>
      </c>
      <c r="E1404" s="2">
        <f>--(COUNTIFS($A$2:A1404,A1404,$D$2:D1404,D1404)=1)</f>
        <v>1</v>
      </c>
    </row>
    <row r="1405" spans="1:5">
      <c r="A1405" t="str">
        <f>检查点拆解!A1405</f>
        <v>Q0197</v>
      </c>
      <c r="B1405" t="str">
        <f>检查点拆解!D1405</f>
        <v>C10</v>
      </c>
      <c r="C1405" s="2">
        <f>--(COUNTIFS($A$2:A1405,A1405,$B$2:B1405,B1405)=1)</f>
        <v>1</v>
      </c>
      <c r="D1405" t="str">
        <f>检查点拆解!F1405</f>
        <v>D04.03.01</v>
      </c>
      <c r="E1405" s="2">
        <f>--(COUNTIFS($A$2:A1405,A1405,$D$2:D1405,D1405)=1)</f>
        <v>1</v>
      </c>
    </row>
    <row r="1406" spans="1:5">
      <c r="A1406" t="str">
        <f>检查点拆解!A1406</f>
        <v>Q0197</v>
      </c>
      <c r="B1406" t="str">
        <f>检查点拆解!D1406</f>
        <v>C11</v>
      </c>
      <c r="C1406" s="2">
        <f>--(COUNTIFS($A$2:A1406,A1406,$B$2:B1406,B1406)=1)</f>
        <v>1</v>
      </c>
      <c r="D1406" t="str">
        <f>检查点拆解!F1406</f>
        <v>D04.03.02</v>
      </c>
      <c r="E1406" s="2">
        <f>--(COUNTIFS($A$2:A1406,A1406,$D$2:D1406,D1406)=1)</f>
        <v>1</v>
      </c>
    </row>
    <row r="1407" spans="1:5">
      <c r="A1407" t="str">
        <f>检查点拆解!A1407</f>
        <v>Q0197</v>
      </c>
      <c r="B1407" t="str">
        <f>检查点拆解!D1407</f>
        <v>C23</v>
      </c>
      <c r="C1407" s="2">
        <f>--(COUNTIFS($A$2:A1407,A1407,$B$2:B1407,B1407)=1)</f>
        <v>1</v>
      </c>
      <c r="D1407" t="str">
        <f>检查点拆解!F1407</f>
        <v>D09.01.03</v>
      </c>
      <c r="E1407" s="2">
        <f>--(COUNTIFS($A$2:A1407,A1407,$D$2:D1407,D1407)=1)</f>
        <v>1</v>
      </c>
    </row>
    <row r="1408" spans="1:5">
      <c r="A1408" t="str">
        <f>检查点拆解!A1408</f>
        <v>Q0197</v>
      </c>
      <c r="B1408" t="str">
        <f>检查点拆解!D1408</f>
        <v>C27</v>
      </c>
      <c r="C1408" s="2">
        <f>--(COUNTIFS($A$2:A1408,A1408,$B$2:B1408,B1408)=1)</f>
        <v>1</v>
      </c>
      <c r="D1408" t="str">
        <f>检查点拆解!F1408</f>
        <v>D11.02.01</v>
      </c>
      <c r="E1408" s="2">
        <f>--(COUNTIFS($A$2:A1408,A1408,$D$2:D1408,D1408)=1)</f>
        <v>1</v>
      </c>
    </row>
    <row r="1409" spans="1:5">
      <c r="A1409" t="str">
        <f>检查点拆解!A1409</f>
        <v>Q0197</v>
      </c>
      <c r="B1409" t="str">
        <f>检查点拆解!D1409</f>
        <v>C15</v>
      </c>
      <c r="C1409" s="2">
        <f>--(COUNTIFS($A$2:A1409,A1409,$B$2:B1409,B1409)=1)</f>
        <v>1</v>
      </c>
      <c r="D1409" t="str">
        <f>检查点拆解!F1409</f>
        <v>D05.02.03</v>
      </c>
      <c r="E1409" s="2">
        <f>--(COUNTIFS($A$2:A1409,A1409,$D$2:D1409,D1409)=1)</f>
        <v>1</v>
      </c>
    </row>
    <row r="1410" spans="1:5">
      <c r="A1410" t="str">
        <f>检查点拆解!A1410</f>
        <v>Q0197</v>
      </c>
      <c r="B1410" t="str">
        <f>检查点拆解!D1410</f>
        <v>C27</v>
      </c>
      <c r="C1410" s="2">
        <f>--(COUNTIFS($A$2:A1410,A1410,$B$2:B1410,B1410)=1)</f>
        <v>0</v>
      </c>
      <c r="D1410" t="str">
        <f>检查点拆解!F1410</f>
        <v>D11.01.01</v>
      </c>
      <c r="E1410" s="2">
        <f>--(COUNTIFS($A$2:A1410,A1410,$D$2:D1410,D1410)=1)</f>
        <v>1</v>
      </c>
    </row>
    <row r="1411" spans="1:5">
      <c r="A1411" t="str">
        <f>检查点拆解!A1411</f>
        <v>Q0197</v>
      </c>
      <c r="B1411" t="str">
        <f>检查点拆解!D1411</f>
        <v>C25</v>
      </c>
      <c r="C1411" s="2">
        <f>--(COUNTIFS($A$2:A1411,A1411,$B$2:B1411,B1411)=1)</f>
        <v>1</v>
      </c>
      <c r="D1411" t="str">
        <f>检查点拆解!F1411</f>
        <v>D10.01.01</v>
      </c>
      <c r="E1411" s="2">
        <f>--(COUNTIFS($A$2:A1411,A1411,$D$2:D1411,D1411)=1)</f>
        <v>1</v>
      </c>
    </row>
    <row r="1412" spans="1:5">
      <c r="A1412" t="str">
        <f>检查点拆解!A1412</f>
        <v>Q0198</v>
      </c>
      <c r="B1412" t="str">
        <f>检查点拆解!D1412</f>
        <v>C18</v>
      </c>
      <c r="C1412" s="2">
        <f>--(COUNTIFS($A$2:A1412,A1412,$B$2:B1412,B1412)=1)</f>
        <v>1</v>
      </c>
      <c r="D1412" t="str">
        <f>检查点拆解!F1412</f>
        <v>D07.01.04</v>
      </c>
      <c r="E1412" s="2">
        <f>--(COUNTIFS($A$2:A1412,A1412,$D$2:D1412,D1412)=1)</f>
        <v>1</v>
      </c>
    </row>
    <row r="1413" spans="1:5">
      <c r="A1413" t="str">
        <f>检查点拆解!A1413</f>
        <v>Q0198</v>
      </c>
      <c r="B1413" t="str">
        <f>检查点拆解!D1413</f>
        <v>C27</v>
      </c>
      <c r="C1413" s="2">
        <f>--(COUNTIFS($A$2:A1413,A1413,$B$2:B1413,B1413)=1)</f>
        <v>1</v>
      </c>
      <c r="D1413" t="str">
        <f>检查点拆解!F1413</f>
        <v>D11.01.02</v>
      </c>
      <c r="E1413" s="2">
        <f>--(COUNTIFS($A$2:A1413,A1413,$D$2:D1413,D1413)=1)</f>
        <v>1</v>
      </c>
    </row>
    <row r="1414" spans="1:5">
      <c r="A1414" t="str">
        <f>检查点拆解!A1414</f>
        <v>Q0198</v>
      </c>
      <c r="B1414" t="str">
        <f>检查点拆解!D1414</f>
        <v>C25</v>
      </c>
      <c r="C1414" s="2">
        <f>--(COUNTIFS($A$2:A1414,A1414,$B$2:B1414,B1414)=1)</f>
        <v>1</v>
      </c>
      <c r="D1414" t="str">
        <f>检查点拆解!F1414</f>
        <v>D10.01.01</v>
      </c>
      <c r="E1414" s="2">
        <f>--(COUNTIFS($A$2:A1414,A1414,$D$2:D1414,D1414)=1)</f>
        <v>1</v>
      </c>
    </row>
    <row r="1415" spans="1:5">
      <c r="A1415" t="str">
        <f>检查点拆解!A1415</f>
        <v>Q0198</v>
      </c>
      <c r="B1415" t="str">
        <f>检查点拆解!D1415</f>
        <v>C06</v>
      </c>
      <c r="C1415" s="2">
        <f>--(COUNTIFS($A$2:A1415,A1415,$B$2:B1415,B1415)=1)</f>
        <v>1</v>
      </c>
      <c r="D1415" t="str">
        <f>检查点拆解!F1415</f>
        <v>D03.01.02</v>
      </c>
      <c r="E1415" s="2">
        <f>--(COUNTIFS($A$2:A1415,A1415,$D$2:D1415,D1415)=1)</f>
        <v>1</v>
      </c>
    </row>
    <row r="1416" spans="1:5">
      <c r="A1416" t="str">
        <f>检查点拆解!A1416</f>
        <v>Q0198</v>
      </c>
      <c r="B1416" t="str">
        <f>检查点拆解!D1416</f>
        <v>C14</v>
      </c>
      <c r="C1416" s="2">
        <f>--(COUNTIFS($A$2:A1416,A1416,$B$2:B1416,B1416)=1)</f>
        <v>1</v>
      </c>
      <c r="D1416" t="str">
        <f>检查点拆解!F1416</f>
        <v>D05.01.03</v>
      </c>
      <c r="E1416" s="2">
        <f>--(COUNTIFS($A$2:A1416,A1416,$D$2:D1416,D1416)=1)</f>
        <v>1</v>
      </c>
    </row>
    <row r="1417" spans="1:5">
      <c r="A1417" t="str">
        <f>检查点拆解!A1417</f>
        <v>Q0198</v>
      </c>
      <c r="B1417" t="str">
        <f>检查点拆解!D1417</f>
        <v>C26</v>
      </c>
      <c r="C1417" s="2">
        <f>--(COUNTIFS($A$2:A1417,A1417,$B$2:B1417,B1417)=1)</f>
        <v>1</v>
      </c>
      <c r="D1417" t="str">
        <f>检查点拆解!F1417</f>
        <v>D10.02.01</v>
      </c>
      <c r="E1417" s="2">
        <f>--(COUNTIFS($A$2:A1417,A1417,$D$2:D1417,D1417)=1)</f>
        <v>1</v>
      </c>
    </row>
    <row r="1418" spans="1:5">
      <c r="A1418" t="str">
        <f>检查点拆解!A1418</f>
        <v>Q0198</v>
      </c>
      <c r="B1418" t="str">
        <f>检查点拆解!D1418</f>
        <v>C28</v>
      </c>
      <c r="C1418" s="2">
        <f>--(COUNTIFS($A$2:A1418,A1418,$B$2:B1418,B1418)=1)</f>
        <v>1</v>
      </c>
      <c r="D1418" t="str">
        <f>检查点拆解!F1418</f>
        <v>D12.01.01</v>
      </c>
      <c r="E1418" s="2">
        <f>--(COUNTIFS($A$2:A1418,A1418,$D$2:D1418,D1418)=1)</f>
        <v>1</v>
      </c>
    </row>
    <row r="1419" spans="1:5">
      <c r="A1419" t="str">
        <f>检查点拆解!A1419</f>
        <v>Q0198</v>
      </c>
      <c r="B1419" t="str">
        <f>检查点拆解!D1419</f>
        <v>C06</v>
      </c>
      <c r="C1419" s="2">
        <f>--(COUNTIFS($A$2:A1419,A1419,$B$2:B1419,B1419)=1)</f>
        <v>0</v>
      </c>
      <c r="D1419" t="str">
        <f>检查点拆解!F1419</f>
        <v>D03.01.01</v>
      </c>
      <c r="E1419" s="2">
        <f>--(COUNTIFS($A$2:A1419,A1419,$D$2:D1419,D1419)=1)</f>
        <v>1</v>
      </c>
    </row>
    <row r="1420" spans="1:5">
      <c r="A1420" t="str">
        <f>检查点拆解!A1420</f>
        <v>Q0198</v>
      </c>
      <c r="B1420" t="str">
        <f>检查点拆解!D1420</f>
        <v>C05</v>
      </c>
      <c r="C1420" s="2">
        <f>--(COUNTIFS($A$2:A1420,A1420,$B$2:B1420,B1420)=1)</f>
        <v>1</v>
      </c>
      <c r="D1420" t="str">
        <f>检查点拆解!F1420</f>
        <v>D02.03.01</v>
      </c>
      <c r="E1420" s="2">
        <f>--(COUNTIFS($A$2:A1420,A1420,$D$2:D1420,D1420)=1)</f>
        <v>1</v>
      </c>
    </row>
    <row r="1421" spans="1:5">
      <c r="A1421" t="str">
        <f>检查点拆解!A1421</f>
        <v>Q0199</v>
      </c>
      <c r="B1421" t="str">
        <f>检查点拆解!D1421</f>
        <v>C29</v>
      </c>
      <c r="C1421" s="2">
        <f>--(COUNTIFS($A$2:A1421,A1421,$B$2:B1421,B1421)=1)</f>
        <v>1</v>
      </c>
      <c r="D1421" t="str">
        <f>检查点拆解!F1421</f>
        <v>D14.02.01</v>
      </c>
      <c r="E1421" s="2">
        <f>--(COUNTIFS($A$2:A1421,A1421,$D$2:D1421,D1421)=1)</f>
        <v>1</v>
      </c>
    </row>
    <row r="1422" spans="1:5">
      <c r="A1422" t="str">
        <f>检查点拆解!A1422</f>
        <v>Q0199</v>
      </c>
      <c r="B1422" t="str">
        <f>检查点拆解!D1422</f>
        <v>C18</v>
      </c>
      <c r="C1422" s="2">
        <f>--(COUNTIFS($A$2:A1422,A1422,$B$2:B1422,B1422)=1)</f>
        <v>1</v>
      </c>
      <c r="D1422" t="str">
        <f>检查点拆解!F1422</f>
        <v>D07.01.02</v>
      </c>
      <c r="E1422" s="2">
        <f>--(COUNTIFS($A$2:A1422,A1422,$D$2:D1422,D1422)=1)</f>
        <v>1</v>
      </c>
    </row>
    <row r="1423" spans="1:5">
      <c r="A1423" t="str">
        <f>检查点拆解!A1423</f>
        <v>Q0199</v>
      </c>
      <c r="B1423" t="str">
        <f>检查点拆解!D1423</f>
        <v>C23</v>
      </c>
      <c r="C1423" s="2">
        <f>--(COUNTIFS($A$2:A1423,A1423,$B$2:B1423,B1423)=1)</f>
        <v>1</v>
      </c>
      <c r="D1423" t="str">
        <f>检查点拆解!F1423</f>
        <v>D09.01.03</v>
      </c>
      <c r="E1423" s="2">
        <f>--(COUNTIFS($A$2:A1423,A1423,$D$2:D1423,D1423)=1)</f>
        <v>1</v>
      </c>
    </row>
    <row r="1424" spans="1:5">
      <c r="A1424" t="str">
        <f>检查点拆解!A1424</f>
        <v>Q0199</v>
      </c>
      <c r="B1424" t="str">
        <f>检查点拆解!D1424</f>
        <v>C27</v>
      </c>
      <c r="C1424" s="2">
        <f>--(COUNTIFS($A$2:A1424,A1424,$B$2:B1424,B1424)=1)</f>
        <v>1</v>
      </c>
      <c r="D1424" t="str">
        <f>检查点拆解!F1424</f>
        <v>D11.02.02</v>
      </c>
      <c r="E1424" s="2">
        <f>--(COUNTIFS($A$2:A1424,A1424,$D$2:D1424,D1424)=1)</f>
        <v>1</v>
      </c>
    </row>
    <row r="1425" spans="1:5">
      <c r="A1425" t="str">
        <f>检查点拆解!A1425</f>
        <v>Q0199</v>
      </c>
      <c r="B1425" t="str">
        <f>检查点拆解!D1425</f>
        <v>C17</v>
      </c>
      <c r="C1425" s="2">
        <f>--(COUNTIFS($A$2:A1425,A1425,$B$2:B1425,B1425)=1)</f>
        <v>1</v>
      </c>
      <c r="D1425" t="str">
        <f>检查点拆解!F1425</f>
        <v>D06.03.01</v>
      </c>
      <c r="E1425" s="2">
        <f>--(COUNTIFS($A$2:A1425,A1425,$D$2:D1425,D1425)=1)</f>
        <v>1</v>
      </c>
    </row>
    <row r="1426" spans="1:5">
      <c r="A1426" t="str">
        <f>检查点拆解!A1426</f>
        <v>Q0199</v>
      </c>
      <c r="B1426" t="str">
        <f>检查点拆解!D1426</f>
        <v>C27</v>
      </c>
      <c r="C1426" s="2">
        <f>--(COUNTIFS($A$2:A1426,A1426,$B$2:B1426,B1426)=1)</f>
        <v>0</v>
      </c>
      <c r="D1426" t="str">
        <f>检查点拆解!F1426</f>
        <v>D11.01.02</v>
      </c>
      <c r="E1426" s="2">
        <f>--(COUNTIFS($A$2:A1426,A1426,$D$2:D1426,D1426)=1)</f>
        <v>1</v>
      </c>
    </row>
    <row r="1427" spans="1:5">
      <c r="A1427" t="str">
        <f>检查点拆解!A1427</f>
        <v>Q0199</v>
      </c>
      <c r="B1427" t="str">
        <f>检查点拆解!D1427</f>
        <v>C15</v>
      </c>
      <c r="C1427" s="2">
        <f>--(COUNTIFS($A$2:A1427,A1427,$B$2:B1427,B1427)=1)</f>
        <v>1</v>
      </c>
      <c r="D1427" t="str">
        <f>检查点拆解!F1427</f>
        <v>D05.02.03</v>
      </c>
      <c r="E1427" s="2">
        <f>--(COUNTIFS($A$2:A1427,A1427,$D$2:D1427,D1427)=1)</f>
        <v>1</v>
      </c>
    </row>
    <row r="1428" spans="1:5">
      <c r="A1428" t="str">
        <f>检查点拆解!A1428</f>
        <v>Q0199</v>
      </c>
      <c r="B1428" t="str">
        <f>检查点拆解!D1428</f>
        <v>C24</v>
      </c>
      <c r="C1428" s="2">
        <f>--(COUNTIFS($A$2:A1428,A1428,$B$2:B1428,B1428)=1)</f>
        <v>1</v>
      </c>
      <c r="D1428" t="str">
        <f>检查点拆解!F1428</f>
        <v>D09.03.03</v>
      </c>
      <c r="E1428" s="2">
        <f>--(COUNTIFS($A$2:A1428,A1428,$D$2:D1428,D1428)=1)</f>
        <v>1</v>
      </c>
    </row>
    <row r="1429" spans="1:5">
      <c r="A1429" t="str">
        <f>检查点拆解!A1429</f>
        <v>Q0199</v>
      </c>
      <c r="B1429" t="str">
        <f>检查点拆解!D1429</f>
        <v>C27</v>
      </c>
      <c r="C1429" s="2">
        <f>--(COUNTIFS($A$2:A1429,A1429,$B$2:B1429,B1429)=1)</f>
        <v>0</v>
      </c>
      <c r="D1429" t="str">
        <f>检查点拆解!F1429</f>
        <v>D11.01.01</v>
      </c>
      <c r="E1429" s="2">
        <f>--(COUNTIFS($A$2:A1429,A1429,$D$2:D1429,D1429)=1)</f>
        <v>1</v>
      </c>
    </row>
    <row r="1430" spans="1:5">
      <c r="A1430" t="str">
        <f>检查点拆解!A1430</f>
        <v>Q0199</v>
      </c>
      <c r="B1430" t="str">
        <f>检查点拆解!D1430</f>
        <v>C27</v>
      </c>
      <c r="C1430" s="2">
        <f>--(COUNTIFS($A$2:A1430,A1430,$B$2:B1430,B1430)=1)</f>
        <v>0</v>
      </c>
      <c r="D1430" t="str">
        <f>检查点拆解!F1430</f>
        <v>D11.01.03</v>
      </c>
      <c r="E1430" s="2">
        <f>--(COUNTIFS($A$2:A1430,A1430,$D$2:D1430,D1430)=1)</f>
        <v>1</v>
      </c>
    </row>
    <row r="1431" spans="1:5">
      <c r="A1431" t="str">
        <f>检查点拆解!A1431</f>
        <v>Q0199</v>
      </c>
      <c r="B1431" t="str">
        <f>检查点拆解!D1431</f>
        <v>C24</v>
      </c>
      <c r="C1431" s="2">
        <f>--(COUNTIFS($A$2:A1431,A1431,$B$2:B1431,B1431)=1)</f>
        <v>0</v>
      </c>
      <c r="D1431" t="str">
        <f>检查点拆解!F1431</f>
        <v>D09.02.03</v>
      </c>
      <c r="E1431" s="2">
        <f>--(COUNTIFS($A$2:A1431,A1431,$D$2:D1431,D1431)=1)</f>
        <v>1</v>
      </c>
    </row>
    <row r="1432" spans="1:5">
      <c r="A1432" t="str">
        <f>检查点拆解!A1432</f>
        <v>Q0199</v>
      </c>
      <c r="B1432" t="str">
        <f>检查点拆解!D1432</f>
        <v>C25</v>
      </c>
      <c r="C1432" s="2">
        <f>--(COUNTIFS($A$2:A1432,A1432,$B$2:B1432,B1432)=1)</f>
        <v>1</v>
      </c>
      <c r="D1432" t="str">
        <f>检查点拆解!F1432</f>
        <v>D10.01.01</v>
      </c>
      <c r="E1432" s="2">
        <f>--(COUNTIFS($A$2:A1432,A1432,$D$2:D1432,D1432)=1)</f>
        <v>1</v>
      </c>
    </row>
    <row r="1433" spans="1:5">
      <c r="A1433" t="str">
        <f>检查点拆解!A1433</f>
        <v>Q0200</v>
      </c>
      <c r="B1433" t="str">
        <f>检查点拆解!D1433</f>
        <v>C30</v>
      </c>
      <c r="C1433" s="2">
        <f>--(COUNTIFS($A$2:A1433,A1433,$B$2:B1433,B1433)=1)</f>
        <v>1</v>
      </c>
      <c r="D1433" t="str">
        <f>检查点拆解!F1433</f>
        <v>D15.01.02</v>
      </c>
      <c r="E1433" s="2">
        <f>--(COUNTIFS($A$2:A1433,A1433,$D$2:D1433,D1433)=1)</f>
        <v>1</v>
      </c>
    </row>
    <row r="1434" spans="1:5">
      <c r="A1434" t="str">
        <f>检查点拆解!A1434</f>
        <v>Q0200</v>
      </c>
      <c r="B1434" t="str">
        <f>检查点拆解!D1434</f>
        <v>C29</v>
      </c>
      <c r="C1434" s="2">
        <f>--(COUNTIFS($A$2:A1434,A1434,$B$2:B1434,B1434)=1)</f>
        <v>1</v>
      </c>
      <c r="D1434" t="str">
        <f>检查点拆解!F1434</f>
        <v>D14.02.01</v>
      </c>
      <c r="E1434" s="2">
        <f>--(COUNTIFS($A$2:A1434,A1434,$D$2:D1434,D1434)=1)</f>
        <v>1</v>
      </c>
    </row>
    <row r="1435" spans="1:5">
      <c r="A1435" t="str">
        <f>检查点拆解!A1435</f>
        <v>Q0200</v>
      </c>
      <c r="B1435" t="str">
        <f>检查点拆解!D1435</f>
        <v>C30</v>
      </c>
      <c r="C1435" s="2">
        <f>--(COUNTIFS($A$2:A1435,A1435,$B$2:B1435,B1435)=1)</f>
        <v>0</v>
      </c>
      <c r="D1435" t="str">
        <f>检查点拆解!F1435</f>
        <v>D15.01.03</v>
      </c>
      <c r="E1435" s="2">
        <f>--(COUNTIFS($A$2:A1435,A1435,$D$2:D1435,D1435)=1)</f>
        <v>1</v>
      </c>
    </row>
    <row r="1436" spans="1:5">
      <c r="A1436" t="str">
        <f>检查点拆解!A1436</f>
        <v>Q0200</v>
      </c>
      <c r="B1436" t="str">
        <f>检查点拆解!D1436</f>
        <v>C06</v>
      </c>
      <c r="C1436" s="2">
        <f>--(COUNTIFS($A$2:A1436,A1436,$B$2:B1436,B1436)=1)</f>
        <v>1</v>
      </c>
      <c r="D1436" t="str">
        <f>检查点拆解!F1436</f>
        <v>D03.01.02</v>
      </c>
      <c r="E1436" s="2">
        <f>--(COUNTIFS($A$2:A1436,A1436,$D$2:D1436,D1436)=1)</f>
        <v>1</v>
      </c>
    </row>
    <row r="1437" spans="1:5">
      <c r="A1437" t="str">
        <f>检查点拆解!A1437</f>
        <v>Q0200</v>
      </c>
      <c r="B1437" t="str">
        <f>检查点拆解!D1437</f>
        <v>C06</v>
      </c>
      <c r="C1437" s="2">
        <f>--(COUNTIFS($A$2:A1437,A1437,$B$2:B1437,B1437)=1)</f>
        <v>0</v>
      </c>
      <c r="D1437" t="str">
        <f>检查点拆解!F1437</f>
        <v>D03.01.01</v>
      </c>
      <c r="E1437" s="2">
        <f>--(COUNTIFS($A$2:A1437,A1437,$D$2:D1437,D1437)=1)</f>
        <v>1</v>
      </c>
    </row>
    <row r="1438" spans="1:5">
      <c r="A1438" t="str">
        <f>检查点拆解!A1438</f>
        <v>Q0200</v>
      </c>
      <c r="B1438" t="str">
        <f>检查点拆解!D1438</f>
        <v>C14</v>
      </c>
      <c r="C1438" s="2">
        <f>--(COUNTIFS($A$2:A1438,A1438,$B$2:B1438,B1438)=1)</f>
        <v>1</v>
      </c>
      <c r="D1438" t="str">
        <f>检查点拆解!F1438</f>
        <v>D05.01.01</v>
      </c>
      <c r="E1438" s="2">
        <f>--(COUNTIFS($A$2:A1438,A1438,$D$2:D1438,D1438)=1)</f>
        <v>1</v>
      </c>
    </row>
    <row r="1439" spans="1:5">
      <c r="A1439" t="str">
        <f>检查点拆解!A1439</f>
        <v>Q0200</v>
      </c>
      <c r="B1439" t="str">
        <f>检查点拆解!D1439</f>
        <v>C03</v>
      </c>
      <c r="C1439" s="2">
        <f>--(COUNTIFS($A$2:A1439,A1439,$B$2:B1439,B1439)=1)</f>
        <v>1</v>
      </c>
      <c r="D1439" t="str">
        <f>检查点拆解!F1439</f>
        <v>D02.01.01</v>
      </c>
      <c r="E1439" s="2">
        <f>--(COUNTIFS($A$2:A1439,A1439,$D$2:D1439,D1439)=1)</f>
        <v>1</v>
      </c>
    </row>
    <row r="1440" spans="1:5">
      <c r="A1440" t="str">
        <f>检查点拆解!A1440</f>
        <v>Q0200</v>
      </c>
      <c r="B1440" t="str">
        <f>检查点拆解!D1440</f>
        <v>C05</v>
      </c>
      <c r="C1440" s="2">
        <f>--(COUNTIFS($A$2:A1440,A1440,$B$2:B1440,B1440)=1)</f>
        <v>1</v>
      </c>
      <c r="D1440" t="str">
        <f>检查点拆解!F1440</f>
        <v>D02.03.01</v>
      </c>
      <c r="E1440" s="2">
        <f>--(COUNTIFS($A$2:A1440,A1440,$D$2:D1440,D1440)=1)</f>
        <v>1</v>
      </c>
    </row>
    <row r="1441" spans="1:5">
      <c r="A1441" t="str">
        <f>检查点拆解!A1441</f>
        <v>Q0201</v>
      </c>
      <c r="B1441" t="str">
        <f>检查点拆解!D1441</f>
        <v>C30</v>
      </c>
      <c r="C1441" s="2">
        <f>--(COUNTIFS($A$2:A1441,A1441,$B$2:B1441,B1441)=1)</f>
        <v>1</v>
      </c>
      <c r="D1441" t="str">
        <f>检查点拆解!F1441</f>
        <v>D15.01.02</v>
      </c>
      <c r="E1441" s="2">
        <f>--(COUNTIFS($A$2:A1441,A1441,$D$2:D1441,D1441)=1)</f>
        <v>1</v>
      </c>
    </row>
    <row r="1442" spans="1:5">
      <c r="A1442" t="str">
        <f>检查点拆解!A1442</f>
        <v>Q0201</v>
      </c>
      <c r="B1442" t="str">
        <f>检查点拆解!D1442</f>
        <v>C15</v>
      </c>
      <c r="C1442" s="2">
        <f>--(COUNTIFS($A$2:A1442,A1442,$B$2:B1442,B1442)=1)</f>
        <v>1</v>
      </c>
      <c r="D1442" t="str">
        <f>检查点拆解!F1442</f>
        <v>D05.02.02</v>
      </c>
      <c r="E1442" s="2">
        <f>--(COUNTIFS($A$2:A1442,A1442,$D$2:D1442,D1442)=1)</f>
        <v>1</v>
      </c>
    </row>
    <row r="1443" spans="1:5">
      <c r="A1443" t="str">
        <f>检查点拆解!A1443</f>
        <v>Q0201</v>
      </c>
      <c r="B1443" t="str">
        <f>检查点拆解!D1443</f>
        <v>C06</v>
      </c>
      <c r="C1443" s="2">
        <f>--(COUNTIFS($A$2:A1443,A1443,$B$2:B1443,B1443)=1)</f>
        <v>1</v>
      </c>
      <c r="D1443" t="str">
        <f>检查点拆解!F1443</f>
        <v>D03.01.02</v>
      </c>
      <c r="E1443" s="2">
        <f>--(COUNTIFS($A$2:A1443,A1443,$D$2:D1443,D1443)=1)</f>
        <v>1</v>
      </c>
    </row>
    <row r="1444" spans="1:5">
      <c r="A1444" t="str">
        <f>检查点拆解!A1444</f>
        <v>Q0201</v>
      </c>
      <c r="B1444" t="str">
        <f>检查点拆解!D1444</f>
        <v>C28</v>
      </c>
      <c r="C1444" s="2">
        <f>--(COUNTIFS($A$2:A1444,A1444,$B$2:B1444,B1444)=1)</f>
        <v>1</v>
      </c>
      <c r="D1444" t="str">
        <f>检查点拆解!F1444</f>
        <v>D12.02.01</v>
      </c>
      <c r="E1444" s="2">
        <f>--(COUNTIFS($A$2:A1444,A1444,$D$2:D1444,D1444)=1)</f>
        <v>1</v>
      </c>
    </row>
    <row r="1445" spans="1:5">
      <c r="A1445" t="str">
        <f>检查点拆解!A1445</f>
        <v>Q0201</v>
      </c>
      <c r="B1445" t="str">
        <f>检查点拆解!D1445</f>
        <v>C05</v>
      </c>
      <c r="C1445" s="2">
        <f>--(COUNTIFS($A$2:A1445,A1445,$B$2:B1445,B1445)=1)</f>
        <v>1</v>
      </c>
      <c r="D1445" t="str">
        <f>检查点拆解!F1445</f>
        <v>D02.03.01</v>
      </c>
      <c r="E1445" s="2">
        <f>--(COUNTIFS($A$2:A1445,A1445,$D$2:D1445,D1445)=1)</f>
        <v>1</v>
      </c>
    </row>
    <row r="1446" spans="1:5">
      <c r="A1446" t="str">
        <f>检查点拆解!A1446</f>
        <v>Q0202</v>
      </c>
      <c r="B1446" t="str">
        <f>检查点拆解!D1446</f>
        <v>C30</v>
      </c>
      <c r="C1446" s="2">
        <f>--(COUNTIFS($A$2:A1446,A1446,$B$2:B1446,B1446)=1)</f>
        <v>1</v>
      </c>
      <c r="D1446" t="str">
        <f>检查点拆解!F1446</f>
        <v>D15.01.02</v>
      </c>
      <c r="E1446" s="2">
        <f>--(COUNTIFS($A$2:A1446,A1446,$D$2:D1446,D1446)=1)</f>
        <v>1</v>
      </c>
    </row>
    <row r="1447" spans="1:5">
      <c r="A1447" t="str">
        <f>检查点拆解!A1447</f>
        <v>Q0202</v>
      </c>
      <c r="B1447" t="str">
        <f>检查点拆解!D1447</f>
        <v>C30</v>
      </c>
      <c r="C1447" s="2">
        <f>--(COUNTIFS($A$2:A1447,A1447,$B$2:B1447,B1447)=1)</f>
        <v>0</v>
      </c>
      <c r="D1447" t="str">
        <f>检查点拆解!F1447</f>
        <v>D15.01.03</v>
      </c>
      <c r="E1447" s="2">
        <f>--(COUNTIFS($A$2:A1447,A1447,$D$2:D1447,D1447)=1)</f>
        <v>1</v>
      </c>
    </row>
    <row r="1448" spans="1:5">
      <c r="A1448" t="str">
        <f>检查点拆解!A1448</f>
        <v>Q0202</v>
      </c>
      <c r="B1448" t="str">
        <f>检查点拆解!D1448</f>
        <v>C06</v>
      </c>
      <c r="C1448" s="2">
        <f>--(COUNTIFS($A$2:A1448,A1448,$B$2:B1448,B1448)=1)</f>
        <v>1</v>
      </c>
      <c r="D1448" t="str">
        <f>检查点拆解!F1448</f>
        <v>D03.01.01</v>
      </c>
      <c r="E1448" s="2">
        <f>--(COUNTIFS($A$2:A1448,A1448,$D$2:D1448,D1448)=1)</f>
        <v>1</v>
      </c>
    </row>
    <row r="1449" spans="1:5">
      <c r="A1449" t="str">
        <f>检查点拆解!A1449</f>
        <v>Q0202</v>
      </c>
      <c r="B1449" t="str">
        <f>检查点拆解!D1449</f>
        <v>C14</v>
      </c>
      <c r="C1449" s="2">
        <f>--(COUNTIFS($A$2:A1449,A1449,$B$2:B1449,B1449)=1)</f>
        <v>1</v>
      </c>
      <c r="D1449" t="str">
        <f>检查点拆解!F1449</f>
        <v>D05.01.01</v>
      </c>
      <c r="E1449" s="2">
        <f>--(COUNTIFS($A$2:A1449,A1449,$D$2:D1449,D1449)=1)</f>
        <v>1</v>
      </c>
    </row>
    <row r="1450" spans="1:5">
      <c r="A1450" t="str">
        <f>检查点拆解!A1450</f>
        <v>Q0202</v>
      </c>
      <c r="B1450" t="str">
        <f>检查点拆解!D1450</f>
        <v>C03</v>
      </c>
      <c r="C1450" s="2">
        <f>--(COUNTIFS($A$2:A1450,A1450,$B$2:B1450,B1450)=1)</f>
        <v>1</v>
      </c>
      <c r="D1450" t="str">
        <f>检查点拆解!F1450</f>
        <v>D02.01.01</v>
      </c>
      <c r="E1450" s="2">
        <f>--(COUNTIFS($A$2:A1450,A1450,$D$2:D1450,D1450)=1)</f>
        <v>1</v>
      </c>
    </row>
    <row r="1451" spans="1:5">
      <c r="A1451" t="str">
        <f>检查点拆解!A1451</f>
        <v>Q0202</v>
      </c>
      <c r="B1451" t="str">
        <f>检查点拆解!D1451</f>
        <v>C04</v>
      </c>
      <c r="C1451" s="2">
        <f>--(COUNTIFS($A$2:A1451,A1451,$B$2:B1451,B1451)=1)</f>
        <v>1</v>
      </c>
      <c r="D1451" t="str">
        <f>检查点拆解!F1451</f>
        <v>D02.02.02</v>
      </c>
      <c r="E1451" s="2">
        <f>--(COUNTIFS($A$2:A1451,A1451,$D$2:D1451,D1451)=1)</f>
        <v>1</v>
      </c>
    </row>
    <row r="1452" spans="1:5">
      <c r="A1452" t="str">
        <f>检查点拆解!A1452</f>
        <v>Q0202</v>
      </c>
      <c r="B1452" t="str">
        <f>检查点拆解!D1452</f>
        <v>C05</v>
      </c>
      <c r="C1452" s="2">
        <f>--(COUNTIFS($A$2:A1452,A1452,$B$2:B1452,B1452)=1)</f>
        <v>1</v>
      </c>
      <c r="D1452" t="str">
        <f>检查点拆解!F1452</f>
        <v>D02.03.01</v>
      </c>
      <c r="E1452" s="2">
        <f>--(COUNTIFS($A$2:A1452,A1452,$D$2:D1452,D1452)=1)</f>
        <v>1</v>
      </c>
    </row>
    <row r="1453" spans="1:5">
      <c r="A1453" t="str">
        <f>检查点拆解!A1453</f>
        <v>Q0202</v>
      </c>
      <c r="B1453" t="str">
        <f>检查点拆解!D1453</f>
        <v>C08</v>
      </c>
      <c r="C1453" s="2">
        <f>--(COUNTIFS($A$2:A1453,A1453,$B$2:B1453,B1453)=1)</f>
        <v>1</v>
      </c>
      <c r="D1453" t="str">
        <f>检查点拆解!F1453</f>
        <v>D03.03.01</v>
      </c>
      <c r="E1453" s="2">
        <f>--(COUNTIFS($A$2:A1453,A1453,$D$2:D1453,D1453)=1)</f>
        <v>1</v>
      </c>
    </row>
    <row r="1454" spans="1:5">
      <c r="A1454" t="str">
        <f>检查点拆解!A1454</f>
        <v>Q0203</v>
      </c>
      <c r="B1454" t="str">
        <f>检查点拆解!D1454</f>
        <v>C11</v>
      </c>
      <c r="C1454" s="2">
        <f>--(COUNTIFS($A$2:A1454,A1454,$B$2:B1454,B1454)=1)</f>
        <v>1</v>
      </c>
      <c r="D1454" t="str">
        <f>检查点拆解!F1454</f>
        <v>D04.03.02</v>
      </c>
      <c r="E1454" s="2">
        <f>--(COUNTIFS($A$2:A1454,A1454,$D$2:D1454,D1454)=1)</f>
        <v>1</v>
      </c>
    </row>
    <row r="1455" spans="1:5">
      <c r="A1455" t="str">
        <f>检查点拆解!A1455</f>
        <v>Q0203</v>
      </c>
      <c r="B1455" t="str">
        <f>检查点拆解!D1455</f>
        <v>C23</v>
      </c>
      <c r="C1455" s="2">
        <f>--(COUNTIFS($A$2:A1455,A1455,$B$2:B1455,B1455)=1)</f>
        <v>1</v>
      </c>
      <c r="D1455" t="str">
        <f>检查点拆解!F1455</f>
        <v>D09.01.03</v>
      </c>
      <c r="E1455" s="2">
        <f>--(COUNTIFS($A$2:A1455,A1455,$D$2:D1455,D1455)=1)</f>
        <v>1</v>
      </c>
    </row>
    <row r="1456" spans="1:5">
      <c r="A1456" t="str">
        <f>检查点拆解!A1456</f>
        <v>Q0203</v>
      </c>
      <c r="B1456" t="str">
        <f>检查点拆解!D1456</f>
        <v>C24</v>
      </c>
      <c r="C1456" s="2">
        <f>--(COUNTIFS($A$2:A1456,A1456,$B$2:B1456,B1456)=1)</f>
        <v>1</v>
      </c>
      <c r="D1456" t="str">
        <f>检查点拆解!F1456</f>
        <v>D09.03.03</v>
      </c>
      <c r="E1456" s="2">
        <f>--(COUNTIFS($A$2:A1456,A1456,$D$2:D1456,D1456)=1)</f>
        <v>1</v>
      </c>
    </row>
    <row r="1457" spans="1:5">
      <c r="A1457" t="str">
        <f>检查点拆解!A1457</f>
        <v>Q0203</v>
      </c>
      <c r="B1457" t="str">
        <f>检查点拆解!D1457</f>
        <v>C25</v>
      </c>
      <c r="C1457" s="2">
        <f>--(COUNTIFS($A$2:A1457,A1457,$B$2:B1457,B1457)=1)</f>
        <v>1</v>
      </c>
      <c r="D1457" t="str">
        <f>检查点拆解!F1457</f>
        <v>D10.01.01</v>
      </c>
      <c r="E1457" s="2">
        <f>--(COUNTIFS($A$2:A1457,A1457,$D$2:D1457,D1457)=1)</f>
        <v>1</v>
      </c>
    </row>
    <row r="1458" spans="1:5">
      <c r="A1458" t="str">
        <f>检查点拆解!A1458</f>
        <v>Q0203</v>
      </c>
      <c r="B1458" t="str">
        <f>检查点拆解!D1458</f>
        <v>C30</v>
      </c>
      <c r="C1458" s="2">
        <f>--(COUNTIFS($A$2:A1458,A1458,$B$2:B1458,B1458)=1)</f>
        <v>1</v>
      </c>
      <c r="D1458" t="str">
        <f>检查点拆解!F1458</f>
        <v>D15.01.04</v>
      </c>
      <c r="E1458" s="2">
        <f>--(COUNTIFS($A$2:A1458,A1458,$D$2:D1458,D1458)=1)</f>
        <v>1</v>
      </c>
    </row>
    <row r="1459" spans="1:5">
      <c r="A1459" t="str">
        <f>检查点拆解!A1459</f>
        <v>Q0203</v>
      </c>
      <c r="B1459" t="str">
        <f>检查点拆解!D1459</f>
        <v>C28</v>
      </c>
      <c r="C1459" s="2">
        <f>--(COUNTIFS($A$2:A1459,A1459,$B$2:B1459,B1459)=1)</f>
        <v>1</v>
      </c>
      <c r="D1459" t="str">
        <f>检查点拆解!F1459</f>
        <v>D13.01.02</v>
      </c>
      <c r="E1459" s="2">
        <f>--(COUNTIFS($A$2:A1459,A1459,$D$2:D1459,D1459)=1)</f>
        <v>1</v>
      </c>
    </row>
    <row r="1460" spans="1:5">
      <c r="A1460" t="str">
        <f>检查点拆解!A1460</f>
        <v>Q0203</v>
      </c>
      <c r="B1460" t="str">
        <f>检查点拆解!D1460</f>
        <v>C28</v>
      </c>
      <c r="C1460" s="2">
        <f>--(COUNTIFS($A$2:A1460,A1460,$B$2:B1460,B1460)=1)</f>
        <v>0</v>
      </c>
      <c r="D1460" t="str">
        <f>检查点拆解!F1460</f>
        <v>D12.02.01</v>
      </c>
      <c r="E1460" s="2">
        <f>--(COUNTIFS($A$2:A1460,A1460,$D$2:D1460,D1460)=1)</f>
        <v>1</v>
      </c>
    </row>
    <row r="1461" spans="1:5">
      <c r="A1461" t="str">
        <f>检查点拆解!A1461</f>
        <v>Q0203</v>
      </c>
      <c r="B1461" t="str">
        <f>检查点拆解!D1461</f>
        <v>C26</v>
      </c>
      <c r="C1461" s="2">
        <f>--(COUNTIFS($A$2:A1461,A1461,$B$2:B1461,B1461)=1)</f>
        <v>1</v>
      </c>
      <c r="D1461" t="str">
        <f>检查点拆解!F1461</f>
        <v>D10.02.02</v>
      </c>
      <c r="E1461" s="2">
        <f>--(COUNTIFS($A$2:A1461,A1461,$D$2:D1461,D1461)=1)</f>
        <v>1</v>
      </c>
    </row>
    <row r="1462" spans="1:5">
      <c r="A1462" t="str">
        <f>检查点拆解!A1462</f>
        <v>Q0203</v>
      </c>
      <c r="B1462" t="str">
        <f>检查点拆解!D1462</f>
        <v>C28</v>
      </c>
      <c r="C1462" s="2">
        <f>--(COUNTIFS($A$2:A1462,A1462,$B$2:B1462,B1462)=1)</f>
        <v>0</v>
      </c>
      <c r="D1462" t="str">
        <f>检查点拆解!F1462</f>
        <v>D12.02.02</v>
      </c>
      <c r="E1462" s="2">
        <f>--(COUNTIFS($A$2:A1462,A1462,$D$2:D1462,D1462)=1)</f>
        <v>1</v>
      </c>
    </row>
    <row r="1463" spans="1:5">
      <c r="A1463" t="str">
        <f>检查点拆解!A1463</f>
        <v>Q0203</v>
      </c>
      <c r="B1463" t="str">
        <f>检查点拆解!D1463</f>
        <v>C26</v>
      </c>
      <c r="C1463" s="2">
        <f>--(COUNTIFS($A$2:A1463,A1463,$B$2:B1463,B1463)=1)</f>
        <v>0</v>
      </c>
      <c r="D1463" t="str">
        <f>检查点拆解!F1463</f>
        <v>D10.02.01</v>
      </c>
      <c r="E1463" s="2">
        <f>--(COUNTIFS($A$2:A1463,A1463,$D$2:D1463,D1463)=1)</f>
        <v>1</v>
      </c>
    </row>
    <row r="1464" spans="1:5">
      <c r="A1464" t="str">
        <f>检查点拆解!A1464</f>
        <v>Q0204</v>
      </c>
      <c r="B1464" t="str">
        <f>检查点拆解!D1464</f>
        <v>C20</v>
      </c>
      <c r="C1464" s="2">
        <f>--(COUNTIFS($A$2:A1464,A1464,$B$2:B1464,B1464)=1)</f>
        <v>1</v>
      </c>
      <c r="D1464" t="str">
        <f>检查点拆解!F1464</f>
        <v>D07.02.04</v>
      </c>
      <c r="E1464" s="2">
        <f>--(COUNTIFS($A$2:A1464,A1464,$D$2:D1464,D1464)=1)</f>
        <v>1</v>
      </c>
    </row>
    <row r="1465" spans="1:5">
      <c r="A1465" t="str">
        <f>检查点拆解!A1465</f>
        <v>Q0204</v>
      </c>
      <c r="B1465" t="str">
        <f>检查点拆解!D1465</f>
        <v>C30</v>
      </c>
      <c r="C1465" s="2">
        <f>--(COUNTIFS($A$2:A1465,A1465,$B$2:B1465,B1465)=1)</f>
        <v>1</v>
      </c>
      <c r="D1465" t="str">
        <f>检查点拆解!F1465</f>
        <v>D15.01.02</v>
      </c>
      <c r="E1465" s="2">
        <f>--(COUNTIFS($A$2:A1465,A1465,$D$2:D1465,D1465)=1)</f>
        <v>1</v>
      </c>
    </row>
    <row r="1466" spans="1:5">
      <c r="A1466" t="str">
        <f>检查点拆解!A1466</f>
        <v>Q0204</v>
      </c>
      <c r="B1466" t="str">
        <f>检查点拆解!D1466</f>
        <v>C11</v>
      </c>
      <c r="C1466" s="2">
        <f>--(COUNTIFS($A$2:A1466,A1466,$B$2:B1466,B1466)=1)</f>
        <v>1</v>
      </c>
      <c r="D1466" t="str">
        <f>检查点拆解!F1466</f>
        <v>D04.03.02</v>
      </c>
      <c r="E1466" s="2">
        <f>--(COUNTIFS($A$2:A1466,A1466,$D$2:D1466,D1466)=1)</f>
        <v>1</v>
      </c>
    </row>
    <row r="1467" spans="1:5">
      <c r="A1467" t="str">
        <f>检查点拆解!A1467</f>
        <v>Q0204</v>
      </c>
      <c r="B1467" t="str">
        <f>检查点拆解!D1467</f>
        <v>C30</v>
      </c>
      <c r="C1467" s="2">
        <f>--(COUNTIFS($A$2:A1467,A1467,$B$2:B1467,B1467)=1)</f>
        <v>0</v>
      </c>
      <c r="D1467" t="str">
        <f>检查点拆解!F1467</f>
        <v>D15.02.01</v>
      </c>
      <c r="E1467" s="2">
        <f>--(COUNTIFS($A$2:A1467,A1467,$D$2:D1467,D1467)=1)</f>
        <v>1</v>
      </c>
    </row>
    <row r="1468" spans="1:5">
      <c r="A1468" t="str">
        <f>检查点拆解!A1468</f>
        <v>Q0204</v>
      </c>
      <c r="B1468" t="str">
        <f>检查点拆解!D1468</f>
        <v>C23</v>
      </c>
      <c r="C1468" s="2">
        <f>--(COUNTIFS($A$2:A1468,A1468,$B$2:B1468,B1468)=1)</f>
        <v>1</v>
      </c>
      <c r="D1468" t="str">
        <f>检查点拆解!F1468</f>
        <v>D09.01.03</v>
      </c>
      <c r="E1468" s="2">
        <f>--(COUNTIFS($A$2:A1468,A1468,$D$2:D1468,D1468)=1)</f>
        <v>1</v>
      </c>
    </row>
    <row r="1469" spans="1:5">
      <c r="A1469" t="str">
        <f>检查点拆解!A1469</f>
        <v>Q0204</v>
      </c>
      <c r="B1469" t="str">
        <f>检查点拆解!D1469</f>
        <v>C27</v>
      </c>
      <c r="C1469" s="2">
        <f>--(COUNTIFS($A$2:A1469,A1469,$B$2:B1469,B1469)=1)</f>
        <v>1</v>
      </c>
      <c r="D1469" t="str">
        <f>检查点拆解!F1469</f>
        <v>D11.02.02</v>
      </c>
      <c r="E1469" s="2">
        <f>--(COUNTIFS($A$2:A1469,A1469,$D$2:D1469,D1469)=1)</f>
        <v>1</v>
      </c>
    </row>
    <row r="1470" spans="1:5">
      <c r="A1470" t="str">
        <f>检查点拆解!A1470</f>
        <v>Q0204</v>
      </c>
      <c r="B1470" t="str">
        <f>检查点拆解!D1470</f>
        <v>C27</v>
      </c>
      <c r="C1470" s="2">
        <f>--(COUNTIFS($A$2:A1470,A1470,$B$2:B1470,B1470)=1)</f>
        <v>0</v>
      </c>
      <c r="D1470" t="str">
        <f>检查点拆解!F1470</f>
        <v>D11.02.03</v>
      </c>
      <c r="E1470" s="2">
        <f>--(COUNTIFS($A$2:A1470,A1470,$D$2:D1470,D1470)=1)</f>
        <v>1</v>
      </c>
    </row>
    <row r="1471" spans="1:5">
      <c r="A1471" t="str">
        <f>检查点拆解!A1471</f>
        <v>Q0204</v>
      </c>
      <c r="B1471" t="str">
        <f>检查点拆解!D1471</f>
        <v>C30</v>
      </c>
      <c r="C1471" s="2">
        <f>--(COUNTIFS($A$2:A1471,A1471,$B$2:B1471,B1471)=1)</f>
        <v>0</v>
      </c>
      <c r="D1471" t="str">
        <f>检查点拆解!F1471</f>
        <v>D15.01.03</v>
      </c>
      <c r="E1471" s="2">
        <f>--(COUNTIFS($A$2:A1471,A1471,$D$2:D1471,D1471)=1)</f>
        <v>1</v>
      </c>
    </row>
    <row r="1472" spans="1:5">
      <c r="A1472" t="str">
        <f>检查点拆解!A1472</f>
        <v>Q0205</v>
      </c>
      <c r="B1472" t="str">
        <f>检查点拆解!D1472</f>
        <v>C11</v>
      </c>
      <c r="C1472" s="2">
        <f>--(COUNTIFS($A$2:A1472,A1472,$B$2:B1472,B1472)=1)</f>
        <v>1</v>
      </c>
      <c r="D1472" t="str">
        <f>检查点拆解!F1472</f>
        <v>D04.03.02</v>
      </c>
      <c r="E1472" s="2">
        <f>--(COUNTIFS($A$2:A1472,A1472,$D$2:D1472,D1472)=1)</f>
        <v>1</v>
      </c>
    </row>
    <row r="1473" spans="1:5">
      <c r="A1473" t="str">
        <f>检查点拆解!A1473</f>
        <v>Q0205</v>
      </c>
      <c r="B1473" t="str">
        <f>检查点拆解!D1473</f>
        <v>C30</v>
      </c>
      <c r="C1473" s="2">
        <f>--(COUNTIFS($A$2:A1473,A1473,$B$2:B1473,B1473)=1)</f>
        <v>1</v>
      </c>
      <c r="D1473" t="str">
        <f>检查点拆解!F1473</f>
        <v>D15.02.01</v>
      </c>
      <c r="E1473" s="2">
        <f>--(COUNTIFS($A$2:A1473,A1473,$D$2:D1473,D1473)=1)</f>
        <v>1</v>
      </c>
    </row>
    <row r="1474" spans="1:5">
      <c r="A1474" t="str">
        <f>检查点拆解!A1474</f>
        <v>Q0205</v>
      </c>
      <c r="B1474" t="str">
        <f>检查点拆解!D1474</f>
        <v>C23</v>
      </c>
      <c r="C1474" s="2">
        <f>--(COUNTIFS($A$2:A1474,A1474,$B$2:B1474,B1474)=1)</f>
        <v>1</v>
      </c>
      <c r="D1474" t="str">
        <f>检查点拆解!F1474</f>
        <v>D09.01.03</v>
      </c>
      <c r="E1474" s="2">
        <f>--(COUNTIFS($A$2:A1474,A1474,$D$2:D1474,D1474)=1)</f>
        <v>1</v>
      </c>
    </row>
    <row r="1475" spans="1:5">
      <c r="A1475" t="str">
        <f>检查点拆解!A1475</f>
        <v>Q0205</v>
      </c>
      <c r="B1475" t="str">
        <f>检查点拆解!D1475</f>
        <v>C25</v>
      </c>
      <c r="C1475" s="2">
        <f>--(COUNTIFS($A$2:A1475,A1475,$B$2:B1475,B1475)=1)</f>
        <v>1</v>
      </c>
      <c r="D1475" t="str">
        <f>检查点拆解!F1475</f>
        <v>D10.01.01</v>
      </c>
      <c r="E1475" s="2">
        <f>--(COUNTIFS($A$2:A1475,A1475,$D$2:D1475,D1475)=1)</f>
        <v>1</v>
      </c>
    </row>
    <row r="1476" spans="1:5">
      <c r="A1476" t="str">
        <f>检查点拆解!A1476</f>
        <v>Q0206</v>
      </c>
      <c r="B1476" t="str">
        <f>检查点拆解!D1476</f>
        <v>C11</v>
      </c>
      <c r="C1476" s="2">
        <f>--(COUNTIFS($A$2:A1476,A1476,$B$2:B1476,B1476)=1)</f>
        <v>1</v>
      </c>
      <c r="D1476" t="str">
        <f>检查点拆解!F1476</f>
        <v>D04.03.02</v>
      </c>
      <c r="E1476" s="2">
        <f>--(COUNTIFS($A$2:A1476,A1476,$D$2:D1476,D1476)=1)</f>
        <v>1</v>
      </c>
    </row>
    <row r="1477" spans="1:5">
      <c r="A1477" t="str">
        <f>检查点拆解!A1477</f>
        <v>Q0206</v>
      </c>
      <c r="B1477" t="str">
        <f>检查点拆解!D1477</f>
        <v>C24</v>
      </c>
      <c r="C1477" s="2">
        <f>--(COUNTIFS($A$2:A1477,A1477,$B$2:B1477,B1477)=1)</f>
        <v>1</v>
      </c>
      <c r="D1477" t="str">
        <f>检查点拆解!F1477</f>
        <v>D09.03.03</v>
      </c>
      <c r="E1477" s="2">
        <f>--(COUNTIFS($A$2:A1477,A1477,$D$2:D1477,D1477)=1)</f>
        <v>1</v>
      </c>
    </row>
    <row r="1478" spans="1:5">
      <c r="A1478" t="str">
        <f>检查点拆解!A1478</f>
        <v>Q0206</v>
      </c>
      <c r="B1478" t="str">
        <f>检查点拆解!D1478</f>
        <v>C27</v>
      </c>
      <c r="C1478" s="2">
        <f>--(COUNTIFS($A$2:A1478,A1478,$B$2:B1478,B1478)=1)</f>
        <v>1</v>
      </c>
      <c r="D1478" t="str">
        <f>检查点拆解!F1478</f>
        <v>D11.01.01</v>
      </c>
      <c r="E1478" s="2">
        <f>--(COUNTIFS($A$2:A1478,A1478,$D$2:D1478,D1478)=1)</f>
        <v>1</v>
      </c>
    </row>
    <row r="1479" spans="1:5">
      <c r="A1479" t="str">
        <f>检查点拆解!A1479</f>
        <v>Q0206</v>
      </c>
      <c r="B1479" t="str">
        <f>检查点拆解!D1479</f>
        <v>C25</v>
      </c>
      <c r="C1479" s="2">
        <f>--(COUNTIFS($A$2:A1479,A1479,$B$2:B1479,B1479)=1)</f>
        <v>1</v>
      </c>
      <c r="D1479" t="str">
        <f>检查点拆解!F1479</f>
        <v>D10.01.01</v>
      </c>
      <c r="E1479" s="2">
        <f>--(COUNTIFS($A$2:A1479,A1479,$D$2:D1479,D1479)=1)</f>
        <v>1</v>
      </c>
    </row>
    <row r="1480" spans="1:5">
      <c r="A1480" t="str">
        <f>检查点拆解!A1480</f>
        <v>Q0206</v>
      </c>
      <c r="B1480" t="str">
        <f>检查点拆解!D1480</f>
        <v>C30</v>
      </c>
      <c r="C1480" s="2">
        <f>--(COUNTIFS($A$2:A1480,A1480,$B$2:B1480,B1480)=1)</f>
        <v>1</v>
      </c>
      <c r="D1480" t="str">
        <f>检查点拆解!F1480</f>
        <v>D15.01.04</v>
      </c>
      <c r="E1480" s="2">
        <f>--(COUNTIFS($A$2:A1480,A1480,$D$2:D1480,D1480)=1)</f>
        <v>1</v>
      </c>
    </row>
    <row r="1481" spans="1:5">
      <c r="A1481" t="str">
        <f>检查点拆解!A1481</f>
        <v>Q0206</v>
      </c>
      <c r="B1481" t="str">
        <f>检查点拆解!D1481</f>
        <v>C28</v>
      </c>
      <c r="C1481" s="2">
        <f>--(COUNTIFS($A$2:A1481,A1481,$B$2:B1481,B1481)=1)</f>
        <v>1</v>
      </c>
      <c r="D1481" t="str">
        <f>检查点拆解!F1481</f>
        <v>D12.02.01</v>
      </c>
      <c r="E1481" s="2">
        <f>--(COUNTIFS($A$2:A1481,A1481,$D$2:D1481,D1481)=1)</f>
        <v>1</v>
      </c>
    </row>
    <row r="1482" spans="1:5">
      <c r="A1482" t="str">
        <f>检查点拆解!A1482</f>
        <v>Q0206</v>
      </c>
      <c r="B1482" t="str">
        <f>检查点拆解!D1482</f>
        <v>C26</v>
      </c>
      <c r="C1482" s="2">
        <f>--(COUNTIFS($A$2:A1482,A1482,$B$2:B1482,B1482)=1)</f>
        <v>1</v>
      </c>
      <c r="D1482" t="str">
        <f>检查点拆解!F1482</f>
        <v>D10.02.01</v>
      </c>
      <c r="E1482" s="2">
        <f>--(COUNTIFS($A$2:A1482,A1482,$D$2:D1482,D1482)=1)</f>
        <v>1</v>
      </c>
    </row>
    <row r="1483" spans="1:5">
      <c r="A1483" t="str">
        <f>检查点拆解!A1483</f>
        <v>Q0206</v>
      </c>
      <c r="B1483" t="str">
        <f>检查点拆解!D1483</f>
        <v>C28</v>
      </c>
      <c r="C1483" s="2">
        <f>--(COUNTIFS($A$2:A1483,A1483,$B$2:B1483,B1483)=1)</f>
        <v>0</v>
      </c>
      <c r="D1483" t="str">
        <f>检查点拆解!F1483</f>
        <v>D12.01.01</v>
      </c>
      <c r="E1483" s="2">
        <f>--(COUNTIFS($A$2:A1483,A1483,$D$2:D1483,D1483)=1)</f>
        <v>1</v>
      </c>
    </row>
    <row r="1484" spans="1:5">
      <c r="A1484" t="str">
        <f>检查点拆解!A1484</f>
        <v>Q0207</v>
      </c>
      <c r="B1484" t="str">
        <f>检查点拆解!D1484</f>
        <v>C15</v>
      </c>
      <c r="C1484" s="2">
        <f>--(COUNTIFS($A$2:A1484,A1484,$B$2:B1484,B1484)=1)</f>
        <v>1</v>
      </c>
      <c r="D1484" t="str">
        <f>检查点拆解!F1484</f>
        <v>D05.02.03</v>
      </c>
      <c r="E1484" s="2">
        <f>--(COUNTIFS($A$2:A1484,A1484,$D$2:D1484,D1484)=1)</f>
        <v>1</v>
      </c>
    </row>
    <row r="1485" spans="1:5">
      <c r="A1485" t="str">
        <f>检查点拆解!A1485</f>
        <v>Q0207</v>
      </c>
      <c r="B1485" t="str">
        <f>检查点拆解!D1485</f>
        <v>C25</v>
      </c>
      <c r="C1485" s="2">
        <f>--(COUNTIFS($A$2:A1485,A1485,$B$2:B1485,B1485)=1)</f>
        <v>1</v>
      </c>
      <c r="D1485" t="str">
        <f>检查点拆解!F1485</f>
        <v>D10.01.01</v>
      </c>
      <c r="E1485" s="2">
        <f>--(COUNTIFS($A$2:A1485,A1485,$D$2:D1485,D1485)=1)</f>
        <v>1</v>
      </c>
    </row>
    <row r="1486" spans="1:5">
      <c r="A1486" t="str">
        <f>检查点拆解!A1486</f>
        <v>Q0208</v>
      </c>
      <c r="B1486" t="str">
        <f>检查点拆解!D1486</f>
        <v>C30</v>
      </c>
      <c r="C1486" s="2">
        <f>--(COUNTIFS($A$2:A1486,A1486,$B$2:B1486,B1486)=1)</f>
        <v>1</v>
      </c>
      <c r="D1486" t="str">
        <f>检查点拆解!F1486</f>
        <v>D15.01.02</v>
      </c>
      <c r="E1486" s="2">
        <f>--(COUNTIFS($A$2:A1486,A1486,$D$2:D1486,D1486)=1)</f>
        <v>1</v>
      </c>
    </row>
    <row r="1487" spans="1:5">
      <c r="A1487" t="str">
        <f>检查点拆解!A1487</f>
        <v>Q0208</v>
      </c>
      <c r="B1487" t="str">
        <f>检查点拆解!D1487</f>
        <v>C29</v>
      </c>
      <c r="C1487" s="2">
        <f>--(COUNTIFS($A$2:A1487,A1487,$B$2:B1487,B1487)=1)</f>
        <v>1</v>
      </c>
      <c r="D1487" t="str">
        <f>检查点拆解!F1487</f>
        <v>D14.02.01</v>
      </c>
      <c r="E1487" s="2">
        <f>--(COUNTIFS($A$2:A1487,A1487,$D$2:D1487,D1487)=1)</f>
        <v>1</v>
      </c>
    </row>
    <row r="1488" spans="1:5">
      <c r="A1488" t="str">
        <f>检查点拆解!A1488</f>
        <v>Q0208</v>
      </c>
      <c r="B1488" t="str">
        <f>检查点拆解!D1488</f>
        <v>C30</v>
      </c>
      <c r="C1488" s="2">
        <f>--(COUNTIFS($A$2:A1488,A1488,$B$2:B1488,B1488)=1)</f>
        <v>0</v>
      </c>
      <c r="D1488" t="str">
        <f>检查点拆解!F1488</f>
        <v>D15.01.03</v>
      </c>
      <c r="E1488" s="2">
        <f>--(COUNTIFS($A$2:A1488,A1488,$D$2:D1488,D1488)=1)</f>
        <v>1</v>
      </c>
    </row>
    <row r="1489" spans="1:5">
      <c r="A1489" t="str">
        <f>检查点拆解!A1489</f>
        <v>Q0208</v>
      </c>
      <c r="B1489" t="str">
        <f>检查点拆解!D1489</f>
        <v>C06</v>
      </c>
      <c r="C1489" s="2">
        <f>--(COUNTIFS($A$2:A1489,A1489,$B$2:B1489,B1489)=1)</f>
        <v>1</v>
      </c>
      <c r="D1489" t="str">
        <f>检查点拆解!F1489</f>
        <v>D03.01.03</v>
      </c>
      <c r="E1489" s="2">
        <f>--(COUNTIFS($A$2:A1489,A1489,$D$2:D1489,D1489)=1)</f>
        <v>1</v>
      </c>
    </row>
    <row r="1490" spans="1:5">
      <c r="A1490" t="str">
        <f>检查点拆解!A1490</f>
        <v>Q0208</v>
      </c>
      <c r="B1490" t="str">
        <f>检查点拆解!D1490</f>
        <v>C19</v>
      </c>
      <c r="C1490" s="2">
        <f>--(COUNTIFS($A$2:A1490,A1490,$B$2:B1490,B1490)=1)</f>
        <v>1</v>
      </c>
      <c r="D1490" t="str">
        <f>检查点拆解!F1490</f>
        <v>D07.02.01</v>
      </c>
      <c r="E1490" s="2">
        <f>--(COUNTIFS($A$2:A1490,A1490,$D$2:D1490,D1490)=1)</f>
        <v>1</v>
      </c>
    </row>
    <row r="1491" spans="1:5">
      <c r="A1491" t="str">
        <f>检查点拆解!A1491</f>
        <v>Q0208</v>
      </c>
      <c r="B1491" t="str">
        <f>检查点拆解!D1491</f>
        <v>C09</v>
      </c>
      <c r="C1491" s="2">
        <f>--(COUNTIFS($A$2:A1491,A1491,$B$2:B1491,B1491)=1)</f>
        <v>1</v>
      </c>
      <c r="D1491" t="str">
        <f>检查点拆解!F1491</f>
        <v>D04.02.02</v>
      </c>
      <c r="E1491" s="2">
        <f>--(COUNTIFS($A$2:A1491,A1491,$D$2:D1491,D1491)=1)</f>
        <v>1</v>
      </c>
    </row>
    <row r="1492" spans="1:5">
      <c r="A1492" t="str">
        <f>检查点拆解!A1492</f>
        <v>Q0208</v>
      </c>
      <c r="B1492" t="str">
        <f>检查点拆解!D1492</f>
        <v>C30</v>
      </c>
      <c r="C1492" s="2">
        <f>--(COUNTIFS($A$2:A1492,A1492,$B$2:B1492,B1492)=1)</f>
        <v>0</v>
      </c>
      <c r="D1492" t="str">
        <f>检查点拆解!F1492</f>
        <v>D15.01.04</v>
      </c>
      <c r="E1492" s="2">
        <f>--(COUNTIFS($A$2:A1492,A1492,$D$2:D1492,D1492)=1)</f>
        <v>1</v>
      </c>
    </row>
    <row r="1493" spans="1:5">
      <c r="A1493" t="str">
        <f>检查点拆解!A1493</f>
        <v>Q0208</v>
      </c>
      <c r="B1493" t="str">
        <f>检查点拆解!D1493</f>
        <v>C06</v>
      </c>
      <c r="C1493" s="2">
        <f>--(COUNTIFS($A$2:A1493,A1493,$B$2:B1493,B1493)=1)</f>
        <v>0</v>
      </c>
      <c r="D1493" t="str">
        <f>检查点拆解!F1493</f>
        <v>D03.01.02</v>
      </c>
      <c r="E1493" s="2">
        <f>--(COUNTIFS($A$2:A1493,A1493,$D$2:D1493,D1493)=1)</f>
        <v>1</v>
      </c>
    </row>
    <row r="1494" spans="1:5">
      <c r="A1494" t="str">
        <f>检查点拆解!A1494</f>
        <v>Q0208</v>
      </c>
      <c r="B1494" t="str">
        <f>检查点拆解!D1494</f>
        <v>C04</v>
      </c>
      <c r="C1494" s="2">
        <f>--(COUNTIFS($A$2:A1494,A1494,$B$2:B1494,B1494)=1)</f>
        <v>1</v>
      </c>
      <c r="D1494" t="str">
        <f>检查点拆解!F1494</f>
        <v>D02.02.01</v>
      </c>
      <c r="E1494" s="2">
        <f>--(COUNTIFS($A$2:A1494,A1494,$D$2:D1494,D1494)=1)</f>
        <v>1</v>
      </c>
    </row>
    <row r="1495" spans="1:5">
      <c r="A1495" t="str">
        <f>检查点拆解!A1495</f>
        <v>Q0208</v>
      </c>
      <c r="B1495" t="str">
        <f>检查点拆解!D1495</f>
        <v>C06</v>
      </c>
      <c r="C1495" s="2">
        <f>--(COUNTIFS($A$2:A1495,A1495,$B$2:B1495,B1495)=1)</f>
        <v>0</v>
      </c>
      <c r="D1495" t="str">
        <f>检查点拆解!F1495</f>
        <v>D03.01.01</v>
      </c>
      <c r="E1495" s="2">
        <f>--(COUNTIFS($A$2:A1495,A1495,$D$2:D1495,D1495)=1)</f>
        <v>1</v>
      </c>
    </row>
    <row r="1496" spans="1:5">
      <c r="A1496" t="str">
        <f>检查点拆解!A1496</f>
        <v>Q0209</v>
      </c>
      <c r="B1496" t="str">
        <f>检查点拆解!D1496</f>
        <v>C30</v>
      </c>
      <c r="C1496" s="2">
        <f>--(COUNTIFS($A$2:A1496,A1496,$B$2:B1496,B1496)=1)</f>
        <v>1</v>
      </c>
      <c r="D1496" t="str">
        <f>检查点拆解!F1496</f>
        <v>D15.01.02</v>
      </c>
      <c r="E1496" s="2">
        <f>--(COUNTIFS($A$2:A1496,A1496,$D$2:D1496,D1496)=1)</f>
        <v>1</v>
      </c>
    </row>
    <row r="1497" spans="1:5">
      <c r="A1497" t="str">
        <f>检查点拆解!A1497</f>
        <v>Q0209</v>
      </c>
      <c r="B1497" t="str">
        <f>检查点拆解!D1497</f>
        <v>C24</v>
      </c>
      <c r="C1497" s="2">
        <f>--(COUNTIFS($A$2:A1497,A1497,$B$2:B1497,B1497)=1)</f>
        <v>1</v>
      </c>
      <c r="D1497" t="str">
        <f>检查点拆解!F1497</f>
        <v>D09.02.02</v>
      </c>
      <c r="E1497" s="2">
        <f>--(COUNTIFS($A$2:A1497,A1497,$D$2:D1497,D1497)=1)</f>
        <v>1</v>
      </c>
    </row>
    <row r="1498" spans="1:5">
      <c r="A1498" t="str">
        <f>检查点拆解!A1498</f>
        <v>Q0209</v>
      </c>
      <c r="B1498" t="str">
        <f>检查点拆解!D1498</f>
        <v>C24</v>
      </c>
      <c r="C1498" s="2">
        <f>--(COUNTIFS($A$2:A1498,A1498,$B$2:B1498,B1498)=1)</f>
        <v>0</v>
      </c>
      <c r="D1498" t="str">
        <f>检查点拆解!F1498</f>
        <v>D09.03.02</v>
      </c>
      <c r="E1498" s="2">
        <f>--(COUNTIFS($A$2:A1498,A1498,$D$2:D1498,D1498)=1)</f>
        <v>1</v>
      </c>
    </row>
    <row r="1499" spans="1:5">
      <c r="A1499" t="str">
        <f>检查点拆解!A1499</f>
        <v>Q0209</v>
      </c>
      <c r="B1499" t="str">
        <f>检查点拆解!D1499</f>
        <v>C30</v>
      </c>
      <c r="C1499" s="2">
        <f>--(COUNTIFS($A$2:A1499,A1499,$B$2:B1499,B1499)=1)</f>
        <v>0</v>
      </c>
      <c r="D1499" t="str">
        <f>检查点拆解!F1499</f>
        <v>D15.01.03</v>
      </c>
      <c r="E1499" s="2">
        <f>--(COUNTIFS($A$2:A1499,A1499,$D$2:D1499,D1499)=1)</f>
        <v>1</v>
      </c>
    </row>
    <row r="1500" spans="1:5">
      <c r="A1500" t="str">
        <f>检查点拆解!A1500</f>
        <v>Q0209</v>
      </c>
      <c r="B1500" t="str">
        <f>检查点拆解!D1500</f>
        <v>C27</v>
      </c>
      <c r="C1500" s="2">
        <f>--(COUNTIFS($A$2:A1500,A1500,$B$2:B1500,B1500)=1)</f>
        <v>1</v>
      </c>
      <c r="D1500" t="str">
        <f>检查点拆解!F1500</f>
        <v>D11.01.02</v>
      </c>
      <c r="E1500" s="2">
        <f>--(COUNTIFS($A$2:A1500,A1500,$D$2:D1500,D1500)=1)</f>
        <v>1</v>
      </c>
    </row>
    <row r="1501" spans="1:5">
      <c r="A1501" t="str">
        <f>检查点拆解!A1501</f>
        <v>Q0209</v>
      </c>
      <c r="B1501" t="str">
        <f>检查点拆解!D1501</f>
        <v>C24</v>
      </c>
      <c r="C1501" s="2">
        <f>--(COUNTIFS($A$2:A1501,A1501,$B$2:B1501,B1501)=1)</f>
        <v>0</v>
      </c>
      <c r="D1501" t="str">
        <f>检查点拆解!F1501</f>
        <v>D09.03.03</v>
      </c>
      <c r="E1501" s="2">
        <f>--(COUNTIFS($A$2:A1501,A1501,$D$2:D1501,D1501)=1)</f>
        <v>1</v>
      </c>
    </row>
    <row r="1502" spans="1:5">
      <c r="A1502" t="str">
        <f>检查点拆解!A1502</f>
        <v>Q0209</v>
      </c>
      <c r="B1502" t="str">
        <f>检查点拆解!D1502</f>
        <v>C25</v>
      </c>
      <c r="C1502" s="2">
        <f>--(COUNTIFS($A$2:A1502,A1502,$B$2:B1502,B1502)=1)</f>
        <v>1</v>
      </c>
      <c r="D1502" t="str">
        <f>检查点拆解!F1502</f>
        <v>D10.01.01</v>
      </c>
      <c r="E1502" s="2">
        <f>--(COUNTIFS($A$2:A1502,A1502,$D$2:D1502,D1502)=1)</f>
        <v>1</v>
      </c>
    </row>
    <row r="1503" spans="1:5">
      <c r="A1503" t="str">
        <f>检查点拆解!A1503</f>
        <v>Q0209</v>
      </c>
      <c r="B1503" t="str">
        <f>检查点拆解!D1503</f>
        <v>C30</v>
      </c>
      <c r="C1503" s="2">
        <f>--(COUNTIFS($A$2:A1503,A1503,$B$2:B1503,B1503)=1)</f>
        <v>0</v>
      </c>
      <c r="D1503" t="str">
        <f>检查点拆解!F1503</f>
        <v>D15.01.04</v>
      </c>
      <c r="E1503" s="2">
        <f>--(COUNTIFS($A$2:A1503,A1503,$D$2:D1503,D1503)=1)</f>
        <v>1</v>
      </c>
    </row>
    <row r="1504" spans="1:5">
      <c r="A1504" t="str">
        <f>检查点拆解!A1504</f>
        <v>Q0209</v>
      </c>
      <c r="B1504" t="str">
        <f>检查点拆解!D1504</f>
        <v>C28</v>
      </c>
      <c r="C1504" s="2">
        <f>--(COUNTIFS($A$2:A1504,A1504,$B$2:B1504,B1504)=1)</f>
        <v>1</v>
      </c>
      <c r="D1504" t="str">
        <f>检查点拆解!F1504</f>
        <v>D12.02.01</v>
      </c>
      <c r="E1504" s="2">
        <f>--(COUNTIFS($A$2:A1504,A1504,$D$2:D1504,D1504)=1)</f>
        <v>1</v>
      </c>
    </row>
    <row r="1505" spans="1:5">
      <c r="A1505" t="str">
        <f>检查点拆解!A1505</f>
        <v>Q0209</v>
      </c>
      <c r="B1505" t="str">
        <f>检查点拆解!D1505</f>
        <v>C28</v>
      </c>
      <c r="C1505" s="2">
        <f>--(COUNTIFS($A$2:A1505,A1505,$B$2:B1505,B1505)=1)</f>
        <v>0</v>
      </c>
      <c r="D1505" t="str">
        <f>检查点拆解!F1505</f>
        <v>D12.01.01</v>
      </c>
      <c r="E1505" s="2">
        <f>--(COUNTIFS($A$2:A1505,A1505,$D$2:D1505,D1505)=1)</f>
        <v>1</v>
      </c>
    </row>
    <row r="1506" spans="1:5">
      <c r="A1506" t="str">
        <f>检查点拆解!A1506</f>
        <v>Q0209</v>
      </c>
      <c r="B1506" t="str">
        <f>检查点拆解!D1506</f>
        <v>C28</v>
      </c>
      <c r="C1506" s="2">
        <f>--(COUNTIFS($A$2:A1506,A1506,$B$2:B1506,B1506)=1)</f>
        <v>0</v>
      </c>
      <c r="D1506" t="str">
        <f>检查点拆解!F1506</f>
        <v>D12.01.02</v>
      </c>
      <c r="E1506" s="2">
        <f>--(COUNTIFS($A$2:A1506,A1506,$D$2:D1506,D1506)=1)</f>
        <v>1</v>
      </c>
    </row>
    <row r="1507" spans="1:5">
      <c r="A1507" t="str">
        <f>检查点拆解!A1507</f>
        <v>Q0209</v>
      </c>
      <c r="B1507" t="str">
        <f>检查点拆解!D1507</f>
        <v>C06</v>
      </c>
      <c r="C1507" s="2">
        <f>--(COUNTIFS($A$2:A1507,A1507,$B$2:B1507,B1507)=1)</f>
        <v>1</v>
      </c>
      <c r="D1507" t="str">
        <f>检查点拆解!F1507</f>
        <v>D03.01.01</v>
      </c>
      <c r="E1507" s="2">
        <f>--(COUNTIFS($A$2:A1507,A1507,$D$2:D1507,D1507)=1)</f>
        <v>1</v>
      </c>
    </row>
    <row r="1508" spans="1:5">
      <c r="A1508" t="str">
        <f>检查点拆解!A1508</f>
        <v>Q0210</v>
      </c>
      <c r="B1508" t="str">
        <f>检查点拆解!D1508</f>
        <v>C30</v>
      </c>
      <c r="C1508" s="2">
        <f>--(COUNTIFS($A$2:A1508,A1508,$B$2:B1508,B1508)=1)</f>
        <v>1</v>
      </c>
      <c r="D1508" t="str">
        <f>检查点拆解!F1508</f>
        <v>D15.01.02</v>
      </c>
      <c r="E1508" s="2">
        <f>--(COUNTIFS($A$2:A1508,A1508,$D$2:D1508,D1508)=1)</f>
        <v>1</v>
      </c>
    </row>
    <row r="1509" spans="1:5">
      <c r="A1509" t="str">
        <f>检查点拆解!A1509</f>
        <v>Q0210</v>
      </c>
      <c r="B1509" t="str">
        <f>检查点拆解!D1509</f>
        <v>C29</v>
      </c>
      <c r="C1509" s="2">
        <f>--(COUNTIFS($A$2:A1509,A1509,$B$2:B1509,B1509)=1)</f>
        <v>1</v>
      </c>
      <c r="D1509" t="str">
        <f>检查点拆解!F1509</f>
        <v>D14.02.01</v>
      </c>
      <c r="E1509" s="2">
        <f>--(COUNTIFS($A$2:A1509,A1509,$D$2:D1509,D1509)=1)</f>
        <v>1</v>
      </c>
    </row>
    <row r="1510" spans="1:5">
      <c r="A1510" t="str">
        <f>检查点拆解!A1510</f>
        <v>Q0210</v>
      </c>
      <c r="B1510" t="str">
        <f>检查点拆解!D1510</f>
        <v>C24</v>
      </c>
      <c r="C1510" s="2">
        <f>--(COUNTIFS($A$2:A1510,A1510,$B$2:B1510,B1510)=1)</f>
        <v>1</v>
      </c>
      <c r="D1510" t="str">
        <f>检查点拆解!F1510</f>
        <v>D09.02.02</v>
      </c>
      <c r="E1510" s="2">
        <f>--(COUNTIFS($A$2:A1510,A1510,$D$2:D1510,D1510)=1)</f>
        <v>1</v>
      </c>
    </row>
    <row r="1511" spans="1:5">
      <c r="A1511" t="str">
        <f>检查点拆解!A1511</f>
        <v>Q0210</v>
      </c>
      <c r="B1511" t="str">
        <f>检查点拆解!D1511</f>
        <v>C25</v>
      </c>
      <c r="C1511" s="2">
        <f>--(COUNTIFS($A$2:A1511,A1511,$B$2:B1511,B1511)=1)</f>
        <v>1</v>
      </c>
      <c r="D1511" t="str">
        <f>检查点拆解!F1511</f>
        <v>D10.01.03</v>
      </c>
      <c r="E1511" s="2">
        <f>--(COUNTIFS($A$2:A1511,A1511,$D$2:D1511,D1511)=1)</f>
        <v>1</v>
      </c>
    </row>
    <row r="1512" spans="1:5">
      <c r="A1512" t="str">
        <f>检查点拆解!A1512</f>
        <v>Q0210</v>
      </c>
      <c r="B1512" t="str">
        <f>检查点拆解!D1512</f>
        <v>C24</v>
      </c>
      <c r="C1512" s="2">
        <f>--(COUNTIFS($A$2:A1512,A1512,$B$2:B1512,B1512)=1)</f>
        <v>0</v>
      </c>
      <c r="D1512" t="str">
        <f>检查点拆解!F1512</f>
        <v>D09.03.02</v>
      </c>
      <c r="E1512" s="2">
        <f>--(COUNTIFS($A$2:A1512,A1512,$D$2:D1512,D1512)=1)</f>
        <v>1</v>
      </c>
    </row>
    <row r="1513" spans="1:5">
      <c r="A1513" t="str">
        <f>检查点拆解!A1513</f>
        <v>Q0210</v>
      </c>
      <c r="B1513" t="str">
        <f>检查点拆解!D1513</f>
        <v>C30</v>
      </c>
      <c r="C1513" s="2">
        <f>--(COUNTIFS($A$2:A1513,A1513,$B$2:B1513,B1513)=1)</f>
        <v>0</v>
      </c>
      <c r="D1513" t="str">
        <f>检查点拆解!F1513</f>
        <v>D15.01.03</v>
      </c>
      <c r="E1513" s="2">
        <f>--(COUNTIFS($A$2:A1513,A1513,$D$2:D1513,D1513)=1)</f>
        <v>1</v>
      </c>
    </row>
    <row r="1514" spans="1:5">
      <c r="A1514" t="str">
        <f>检查点拆解!A1514</f>
        <v>Q0210</v>
      </c>
      <c r="B1514" t="str">
        <f>检查点拆解!D1514</f>
        <v>C06</v>
      </c>
      <c r="C1514" s="2">
        <f>--(COUNTIFS($A$2:A1514,A1514,$B$2:B1514,B1514)=1)</f>
        <v>1</v>
      </c>
      <c r="D1514" t="str">
        <f>检查点拆解!F1514</f>
        <v>D03.01.03</v>
      </c>
      <c r="E1514" s="2">
        <f>--(COUNTIFS($A$2:A1514,A1514,$D$2:D1514,D1514)=1)</f>
        <v>1</v>
      </c>
    </row>
    <row r="1515" spans="1:5">
      <c r="A1515" t="str">
        <f>检查点拆解!A1515</f>
        <v>Q0210</v>
      </c>
      <c r="B1515" t="str">
        <f>检查点拆解!D1515</f>
        <v>C18</v>
      </c>
      <c r="C1515" s="2">
        <f>--(COUNTIFS($A$2:A1515,A1515,$B$2:B1515,B1515)=1)</f>
        <v>1</v>
      </c>
      <c r="D1515" t="str">
        <f>检查点拆解!F1515</f>
        <v>D07.01.01</v>
      </c>
      <c r="E1515" s="2">
        <f>--(COUNTIFS($A$2:A1515,A1515,$D$2:D1515,D1515)=1)</f>
        <v>1</v>
      </c>
    </row>
    <row r="1516" spans="1:5">
      <c r="A1516" t="str">
        <f>检查点拆解!A1516</f>
        <v>Q0210</v>
      </c>
      <c r="B1516" t="str">
        <f>检查点拆解!D1516</f>
        <v>C25</v>
      </c>
      <c r="C1516" s="2">
        <f>--(COUNTIFS($A$2:A1516,A1516,$B$2:B1516,B1516)=1)</f>
        <v>0</v>
      </c>
      <c r="D1516" t="str">
        <f>检查点拆解!F1516</f>
        <v>D10.01.01</v>
      </c>
      <c r="E1516" s="2">
        <f>--(COUNTIFS($A$2:A1516,A1516,$D$2:D1516,D1516)=1)</f>
        <v>1</v>
      </c>
    </row>
    <row r="1517" spans="1:5">
      <c r="A1517" t="str">
        <f>检查点拆解!A1517</f>
        <v>Q0210</v>
      </c>
      <c r="B1517" t="str">
        <f>检查点拆解!D1517</f>
        <v>C06</v>
      </c>
      <c r="C1517" s="2">
        <f>--(COUNTIFS($A$2:A1517,A1517,$B$2:B1517,B1517)=1)</f>
        <v>0</v>
      </c>
      <c r="D1517" t="str">
        <f>检查点拆解!F1517</f>
        <v>D03.01.02</v>
      </c>
      <c r="E1517" s="2">
        <f>--(COUNTIFS($A$2:A1517,A1517,$D$2:D1517,D1517)=1)</f>
        <v>1</v>
      </c>
    </row>
    <row r="1518" spans="1:5">
      <c r="A1518" t="str">
        <f>检查点拆解!A1518</f>
        <v>Q0211</v>
      </c>
      <c r="B1518" t="str">
        <f>检查点拆解!D1518</f>
        <v>C27</v>
      </c>
      <c r="C1518" s="2">
        <f>--(COUNTIFS($A$2:A1518,A1518,$B$2:B1518,B1518)=1)</f>
        <v>1</v>
      </c>
      <c r="D1518" t="str">
        <f>检查点拆解!F1518</f>
        <v>D11.02.01</v>
      </c>
      <c r="E1518" s="2">
        <f>--(COUNTIFS($A$2:A1518,A1518,$D$2:D1518,D1518)=1)</f>
        <v>1</v>
      </c>
    </row>
    <row r="1519" spans="1:5">
      <c r="A1519" t="str">
        <f>检查点拆解!A1519</f>
        <v>Q0211</v>
      </c>
      <c r="B1519" t="str">
        <f>检查点拆解!D1519</f>
        <v>C19</v>
      </c>
      <c r="C1519" s="2">
        <f>--(COUNTIFS($A$2:A1519,A1519,$B$2:B1519,B1519)=1)</f>
        <v>1</v>
      </c>
      <c r="D1519" t="str">
        <f>检查点拆解!F1519</f>
        <v>D07.02.03</v>
      </c>
      <c r="E1519" s="2">
        <f>--(COUNTIFS($A$2:A1519,A1519,$D$2:D1519,D1519)=1)</f>
        <v>1</v>
      </c>
    </row>
    <row r="1520" spans="1:5">
      <c r="A1520" t="str">
        <f>检查点拆解!A1520</f>
        <v>Q0211</v>
      </c>
      <c r="B1520" t="str">
        <f>检查点拆解!D1520</f>
        <v>C27</v>
      </c>
      <c r="C1520" s="2">
        <f>--(COUNTIFS($A$2:A1520,A1520,$B$2:B1520,B1520)=1)</f>
        <v>0</v>
      </c>
      <c r="D1520" t="str">
        <f>检查点拆解!F1520</f>
        <v>D11.01.02</v>
      </c>
      <c r="E1520" s="2">
        <f>--(COUNTIFS($A$2:A1520,A1520,$D$2:D1520,D1520)=1)</f>
        <v>1</v>
      </c>
    </row>
    <row r="1521" spans="1:5">
      <c r="A1521" t="str">
        <f>检查点拆解!A1521</f>
        <v>Q0211</v>
      </c>
      <c r="B1521" t="str">
        <f>检查点拆解!D1521</f>
        <v>C24</v>
      </c>
      <c r="C1521" s="2">
        <f>--(COUNTIFS($A$2:A1521,A1521,$B$2:B1521,B1521)=1)</f>
        <v>1</v>
      </c>
      <c r="D1521" t="str">
        <f>检查点拆解!F1521</f>
        <v>D09.03.03</v>
      </c>
      <c r="E1521" s="2">
        <f>--(COUNTIFS($A$2:A1521,A1521,$D$2:D1521,D1521)=1)</f>
        <v>1</v>
      </c>
    </row>
    <row r="1522" spans="1:5">
      <c r="A1522" t="str">
        <f>检查点拆解!A1522</f>
        <v>Q0211</v>
      </c>
      <c r="B1522" t="str">
        <f>检查点拆解!D1522</f>
        <v>C27</v>
      </c>
      <c r="C1522" s="2">
        <f>--(COUNTIFS($A$2:A1522,A1522,$B$2:B1522,B1522)=1)</f>
        <v>0</v>
      </c>
      <c r="D1522" t="str">
        <f>检查点拆解!F1522</f>
        <v>D11.01.01</v>
      </c>
      <c r="E1522" s="2">
        <f>--(COUNTIFS($A$2:A1522,A1522,$D$2:D1522,D1522)=1)</f>
        <v>1</v>
      </c>
    </row>
    <row r="1523" spans="1:5">
      <c r="A1523" t="str">
        <f>检查点拆解!A1523</f>
        <v>Q0211</v>
      </c>
      <c r="B1523" t="str">
        <f>检查点拆解!D1523</f>
        <v>C21</v>
      </c>
      <c r="C1523" s="2">
        <f>--(COUNTIFS($A$2:A1523,A1523,$B$2:B1523,B1523)=1)</f>
        <v>1</v>
      </c>
      <c r="D1523" t="str">
        <f>检查点拆解!F1523</f>
        <v>D07.03.01</v>
      </c>
      <c r="E1523" s="2">
        <f>--(COUNTIFS($A$2:A1523,A1523,$D$2:D1523,D1523)=1)</f>
        <v>1</v>
      </c>
    </row>
    <row r="1524" spans="1:5">
      <c r="A1524" t="str">
        <f>检查点拆解!A1524</f>
        <v>Q0211</v>
      </c>
      <c r="B1524" t="str">
        <f>检查点拆解!D1524</f>
        <v>C24</v>
      </c>
      <c r="C1524" s="2">
        <f>--(COUNTIFS($A$2:A1524,A1524,$B$2:B1524,B1524)=1)</f>
        <v>0</v>
      </c>
      <c r="D1524" t="str">
        <f>检查点拆解!F1524</f>
        <v>D09.02.03</v>
      </c>
      <c r="E1524" s="2">
        <f>--(COUNTIFS($A$2:A1524,A1524,$D$2:D1524,D1524)=1)</f>
        <v>1</v>
      </c>
    </row>
    <row r="1525" spans="1:5">
      <c r="A1525" t="str">
        <f>检查点拆解!A1525</f>
        <v>Q0211</v>
      </c>
      <c r="B1525" t="str">
        <f>检查点拆解!D1525</f>
        <v>C25</v>
      </c>
      <c r="C1525" s="2">
        <f>--(COUNTIFS($A$2:A1525,A1525,$B$2:B1525,B1525)=1)</f>
        <v>1</v>
      </c>
      <c r="D1525" t="str">
        <f>检查点拆解!F1525</f>
        <v>D10.01.01</v>
      </c>
      <c r="E1525" s="2">
        <f>--(COUNTIFS($A$2:A1525,A1525,$D$2:D1525,D1525)=1)</f>
        <v>1</v>
      </c>
    </row>
    <row r="1526" spans="1:5">
      <c r="A1526" t="str">
        <f>检查点拆解!A1526</f>
        <v>Q0211</v>
      </c>
      <c r="B1526" t="str">
        <f>检查点拆解!D1526</f>
        <v>C25</v>
      </c>
      <c r="C1526" s="2">
        <f>--(COUNTIFS($A$2:A1526,A1526,$B$2:B1526,B1526)=1)</f>
        <v>0</v>
      </c>
      <c r="D1526" t="str">
        <f>检查点拆解!F1526</f>
        <v>D10.01.04</v>
      </c>
      <c r="E1526" s="2">
        <f>--(COUNTIFS($A$2:A1526,A1526,$D$2:D1526,D1526)=1)</f>
        <v>1</v>
      </c>
    </row>
    <row r="1527" spans="1:5">
      <c r="A1527" t="str">
        <f>检查点拆解!A1527</f>
        <v>Q0211</v>
      </c>
      <c r="B1527" t="str">
        <f>检查点拆解!D1527</f>
        <v>C08</v>
      </c>
      <c r="C1527" s="2">
        <f>--(COUNTIFS($A$2:A1527,A1527,$B$2:B1527,B1527)=1)</f>
        <v>1</v>
      </c>
      <c r="D1527" t="str">
        <f>检查点拆解!F1527</f>
        <v>D04.01.03</v>
      </c>
      <c r="E1527" s="2">
        <f>--(COUNTIFS($A$2:A1527,A1527,$D$2:D1527,D1527)=1)</f>
        <v>1</v>
      </c>
    </row>
    <row r="1528" spans="1:5">
      <c r="A1528" t="str">
        <f>检查点拆解!A1528</f>
        <v>Q0211</v>
      </c>
      <c r="B1528" t="str">
        <f>检查点拆解!D1528</f>
        <v>C23</v>
      </c>
      <c r="C1528" s="2">
        <f>--(COUNTIFS($A$2:A1528,A1528,$B$2:B1528,B1528)=1)</f>
        <v>1</v>
      </c>
      <c r="D1528" t="str">
        <f>检查点拆解!F1528</f>
        <v>D09.01.01</v>
      </c>
      <c r="E1528" s="2">
        <f>--(COUNTIFS($A$2:A1528,A1528,$D$2:D1528,D1528)=1)</f>
        <v>1</v>
      </c>
    </row>
    <row r="1529" spans="1:5">
      <c r="A1529" t="str">
        <f>检查点拆解!A1529</f>
        <v>Q0211</v>
      </c>
      <c r="B1529" t="str">
        <f>检查点拆解!D1529</f>
        <v>C28</v>
      </c>
      <c r="C1529" s="2">
        <f>--(COUNTIFS($A$2:A1529,A1529,$B$2:B1529,B1529)=1)</f>
        <v>1</v>
      </c>
      <c r="D1529" t="str">
        <f>检查点拆解!F1529</f>
        <v>D12.02.02</v>
      </c>
      <c r="E1529" s="2">
        <f>--(COUNTIFS($A$2:A1529,A1529,$D$2:D1529,D1529)=1)</f>
        <v>1</v>
      </c>
    </row>
    <row r="1530" spans="1:5">
      <c r="A1530" t="str">
        <f>检查点拆解!A1530</f>
        <v>Q0212</v>
      </c>
      <c r="B1530" t="str">
        <f>检查点拆解!D1530</f>
        <v>C30</v>
      </c>
      <c r="C1530" s="2">
        <f>--(COUNTIFS($A$2:A1530,A1530,$B$2:B1530,B1530)=1)</f>
        <v>1</v>
      </c>
      <c r="D1530" t="str">
        <f>检查点拆解!F1530</f>
        <v>D15.01.02</v>
      </c>
      <c r="E1530" s="2">
        <f>--(COUNTIFS($A$2:A1530,A1530,$D$2:D1530,D1530)=1)</f>
        <v>1</v>
      </c>
    </row>
    <row r="1531" spans="1:5">
      <c r="A1531" t="str">
        <f>检查点拆解!A1531</f>
        <v>Q0212</v>
      </c>
      <c r="B1531" t="str">
        <f>检查点拆解!D1531</f>
        <v>C30</v>
      </c>
      <c r="C1531" s="2">
        <f>--(COUNTIFS($A$2:A1531,A1531,$B$2:B1531,B1531)=1)</f>
        <v>0</v>
      </c>
      <c r="D1531" t="str">
        <f>检查点拆解!F1531</f>
        <v>D15.01.03</v>
      </c>
      <c r="E1531" s="2">
        <f>--(COUNTIFS($A$2:A1531,A1531,$D$2:D1531,D1531)=1)</f>
        <v>1</v>
      </c>
    </row>
    <row r="1532" spans="1:5">
      <c r="A1532" t="str">
        <f>检查点拆解!A1532</f>
        <v>Q0212</v>
      </c>
      <c r="B1532" t="str">
        <f>检查点拆解!D1532</f>
        <v>C27</v>
      </c>
      <c r="C1532" s="2">
        <f>--(COUNTIFS($A$2:A1532,A1532,$B$2:B1532,B1532)=1)</f>
        <v>1</v>
      </c>
      <c r="D1532" t="str">
        <f>检查点拆解!F1532</f>
        <v>D11.01.03</v>
      </c>
      <c r="E1532" s="2">
        <f>--(COUNTIFS($A$2:A1532,A1532,$D$2:D1532,D1532)=1)</f>
        <v>1</v>
      </c>
    </row>
    <row r="1533" spans="1:5">
      <c r="A1533" t="str">
        <f>检查点拆解!A1533</f>
        <v>Q0212</v>
      </c>
      <c r="B1533" t="str">
        <f>检查点拆解!D1533</f>
        <v>C06</v>
      </c>
      <c r="C1533" s="2">
        <f>--(COUNTIFS($A$2:A1533,A1533,$B$2:B1533,B1533)=1)</f>
        <v>1</v>
      </c>
      <c r="D1533" t="str">
        <f>检查点拆解!F1533</f>
        <v>D03.01.03</v>
      </c>
      <c r="E1533" s="2">
        <f>--(COUNTIFS($A$2:A1533,A1533,$D$2:D1533,D1533)=1)</f>
        <v>1</v>
      </c>
    </row>
    <row r="1534" spans="1:5">
      <c r="A1534" t="str">
        <f>检查点拆解!A1534</f>
        <v>Q0212</v>
      </c>
      <c r="B1534" t="str">
        <f>检查点拆解!D1534</f>
        <v>C25</v>
      </c>
      <c r="C1534" s="2">
        <f>--(COUNTIFS($A$2:A1534,A1534,$B$2:B1534,B1534)=1)</f>
        <v>1</v>
      </c>
      <c r="D1534" t="str">
        <f>检查点拆解!F1534</f>
        <v>D10.01.01</v>
      </c>
      <c r="E1534" s="2">
        <f>--(COUNTIFS($A$2:A1534,A1534,$D$2:D1534,D1534)=1)</f>
        <v>1</v>
      </c>
    </row>
    <row r="1535" spans="1:5">
      <c r="A1535" t="str">
        <f>检查点拆解!A1535</f>
        <v>Q0212</v>
      </c>
      <c r="B1535" t="str">
        <f>检查点拆解!D1535</f>
        <v>C28</v>
      </c>
      <c r="C1535" s="2">
        <f>--(COUNTIFS($A$2:A1535,A1535,$B$2:B1535,B1535)=1)</f>
        <v>1</v>
      </c>
      <c r="D1535" t="str">
        <f>检查点拆解!F1535</f>
        <v>D13.01.02</v>
      </c>
      <c r="E1535" s="2">
        <f>--(COUNTIFS($A$2:A1535,A1535,$D$2:D1535,D1535)=1)</f>
        <v>1</v>
      </c>
    </row>
    <row r="1536" spans="1:5">
      <c r="A1536" t="str">
        <f>检查点拆解!A1536</f>
        <v>Q0212</v>
      </c>
      <c r="B1536" t="str">
        <f>检查点拆解!D1536</f>
        <v>C06</v>
      </c>
      <c r="C1536" s="2">
        <f>--(COUNTIFS($A$2:A1536,A1536,$B$2:B1536,B1536)=1)</f>
        <v>0</v>
      </c>
      <c r="D1536" t="str">
        <f>检查点拆解!F1536</f>
        <v>D03.01.02</v>
      </c>
      <c r="E1536" s="2">
        <f>--(COUNTIFS($A$2:A1536,A1536,$D$2:D1536,D1536)=1)</f>
        <v>1</v>
      </c>
    </row>
    <row r="1537" spans="1:5">
      <c r="A1537" t="str">
        <f>检查点拆解!A1537</f>
        <v>Q0212</v>
      </c>
      <c r="B1537" t="str">
        <f>检查点拆解!D1537</f>
        <v>C13</v>
      </c>
      <c r="C1537" s="2">
        <f>--(COUNTIFS($A$2:A1537,A1537,$B$2:B1537,B1537)=1)</f>
        <v>1</v>
      </c>
      <c r="D1537" t="str">
        <f>检查点拆解!F1537</f>
        <v>D04.04.01</v>
      </c>
      <c r="E1537" s="2">
        <f>--(COUNTIFS($A$2:A1537,A1537,$D$2:D1537,D1537)=1)</f>
        <v>1</v>
      </c>
    </row>
    <row r="1538" spans="1:5">
      <c r="A1538" t="str">
        <f>检查点拆解!A1538</f>
        <v>Q0212</v>
      </c>
      <c r="B1538" t="str">
        <f>检查点拆解!D1538</f>
        <v>C28</v>
      </c>
      <c r="C1538" s="2">
        <f>--(COUNTIFS($A$2:A1538,A1538,$B$2:B1538,B1538)=1)</f>
        <v>0</v>
      </c>
      <c r="D1538" t="str">
        <f>检查点拆解!F1538</f>
        <v>D12.01.01</v>
      </c>
      <c r="E1538" s="2">
        <f>--(COUNTIFS($A$2:A1538,A1538,$D$2:D1538,D1538)=1)</f>
        <v>1</v>
      </c>
    </row>
    <row r="1539" spans="1:5">
      <c r="A1539" t="str">
        <f>检查点拆解!A1539</f>
        <v>Q0212</v>
      </c>
      <c r="B1539" t="str">
        <f>检查点拆解!D1539</f>
        <v>C28</v>
      </c>
      <c r="C1539" s="2">
        <f>--(COUNTIFS($A$2:A1539,A1539,$B$2:B1539,B1539)=1)</f>
        <v>0</v>
      </c>
      <c r="D1539" t="str">
        <f>检查点拆解!F1539</f>
        <v>D12.01.02</v>
      </c>
      <c r="E1539" s="2">
        <f>--(COUNTIFS($A$2:A1539,A1539,$D$2:D1539,D1539)=1)</f>
        <v>1</v>
      </c>
    </row>
    <row r="1540" spans="1:5">
      <c r="A1540" t="str">
        <f>检查点拆解!A1540</f>
        <v>Q0213</v>
      </c>
      <c r="B1540" t="str">
        <f>检查点拆解!D1540</f>
        <v>C29</v>
      </c>
      <c r="C1540" s="2">
        <f>--(COUNTIFS($A$2:A1540,A1540,$B$2:B1540,B1540)=1)</f>
        <v>1</v>
      </c>
      <c r="D1540" t="str">
        <f>检查点拆解!F1540</f>
        <v>D14.01.01</v>
      </c>
      <c r="E1540" s="2">
        <f>--(COUNTIFS($A$2:A1540,A1540,$D$2:D1540,D1540)=1)</f>
        <v>1</v>
      </c>
    </row>
    <row r="1541" spans="1:5">
      <c r="A1541" t="str">
        <f>检查点拆解!A1541</f>
        <v>Q0213</v>
      </c>
      <c r="B1541" t="str">
        <f>检查点拆解!D1541</f>
        <v>C30</v>
      </c>
      <c r="C1541" s="2">
        <f>--(COUNTIFS($A$2:A1541,A1541,$B$2:B1541,B1541)=1)</f>
        <v>1</v>
      </c>
      <c r="D1541" t="str">
        <f>检查点拆解!F1541</f>
        <v>D15.01.02</v>
      </c>
      <c r="E1541" s="2">
        <f>--(COUNTIFS($A$2:A1541,A1541,$D$2:D1541,D1541)=1)</f>
        <v>1</v>
      </c>
    </row>
    <row r="1542" spans="1:5">
      <c r="A1542" t="str">
        <f>检查点拆解!A1542</f>
        <v>Q0213</v>
      </c>
      <c r="B1542" t="str">
        <f>检查点拆解!D1542</f>
        <v>C29</v>
      </c>
      <c r="C1542" s="2">
        <f>--(COUNTIFS($A$2:A1542,A1542,$B$2:B1542,B1542)=1)</f>
        <v>0</v>
      </c>
      <c r="D1542" t="str">
        <f>检查点拆解!F1542</f>
        <v>D14.02.01</v>
      </c>
      <c r="E1542" s="2">
        <f>--(COUNTIFS($A$2:A1542,A1542,$D$2:D1542,D1542)=1)</f>
        <v>1</v>
      </c>
    </row>
    <row r="1543" spans="1:5">
      <c r="A1543" t="str">
        <f>检查点拆解!A1543</f>
        <v>Q0213</v>
      </c>
      <c r="B1543" t="str">
        <f>检查点拆解!D1543</f>
        <v>C14</v>
      </c>
      <c r="C1543" s="2">
        <f>--(COUNTIFS($A$2:A1543,A1543,$B$2:B1543,B1543)=1)</f>
        <v>1</v>
      </c>
      <c r="D1543" t="str">
        <f>检查点拆解!F1543</f>
        <v>D08.01.01</v>
      </c>
      <c r="E1543" s="2">
        <f>--(COUNTIFS($A$2:A1543,A1543,$D$2:D1543,D1543)=1)</f>
        <v>1</v>
      </c>
    </row>
    <row r="1544" spans="1:5">
      <c r="A1544" t="str">
        <f>检查点拆解!A1544</f>
        <v>Q0213</v>
      </c>
      <c r="B1544" t="str">
        <f>检查点拆解!D1544</f>
        <v>C17</v>
      </c>
      <c r="C1544" s="2">
        <f>--(COUNTIFS($A$2:A1544,A1544,$B$2:B1544,B1544)=1)</f>
        <v>1</v>
      </c>
      <c r="D1544" t="str">
        <f>检查点拆解!F1544</f>
        <v>D06.03.01</v>
      </c>
      <c r="E1544" s="2">
        <f>--(COUNTIFS($A$2:A1544,A1544,$D$2:D1544,D1544)=1)</f>
        <v>1</v>
      </c>
    </row>
    <row r="1545" spans="1:5">
      <c r="A1545" t="str">
        <f>检查点拆解!A1545</f>
        <v>Q0213</v>
      </c>
      <c r="B1545" t="str">
        <f>检查点拆解!D1545</f>
        <v>C30</v>
      </c>
      <c r="C1545" s="2">
        <f>--(COUNTIFS($A$2:A1545,A1545,$B$2:B1545,B1545)=1)</f>
        <v>0</v>
      </c>
      <c r="D1545" t="str">
        <f>检查点拆解!F1545</f>
        <v>D15.01.03</v>
      </c>
      <c r="E1545" s="2">
        <f>--(COUNTIFS($A$2:A1545,A1545,$D$2:D1545,D1545)=1)</f>
        <v>1</v>
      </c>
    </row>
    <row r="1546" spans="1:5">
      <c r="A1546" t="str">
        <f>检查点拆解!A1546</f>
        <v>Q0213</v>
      </c>
      <c r="B1546" t="str">
        <f>检查点拆解!D1546</f>
        <v>C28</v>
      </c>
      <c r="C1546" s="2">
        <f>--(COUNTIFS($A$2:A1546,A1546,$B$2:B1546,B1546)=1)</f>
        <v>1</v>
      </c>
      <c r="D1546" t="str">
        <f>检查点拆解!F1546</f>
        <v>D13.01.02</v>
      </c>
      <c r="E1546" s="2">
        <f>--(COUNTIFS($A$2:A1546,A1546,$D$2:D1546,D1546)=1)</f>
        <v>1</v>
      </c>
    </row>
    <row r="1547" spans="1:5">
      <c r="A1547" t="str">
        <f>检查点拆解!A1547</f>
        <v>Q0213</v>
      </c>
      <c r="B1547" t="str">
        <f>检查点拆解!D1547</f>
        <v>C04</v>
      </c>
      <c r="C1547" s="2">
        <f>--(COUNTIFS($A$2:A1547,A1547,$B$2:B1547,B1547)=1)</f>
        <v>1</v>
      </c>
      <c r="D1547" t="str">
        <f>检查点拆解!F1547</f>
        <v>D02.02.03</v>
      </c>
      <c r="E1547" s="2">
        <f>--(COUNTIFS($A$2:A1547,A1547,$D$2:D1547,D1547)=1)</f>
        <v>1</v>
      </c>
    </row>
    <row r="1548" spans="1:5">
      <c r="A1548" t="str">
        <f>检查点拆解!A1548</f>
        <v>Q0214</v>
      </c>
      <c r="B1548" t="str">
        <f>检查点拆解!D1548</f>
        <v>C30</v>
      </c>
      <c r="C1548" s="2">
        <f>--(COUNTIFS($A$2:A1548,A1548,$B$2:B1548,B1548)=1)</f>
        <v>1</v>
      </c>
      <c r="D1548" t="str">
        <f>检查点拆解!F1548</f>
        <v>D15.01.02</v>
      </c>
      <c r="E1548" s="2">
        <f>--(COUNTIFS($A$2:A1548,A1548,$D$2:D1548,D1548)=1)</f>
        <v>1</v>
      </c>
    </row>
    <row r="1549" spans="1:5">
      <c r="A1549" t="str">
        <f>检查点拆解!A1549</f>
        <v>Q0214</v>
      </c>
      <c r="B1549" t="str">
        <f>检查点拆解!D1549</f>
        <v>C24</v>
      </c>
      <c r="C1549" s="2">
        <f>--(COUNTIFS($A$2:A1549,A1549,$B$2:B1549,B1549)=1)</f>
        <v>1</v>
      </c>
      <c r="D1549" t="str">
        <f>检查点拆解!F1549</f>
        <v>D09.03.02</v>
      </c>
      <c r="E1549" s="2">
        <f>--(COUNTIFS($A$2:A1549,A1549,$D$2:D1549,D1549)=1)</f>
        <v>1</v>
      </c>
    </row>
    <row r="1550" spans="1:5">
      <c r="A1550" t="str">
        <f>检查点拆解!A1550</f>
        <v>Q0214</v>
      </c>
      <c r="B1550" t="str">
        <f>检查点拆解!D1550</f>
        <v>C30</v>
      </c>
      <c r="C1550" s="2">
        <f>--(COUNTIFS($A$2:A1550,A1550,$B$2:B1550,B1550)=1)</f>
        <v>0</v>
      </c>
      <c r="D1550" t="str">
        <f>检查点拆解!F1550</f>
        <v>D15.01.03</v>
      </c>
      <c r="E1550" s="2">
        <f>--(COUNTIFS($A$2:A1550,A1550,$D$2:D1550,D1550)=1)</f>
        <v>1</v>
      </c>
    </row>
    <row r="1551" spans="1:5">
      <c r="A1551" t="str">
        <f>检查点拆解!A1551</f>
        <v>Q0214</v>
      </c>
      <c r="B1551" t="str">
        <f>检查点拆解!D1551</f>
        <v>C23</v>
      </c>
      <c r="C1551" s="2">
        <f>--(COUNTIFS($A$2:A1551,A1551,$B$2:B1551,B1551)=1)</f>
        <v>1</v>
      </c>
      <c r="D1551" t="str">
        <f>检查点拆解!F1551</f>
        <v>D09.01.01</v>
      </c>
      <c r="E1551" s="2">
        <f>--(COUNTIFS($A$2:A1551,A1551,$D$2:D1551,D1551)=1)</f>
        <v>1</v>
      </c>
    </row>
    <row r="1552" spans="1:5">
      <c r="A1552" t="str">
        <f>检查点拆解!A1552</f>
        <v>Q0214</v>
      </c>
      <c r="B1552" t="str">
        <f>检查点拆解!D1552</f>
        <v>C28</v>
      </c>
      <c r="C1552" s="2">
        <f>--(COUNTIFS($A$2:A1552,A1552,$B$2:B1552,B1552)=1)</f>
        <v>1</v>
      </c>
      <c r="D1552" t="str">
        <f>检查点拆解!F1552</f>
        <v>D12.01.02</v>
      </c>
      <c r="E1552" s="2">
        <f>--(COUNTIFS($A$2:A1552,A1552,$D$2:D1552,D1552)=1)</f>
        <v>1</v>
      </c>
    </row>
    <row r="1553" spans="1:5">
      <c r="A1553" t="str">
        <f>检查点拆解!A1553</f>
        <v>Q0214</v>
      </c>
      <c r="B1553" t="str">
        <f>检查点拆解!D1553</f>
        <v>C17</v>
      </c>
      <c r="C1553" s="2">
        <f>--(COUNTIFS($A$2:A1553,A1553,$B$2:B1553,B1553)=1)</f>
        <v>1</v>
      </c>
      <c r="D1553" t="str">
        <f>检查点拆解!F1553</f>
        <v>D06.03.02</v>
      </c>
      <c r="E1553" s="2">
        <f>--(COUNTIFS($A$2:A1553,A1553,$D$2:D1553,D1553)=1)</f>
        <v>1</v>
      </c>
    </row>
    <row r="1554" spans="1:5">
      <c r="A1554" t="str">
        <f>检查点拆解!A1554</f>
        <v>Q0214</v>
      </c>
      <c r="B1554" t="str">
        <f>检查点拆解!D1554</f>
        <v>C14</v>
      </c>
      <c r="C1554" s="2">
        <f>--(COUNTIFS($A$2:A1554,A1554,$B$2:B1554,B1554)=1)</f>
        <v>1</v>
      </c>
      <c r="D1554" t="str">
        <f>检查点拆解!F1554</f>
        <v>D05.01.01</v>
      </c>
      <c r="E1554" s="2">
        <f>--(COUNTIFS($A$2:A1554,A1554,$D$2:D1554,D1554)=1)</f>
        <v>1</v>
      </c>
    </row>
    <row r="1555" spans="1:5">
      <c r="A1555" t="str">
        <f>检查点拆解!A1555</f>
        <v>Q0214</v>
      </c>
      <c r="B1555" t="str">
        <f>检查点拆解!D1555</f>
        <v>C04</v>
      </c>
      <c r="C1555" s="2">
        <f>--(COUNTIFS($A$2:A1555,A1555,$B$2:B1555,B1555)=1)</f>
        <v>1</v>
      </c>
      <c r="D1555" t="str">
        <f>检查点拆解!F1555</f>
        <v>D02.02.02</v>
      </c>
      <c r="E1555" s="2">
        <f>--(COUNTIFS($A$2:A1555,A1555,$D$2:D1555,D1555)=1)</f>
        <v>1</v>
      </c>
    </row>
    <row r="1556" spans="1:5">
      <c r="A1556" t="str">
        <f>检查点拆解!A1556</f>
        <v>Q0215</v>
      </c>
      <c r="B1556" t="str">
        <f>检查点拆解!D1556</f>
        <v>C29</v>
      </c>
      <c r="C1556" s="2">
        <f>--(COUNTIFS($A$2:A1556,A1556,$B$2:B1556,B1556)=1)</f>
        <v>1</v>
      </c>
      <c r="D1556" t="str">
        <f>检查点拆解!F1556</f>
        <v>D14.01.01</v>
      </c>
      <c r="E1556" s="2">
        <f>--(COUNTIFS($A$2:A1556,A1556,$D$2:D1556,D1556)=1)</f>
        <v>1</v>
      </c>
    </row>
    <row r="1557" spans="1:5">
      <c r="A1557" t="str">
        <f>检查点拆解!A1557</f>
        <v>Q0215</v>
      </c>
      <c r="B1557" t="str">
        <f>检查点拆解!D1557</f>
        <v>C30</v>
      </c>
      <c r="C1557" s="2">
        <f>--(COUNTIFS($A$2:A1557,A1557,$B$2:B1557,B1557)=1)</f>
        <v>1</v>
      </c>
      <c r="D1557" t="str">
        <f>检查点拆解!F1557</f>
        <v>D15.01.04</v>
      </c>
      <c r="E1557" s="2">
        <f>--(COUNTIFS($A$2:A1557,A1557,$D$2:D1557,D1557)=1)</f>
        <v>1</v>
      </c>
    </row>
    <row r="1558" spans="1:5">
      <c r="A1558" t="str">
        <f>检查点拆解!A1558</f>
        <v>Q0215</v>
      </c>
      <c r="B1558" t="str">
        <f>检查点拆解!D1558</f>
        <v>C28</v>
      </c>
      <c r="C1558" s="2">
        <f>--(COUNTIFS($A$2:A1558,A1558,$B$2:B1558,B1558)=1)</f>
        <v>1</v>
      </c>
      <c r="D1558" t="str">
        <f>检查点拆解!F1558</f>
        <v>D12.01.01</v>
      </c>
      <c r="E1558" s="2">
        <f>--(COUNTIFS($A$2:A1558,A1558,$D$2:D1558,D1558)=1)</f>
        <v>1</v>
      </c>
    </row>
    <row r="1559" spans="1:5">
      <c r="A1559" t="str">
        <f>检查点拆解!A1559</f>
        <v>Q0215</v>
      </c>
      <c r="B1559" t="str">
        <f>检查点拆解!D1559</f>
        <v>C28</v>
      </c>
      <c r="C1559" s="2">
        <f>--(COUNTIFS($A$2:A1559,A1559,$B$2:B1559,B1559)=1)</f>
        <v>0</v>
      </c>
      <c r="D1559" t="str">
        <f>检查点拆解!F1559</f>
        <v>D12.01.02</v>
      </c>
      <c r="E1559" s="2">
        <f>--(COUNTIFS($A$2:A1559,A1559,$D$2:D1559,D1559)=1)</f>
        <v>1</v>
      </c>
    </row>
    <row r="1560" spans="1:5">
      <c r="A1560" t="str">
        <f>检查点拆解!A1560</f>
        <v>Q0216</v>
      </c>
      <c r="B1560" t="str">
        <f>检查点拆解!D1560</f>
        <v>C15</v>
      </c>
      <c r="C1560" s="2">
        <f>--(COUNTIFS($A$2:A1560,A1560,$B$2:B1560,B1560)=1)</f>
        <v>1</v>
      </c>
      <c r="D1560" t="str">
        <f>检查点拆解!F1560</f>
        <v>D05.02.02</v>
      </c>
      <c r="E1560" s="2">
        <f>--(COUNTIFS($A$2:A1560,A1560,$D$2:D1560,D1560)=1)</f>
        <v>1</v>
      </c>
    </row>
    <row r="1561" spans="1:5">
      <c r="A1561" t="str">
        <f>检查点拆解!A1561</f>
        <v>Q0216</v>
      </c>
      <c r="B1561" t="str">
        <f>检查点拆解!D1561</f>
        <v>C26</v>
      </c>
      <c r="C1561" s="2">
        <f>--(COUNTIFS($A$2:A1561,A1561,$B$2:B1561,B1561)=1)</f>
        <v>1</v>
      </c>
      <c r="D1561" t="str">
        <f>检查点拆解!F1561</f>
        <v>D10.02.01</v>
      </c>
      <c r="E1561" s="2">
        <f>--(COUNTIFS($A$2:A1561,A1561,$D$2:D1561,D1561)=1)</f>
        <v>1</v>
      </c>
    </row>
    <row r="1562" spans="1:5">
      <c r="A1562" t="str">
        <f>检查点拆解!A1562</f>
        <v>Q0216</v>
      </c>
      <c r="B1562" t="str">
        <f>检查点拆解!D1562</f>
        <v>C28</v>
      </c>
      <c r="C1562" s="2">
        <f>--(COUNTIFS($A$2:A1562,A1562,$B$2:B1562,B1562)=1)</f>
        <v>1</v>
      </c>
      <c r="D1562" t="str">
        <f>检查点拆解!F1562</f>
        <v>D12.01.01</v>
      </c>
      <c r="E1562" s="2">
        <f>--(COUNTIFS($A$2:A1562,A1562,$D$2:D1562,D1562)=1)</f>
        <v>1</v>
      </c>
    </row>
    <row r="1563" spans="1:5">
      <c r="A1563" t="str">
        <f>检查点拆解!A1563</f>
        <v>Q0216</v>
      </c>
      <c r="B1563" t="str">
        <f>检查点拆解!D1563</f>
        <v>C14</v>
      </c>
      <c r="C1563" s="2">
        <f>--(COUNTIFS($A$2:A1563,A1563,$B$2:B1563,B1563)=1)</f>
        <v>1</v>
      </c>
      <c r="D1563" t="str">
        <f>检查点拆解!F1563</f>
        <v>D05.01.01</v>
      </c>
      <c r="E1563" s="2">
        <f>--(COUNTIFS($A$2:A1563,A1563,$D$2:D1563,D1563)=1)</f>
        <v>1</v>
      </c>
    </row>
    <row r="1564" spans="1:5">
      <c r="A1564" t="str">
        <f>检查点拆解!A1564</f>
        <v>Q0217</v>
      </c>
      <c r="B1564" t="str">
        <f>检查点拆解!D1564</f>
        <v>C12</v>
      </c>
      <c r="C1564" s="2">
        <f>--(COUNTIFS($A$2:A1564,A1564,$B$2:B1564,B1564)=1)</f>
        <v>1</v>
      </c>
      <c r="D1564" t="str">
        <f>检查点拆解!F1564</f>
        <v>D04.03.03</v>
      </c>
      <c r="E1564" s="2">
        <f>--(COUNTIFS($A$2:A1564,A1564,$D$2:D1564,D1564)=1)</f>
        <v>1</v>
      </c>
    </row>
    <row r="1565" spans="1:5">
      <c r="A1565" t="str">
        <f>检查点拆解!A1565</f>
        <v>Q0217</v>
      </c>
      <c r="B1565" t="str">
        <f>检查点拆解!D1565</f>
        <v>C30</v>
      </c>
      <c r="C1565" s="2">
        <f>--(COUNTIFS($A$2:A1565,A1565,$B$2:B1565,B1565)=1)</f>
        <v>1</v>
      </c>
      <c r="D1565" t="str">
        <f>检查点拆解!F1565</f>
        <v>D15.02.01</v>
      </c>
      <c r="E1565" s="2">
        <f>--(COUNTIFS($A$2:A1565,A1565,$D$2:D1565,D1565)=1)</f>
        <v>1</v>
      </c>
    </row>
    <row r="1566" spans="1:5">
      <c r="A1566" t="str">
        <f>检查点拆解!A1566</f>
        <v>Q0217</v>
      </c>
      <c r="B1566" t="str">
        <f>检查点拆解!D1566</f>
        <v>C27</v>
      </c>
      <c r="C1566" s="2">
        <f>--(COUNTIFS($A$2:A1566,A1566,$B$2:B1566,B1566)=1)</f>
        <v>1</v>
      </c>
      <c r="D1566" t="str">
        <f>检查点拆解!F1566</f>
        <v>D11.02.01</v>
      </c>
      <c r="E1566" s="2">
        <f>--(COUNTIFS($A$2:A1566,A1566,$D$2:D1566,D1566)=1)</f>
        <v>1</v>
      </c>
    </row>
    <row r="1567" spans="1:5">
      <c r="A1567" t="str">
        <f>检查点拆解!A1567</f>
        <v>Q0217</v>
      </c>
      <c r="B1567" t="str">
        <f>检查点拆解!D1567</f>
        <v>C27</v>
      </c>
      <c r="C1567" s="2">
        <f>--(COUNTIFS($A$2:A1567,A1567,$B$2:B1567,B1567)=1)</f>
        <v>0</v>
      </c>
      <c r="D1567" t="str">
        <f>检查点拆解!F1567</f>
        <v>D11.02.03</v>
      </c>
      <c r="E1567" s="2">
        <f>--(COUNTIFS($A$2:A1567,A1567,$D$2:D1567,D1567)=1)</f>
        <v>1</v>
      </c>
    </row>
    <row r="1568" spans="1:5">
      <c r="A1568" t="str">
        <f>检查点拆解!A1568</f>
        <v>Q0217</v>
      </c>
      <c r="B1568" t="str">
        <f>检查点拆解!D1568</f>
        <v>C27</v>
      </c>
      <c r="C1568" s="2">
        <f>--(COUNTIFS($A$2:A1568,A1568,$B$2:B1568,B1568)=1)</f>
        <v>0</v>
      </c>
      <c r="D1568" t="str">
        <f>检查点拆解!F1568</f>
        <v>D11.01.02</v>
      </c>
      <c r="E1568" s="2">
        <f>--(COUNTIFS($A$2:A1568,A1568,$D$2:D1568,D1568)=1)</f>
        <v>1</v>
      </c>
    </row>
    <row r="1569" spans="1:5">
      <c r="A1569" t="str">
        <f>检查点拆解!A1569</f>
        <v>Q0217</v>
      </c>
      <c r="B1569" t="str">
        <f>检查点拆解!D1569</f>
        <v>C24</v>
      </c>
      <c r="C1569" s="2">
        <f>--(COUNTIFS($A$2:A1569,A1569,$B$2:B1569,B1569)=1)</f>
        <v>1</v>
      </c>
      <c r="D1569" t="str">
        <f>检查点拆解!F1569</f>
        <v>D09.03.03</v>
      </c>
      <c r="E1569" s="2">
        <f>--(COUNTIFS($A$2:A1569,A1569,$D$2:D1569,D1569)=1)</f>
        <v>1</v>
      </c>
    </row>
    <row r="1570" spans="1:5">
      <c r="A1570" t="str">
        <f>检查点拆解!A1570</f>
        <v>Q0217</v>
      </c>
      <c r="B1570" t="str">
        <f>检查点拆解!D1570</f>
        <v>C27</v>
      </c>
      <c r="C1570" s="2">
        <f>--(COUNTIFS($A$2:A1570,A1570,$B$2:B1570,B1570)=1)</f>
        <v>0</v>
      </c>
      <c r="D1570" t="str">
        <f>检查点拆解!F1570</f>
        <v>D11.01.03</v>
      </c>
      <c r="E1570" s="2">
        <f>--(COUNTIFS($A$2:A1570,A1570,$D$2:D1570,D1570)=1)</f>
        <v>1</v>
      </c>
    </row>
    <row r="1571" spans="1:5">
      <c r="A1571" t="str">
        <f>检查点拆解!A1571</f>
        <v>Q0217</v>
      </c>
      <c r="B1571" t="str">
        <f>检查点拆解!D1571</f>
        <v>C24</v>
      </c>
      <c r="C1571" s="2">
        <f>--(COUNTIFS($A$2:A1571,A1571,$B$2:B1571,B1571)=1)</f>
        <v>0</v>
      </c>
      <c r="D1571" t="str">
        <f>检查点拆解!F1571</f>
        <v>D09.02.03</v>
      </c>
      <c r="E1571" s="2">
        <f>--(COUNTIFS($A$2:A1571,A1571,$D$2:D1571,D1571)=1)</f>
        <v>1</v>
      </c>
    </row>
    <row r="1572" spans="1:5">
      <c r="A1572" t="str">
        <f>检查点拆解!A1572</f>
        <v>Q0217</v>
      </c>
      <c r="B1572" t="str">
        <f>检查点拆解!D1572</f>
        <v>C25</v>
      </c>
      <c r="C1572" s="2">
        <f>--(COUNTIFS($A$2:A1572,A1572,$B$2:B1572,B1572)=1)</f>
        <v>1</v>
      </c>
      <c r="D1572" t="str">
        <f>检查点拆解!F1572</f>
        <v>D10.01.01</v>
      </c>
      <c r="E1572" s="2">
        <f>--(COUNTIFS($A$2:A1572,A1572,$D$2:D1572,D1572)=1)</f>
        <v>1</v>
      </c>
    </row>
    <row r="1573" spans="1:5">
      <c r="A1573" t="str">
        <f>检查点拆解!A1573</f>
        <v>Q0217</v>
      </c>
      <c r="B1573" t="str">
        <f>检查点拆解!D1573</f>
        <v>C17</v>
      </c>
      <c r="C1573" s="2">
        <f>--(COUNTIFS($A$2:A1573,A1573,$B$2:B1573,B1573)=1)</f>
        <v>1</v>
      </c>
      <c r="D1573" t="str">
        <f>检查点拆解!F1573</f>
        <v>D06.01.01</v>
      </c>
      <c r="E1573" s="2">
        <f>--(COUNTIFS($A$2:A1573,A1573,$D$2:D1573,D1573)=1)</f>
        <v>1</v>
      </c>
    </row>
    <row r="1574" spans="1:5">
      <c r="A1574" t="str">
        <f>检查点拆解!A1574</f>
        <v>Q0218</v>
      </c>
      <c r="B1574" t="str">
        <f>检查点拆解!D1574</f>
        <v>C20</v>
      </c>
      <c r="C1574" s="2">
        <f>--(COUNTIFS($A$2:A1574,A1574,$B$2:B1574,B1574)=1)</f>
        <v>1</v>
      </c>
      <c r="D1574" t="str">
        <f>检查点拆解!F1574</f>
        <v>D07.02.04</v>
      </c>
      <c r="E1574" s="2">
        <f>--(COUNTIFS($A$2:A1574,A1574,$D$2:D1574,D1574)=1)</f>
        <v>1</v>
      </c>
    </row>
    <row r="1575" spans="1:5">
      <c r="A1575" t="str">
        <f>检查点拆解!A1575</f>
        <v>Q0218</v>
      </c>
      <c r="B1575" t="str">
        <f>检查点拆解!D1575</f>
        <v>C10</v>
      </c>
      <c r="C1575" s="2">
        <f>--(COUNTIFS($A$2:A1575,A1575,$B$2:B1575,B1575)=1)</f>
        <v>1</v>
      </c>
      <c r="D1575" t="str">
        <f>检查点拆解!F1575</f>
        <v>D04.03.01</v>
      </c>
      <c r="E1575" s="2">
        <f>--(COUNTIFS($A$2:A1575,A1575,$D$2:D1575,D1575)=1)</f>
        <v>1</v>
      </c>
    </row>
    <row r="1576" spans="1:5">
      <c r="A1576" t="str">
        <f>检查点拆解!A1576</f>
        <v>Q0218</v>
      </c>
      <c r="B1576" t="str">
        <f>检查点拆解!D1576</f>
        <v>C12</v>
      </c>
      <c r="C1576" s="2">
        <f>--(COUNTIFS($A$2:A1576,A1576,$B$2:B1576,B1576)=1)</f>
        <v>1</v>
      </c>
      <c r="D1576" t="str">
        <f>检查点拆解!F1576</f>
        <v>D04.03.03</v>
      </c>
      <c r="E1576" s="2">
        <f>--(COUNTIFS($A$2:A1576,A1576,$D$2:D1576,D1576)=1)</f>
        <v>1</v>
      </c>
    </row>
    <row r="1577" spans="1:5">
      <c r="A1577" t="str">
        <f>检查点拆解!A1577</f>
        <v>Q0218</v>
      </c>
      <c r="B1577" t="str">
        <f>检查点拆解!D1577</f>
        <v>C14</v>
      </c>
      <c r="C1577" s="2">
        <f>--(COUNTIFS($A$2:A1577,A1577,$B$2:B1577,B1577)=1)</f>
        <v>1</v>
      </c>
      <c r="D1577" t="str">
        <f>检查点拆解!F1577</f>
        <v>D08.01.01</v>
      </c>
      <c r="E1577" s="2">
        <f>--(COUNTIFS($A$2:A1577,A1577,$D$2:D1577,D1577)=1)</f>
        <v>1</v>
      </c>
    </row>
    <row r="1578" spans="1:5">
      <c r="A1578" t="str">
        <f>检查点拆解!A1578</f>
        <v>Q0218</v>
      </c>
      <c r="B1578" t="str">
        <f>检查点拆解!D1578</f>
        <v>C24</v>
      </c>
      <c r="C1578" s="2">
        <f>--(COUNTIFS($A$2:A1578,A1578,$B$2:B1578,B1578)=1)</f>
        <v>1</v>
      </c>
      <c r="D1578" t="str">
        <f>检查点拆解!F1578</f>
        <v>D09.02.02</v>
      </c>
      <c r="E1578" s="2">
        <f>--(COUNTIFS($A$2:A1578,A1578,$D$2:D1578,D1578)=1)</f>
        <v>1</v>
      </c>
    </row>
    <row r="1579" spans="1:5">
      <c r="A1579" t="str">
        <f>检查点拆解!A1579</f>
        <v>Q0218</v>
      </c>
      <c r="B1579" t="str">
        <f>检查点拆解!D1579</f>
        <v>C30</v>
      </c>
      <c r="C1579" s="2">
        <f>--(COUNTIFS($A$2:A1579,A1579,$B$2:B1579,B1579)=1)</f>
        <v>1</v>
      </c>
      <c r="D1579" t="str">
        <f>检查点拆解!F1579</f>
        <v>D15.02.01</v>
      </c>
      <c r="E1579" s="2">
        <f>--(COUNTIFS($A$2:A1579,A1579,$D$2:D1579,D1579)=1)</f>
        <v>1</v>
      </c>
    </row>
    <row r="1580" spans="1:5">
      <c r="A1580" t="str">
        <f>检查点拆解!A1580</f>
        <v>Q0218</v>
      </c>
      <c r="B1580" t="str">
        <f>检查点拆解!D1580</f>
        <v>C27</v>
      </c>
      <c r="C1580" s="2">
        <f>--(COUNTIFS($A$2:A1580,A1580,$B$2:B1580,B1580)=1)</f>
        <v>1</v>
      </c>
      <c r="D1580" t="str">
        <f>检查点拆解!F1580</f>
        <v>D11.02.01</v>
      </c>
      <c r="E1580" s="2">
        <f>--(COUNTIFS($A$2:A1580,A1580,$D$2:D1580,D1580)=1)</f>
        <v>1</v>
      </c>
    </row>
    <row r="1581" spans="1:5">
      <c r="A1581" t="str">
        <f>检查点拆解!A1581</f>
        <v>Q0218</v>
      </c>
      <c r="B1581" t="str">
        <f>检查点拆解!D1581</f>
        <v>C12</v>
      </c>
      <c r="C1581" s="2">
        <f>--(COUNTIFS($A$2:A1581,A1581,$B$2:B1581,B1581)=1)</f>
        <v>0</v>
      </c>
      <c r="D1581" t="str">
        <f>检查点拆解!F1581</f>
        <v>D04.03.04</v>
      </c>
      <c r="E1581" s="2">
        <f>--(COUNTIFS($A$2:A1581,A1581,$D$2:D1581,D1581)=1)</f>
        <v>1</v>
      </c>
    </row>
    <row r="1582" spans="1:5">
      <c r="A1582" t="str">
        <f>检查点拆解!A1582</f>
        <v>Q0218</v>
      </c>
      <c r="B1582" t="str">
        <f>检查点拆解!D1582</f>
        <v>C17</v>
      </c>
      <c r="C1582" s="2">
        <f>--(COUNTIFS($A$2:A1582,A1582,$B$2:B1582,B1582)=1)</f>
        <v>1</v>
      </c>
      <c r="D1582" t="str">
        <f>检查点拆解!F1582</f>
        <v>D06.03.01</v>
      </c>
      <c r="E1582" s="2">
        <f>--(COUNTIFS($A$2:A1582,A1582,$D$2:D1582,D1582)=1)</f>
        <v>1</v>
      </c>
    </row>
    <row r="1583" spans="1:5">
      <c r="A1583" t="str">
        <f>检查点拆解!A1583</f>
        <v>Q0218</v>
      </c>
      <c r="B1583" t="str">
        <f>检查点拆解!D1583</f>
        <v>C27</v>
      </c>
      <c r="C1583" s="2">
        <f>--(COUNTIFS($A$2:A1583,A1583,$B$2:B1583,B1583)=1)</f>
        <v>0</v>
      </c>
      <c r="D1583" t="str">
        <f>检查点拆解!F1583</f>
        <v>D11.01.02</v>
      </c>
      <c r="E1583" s="2">
        <f>--(COUNTIFS($A$2:A1583,A1583,$D$2:D1583,D1583)=1)</f>
        <v>1</v>
      </c>
    </row>
    <row r="1584" spans="1:5">
      <c r="A1584" t="str">
        <f>检查点拆解!A1584</f>
        <v>Q0218</v>
      </c>
      <c r="B1584" t="str">
        <f>检查点拆解!D1584</f>
        <v>C15</v>
      </c>
      <c r="C1584" s="2">
        <f>--(COUNTIFS($A$2:A1584,A1584,$B$2:B1584,B1584)=1)</f>
        <v>1</v>
      </c>
      <c r="D1584" t="str">
        <f>检查点拆解!F1584</f>
        <v>D05.02.03</v>
      </c>
      <c r="E1584" s="2">
        <f>--(COUNTIFS($A$2:A1584,A1584,$D$2:D1584,D1584)=1)</f>
        <v>1</v>
      </c>
    </row>
    <row r="1585" spans="1:5">
      <c r="A1585" t="str">
        <f>检查点拆解!A1585</f>
        <v>Q0218</v>
      </c>
      <c r="B1585" t="str">
        <f>检查点拆解!D1585</f>
        <v>C21</v>
      </c>
      <c r="C1585" s="2">
        <f>--(COUNTIFS($A$2:A1585,A1585,$B$2:B1585,B1585)=1)</f>
        <v>1</v>
      </c>
      <c r="D1585" t="str">
        <f>检查点拆解!F1585</f>
        <v>D07.03.01</v>
      </c>
      <c r="E1585" s="2">
        <f>--(COUNTIFS($A$2:A1585,A1585,$D$2:D1585,D1585)=1)</f>
        <v>1</v>
      </c>
    </row>
    <row r="1586" spans="1:5">
      <c r="A1586" t="str">
        <f>检查点拆解!A1586</f>
        <v>Q0219</v>
      </c>
      <c r="B1586" t="str">
        <f>检查点拆解!D1586</f>
        <v>C10</v>
      </c>
      <c r="C1586" s="2">
        <f>--(COUNTIFS($A$2:A1586,A1586,$B$2:B1586,B1586)=1)</f>
        <v>1</v>
      </c>
      <c r="D1586" t="str">
        <f>检查点拆解!F1586</f>
        <v>D04.03.01</v>
      </c>
      <c r="E1586" s="2">
        <f>--(COUNTIFS($A$2:A1586,A1586,$D$2:D1586,D1586)=1)</f>
        <v>1</v>
      </c>
    </row>
    <row r="1587" spans="1:5">
      <c r="A1587" t="str">
        <f>检查点拆解!A1587</f>
        <v>Q0219</v>
      </c>
      <c r="B1587" t="str">
        <f>检查点拆解!D1587</f>
        <v>C12</v>
      </c>
      <c r="C1587" s="2">
        <f>--(COUNTIFS($A$2:A1587,A1587,$B$2:B1587,B1587)=1)</f>
        <v>1</v>
      </c>
      <c r="D1587" t="str">
        <f>检查点拆解!F1587</f>
        <v>D04.03.03</v>
      </c>
      <c r="E1587" s="2">
        <f>--(COUNTIFS($A$2:A1587,A1587,$D$2:D1587,D1587)=1)</f>
        <v>1</v>
      </c>
    </row>
    <row r="1588" spans="1:5">
      <c r="A1588" t="str">
        <f>检查点拆解!A1588</f>
        <v>Q0219</v>
      </c>
      <c r="B1588" t="str">
        <f>检查点拆解!D1588</f>
        <v>C11</v>
      </c>
      <c r="C1588" s="2">
        <f>--(COUNTIFS($A$2:A1588,A1588,$B$2:B1588,B1588)=1)</f>
        <v>1</v>
      </c>
      <c r="D1588" t="str">
        <f>检查点拆解!F1588</f>
        <v>D04.03.02</v>
      </c>
      <c r="E1588" s="2">
        <f>--(COUNTIFS($A$2:A1588,A1588,$D$2:D1588,D1588)=1)</f>
        <v>1</v>
      </c>
    </row>
    <row r="1589" spans="1:5">
      <c r="A1589" t="str">
        <f>检查点拆解!A1589</f>
        <v>Q0219</v>
      </c>
      <c r="B1589" t="str">
        <f>检查点拆解!D1589</f>
        <v>C24</v>
      </c>
      <c r="C1589" s="2">
        <f>--(COUNTIFS($A$2:A1589,A1589,$B$2:B1589,B1589)=1)</f>
        <v>1</v>
      </c>
      <c r="D1589" t="str">
        <f>检查点拆解!F1589</f>
        <v>D09.02.02</v>
      </c>
      <c r="E1589" s="2">
        <f>--(COUNTIFS($A$2:A1589,A1589,$D$2:D1589,D1589)=1)</f>
        <v>1</v>
      </c>
    </row>
    <row r="1590" spans="1:5">
      <c r="A1590" t="str">
        <f>检查点拆解!A1590</f>
        <v>Q0219</v>
      </c>
      <c r="B1590" t="str">
        <f>检查点拆解!D1590</f>
        <v>C23</v>
      </c>
      <c r="C1590" s="2">
        <f>--(COUNTIFS($A$2:A1590,A1590,$B$2:B1590,B1590)=1)</f>
        <v>1</v>
      </c>
      <c r="D1590" t="str">
        <f>检查点拆解!F1590</f>
        <v>D09.01.03</v>
      </c>
      <c r="E1590" s="2">
        <f>--(COUNTIFS($A$2:A1590,A1590,$D$2:D1590,D1590)=1)</f>
        <v>1</v>
      </c>
    </row>
    <row r="1591" spans="1:5">
      <c r="A1591" t="str">
        <f>检查点拆解!A1591</f>
        <v>Q0219</v>
      </c>
      <c r="B1591" t="str">
        <f>检查点拆解!D1591</f>
        <v>C27</v>
      </c>
      <c r="C1591" s="2">
        <f>--(COUNTIFS($A$2:A1591,A1591,$B$2:B1591,B1591)=1)</f>
        <v>1</v>
      </c>
      <c r="D1591" t="str">
        <f>检查点拆解!F1591</f>
        <v>D11.02.01</v>
      </c>
      <c r="E1591" s="2">
        <f>--(COUNTIFS($A$2:A1591,A1591,$D$2:D1591,D1591)=1)</f>
        <v>1</v>
      </c>
    </row>
    <row r="1592" spans="1:5">
      <c r="A1592" t="str">
        <f>检查点拆解!A1592</f>
        <v>Q0219</v>
      </c>
      <c r="B1592" t="str">
        <f>检查点拆解!D1592</f>
        <v>C27</v>
      </c>
      <c r="C1592" s="2">
        <f>--(COUNTIFS($A$2:A1592,A1592,$B$2:B1592,B1592)=1)</f>
        <v>0</v>
      </c>
      <c r="D1592" t="str">
        <f>检查点拆解!F1592</f>
        <v>D11.01.02</v>
      </c>
      <c r="E1592" s="2">
        <f>--(COUNTIFS($A$2:A1592,A1592,$D$2:D1592,D1592)=1)</f>
        <v>1</v>
      </c>
    </row>
    <row r="1593" spans="1:5">
      <c r="A1593" t="str">
        <f>检查点拆解!A1593</f>
        <v>Q0219</v>
      </c>
      <c r="B1593" t="str">
        <f>检查点拆解!D1593</f>
        <v>C15</v>
      </c>
      <c r="C1593" s="2">
        <f>--(COUNTIFS($A$2:A1593,A1593,$B$2:B1593,B1593)=1)</f>
        <v>1</v>
      </c>
      <c r="D1593" t="str">
        <f>检查点拆解!F1593</f>
        <v>D05.02.03</v>
      </c>
      <c r="E1593" s="2">
        <f>--(COUNTIFS($A$2:A1593,A1593,$D$2:D1593,D1593)=1)</f>
        <v>1</v>
      </c>
    </row>
    <row r="1594" spans="1:5">
      <c r="A1594" t="str">
        <f>检查点拆解!A1594</f>
        <v>Q0219</v>
      </c>
      <c r="B1594" t="str">
        <f>检查点拆解!D1594</f>
        <v>C24</v>
      </c>
      <c r="C1594" s="2">
        <f>--(COUNTIFS($A$2:A1594,A1594,$B$2:B1594,B1594)=1)</f>
        <v>0</v>
      </c>
      <c r="D1594" t="str">
        <f>检查点拆解!F1594</f>
        <v>D09.03.03</v>
      </c>
      <c r="E1594" s="2">
        <f>--(COUNTIFS($A$2:A1594,A1594,$D$2:D1594,D1594)=1)</f>
        <v>1</v>
      </c>
    </row>
    <row r="1595" spans="1:5">
      <c r="A1595" t="str">
        <f>检查点拆解!A1595</f>
        <v>Q0219</v>
      </c>
      <c r="B1595" t="str">
        <f>检查点拆解!D1595</f>
        <v>C06</v>
      </c>
      <c r="C1595" s="2">
        <f>--(COUNTIFS($A$2:A1595,A1595,$B$2:B1595,B1595)=1)</f>
        <v>1</v>
      </c>
      <c r="D1595" t="str">
        <f>检查点拆解!F1595</f>
        <v>D03.01.03</v>
      </c>
      <c r="E1595" s="2">
        <f>--(COUNTIFS($A$2:A1595,A1595,$D$2:D1595,D1595)=1)</f>
        <v>1</v>
      </c>
    </row>
    <row r="1596" spans="1:5">
      <c r="A1596" t="str">
        <f>检查点拆解!A1596</f>
        <v>Q0220</v>
      </c>
      <c r="B1596" t="str">
        <f>检查点拆解!D1596</f>
        <v>C30</v>
      </c>
      <c r="C1596" s="2">
        <f>--(COUNTIFS($A$2:A1596,A1596,$B$2:B1596,B1596)=1)</f>
        <v>1</v>
      </c>
      <c r="D1596" t="str">
        <f>检查点拆解!F1596</f>
        <v>D15.01.02</v>
      </c>
      <c r="E1596" s="2">
        <f>--(COUNTIFS($A$2:A1596,A1596,$D$2:D1596,D1596)=1)</f>
        <v>1</v>
      </c>
    </row>
    <row r="1597" spans="1:5">
      <c r="A1597" t="str">
        <f>检查点拆解!A1597</f>
        <v>Q0220</v>
      </c>
      <c r="B1597" t="str">
        <f>检查点拆解!D1597</f>
        <v>C29</v>
      </c>
      <c r="C1597" s="2">
        <f>--(COUNTIFS($A$2:A1597,A1597,$B$2:B1597,B1597)=1)</f>
        <v>1</v>
      </c>
      <c r="D1597" t="str">
        <f>检查点拆解!F1597</f>
        <v>D14.02.01</v>
      </c>
      <c r="E1597" s="2">
        <f>--(COUNTIFS($A$2:A1597,A1597,$D$2:D1597,D1597)=1)</f>
        <v>1</v>
      </c>
    </row>
    <row r="1598" spans="1:5">
      <c r="A1598" t="str">
        <f>检查点拆解!A1598</f>
        <v>Q0220</v>
      </c>
      <c r="B1598" t="str">
        <f>检查点拆解!D1598</f>
        <v>C14</v>
      </c>
      <c r="C1598" s="2">
        <f>--(COUNTIFS($A$2:A1598,A1598,$B$2:B1598,B1598)=1)</f>
        <v>1</v>
      </c>
      <c r="D1598" t="str">
        <f>检查点拆解!F1598</f>
        <v>D08.01.01</v>
      </c>
      <c r="E1598" s="2">
        <f>--(COUNTIFS($A$2:A1598,A1598,$D$2:D1598,D1598)=1)</f>
        <v>1</v>
      </c>
    </row>
    <row r="1599" spans="1:5">
      <c r="A1599" t="str">
        <f>检查点拆解!A1599</f>
        <v>Q0220</v>
      </c>
      <c r="B1599" t="str">
        <f>检查点拆解!D1599</f>
        <v>C30</v>
      </c>
      <c r="C1599" s="2">
        <f>--(COUNTIFS($A$2:A1599,A1599,$B$2:B1599,B1599)=1)</f>
        <v>0</v>
      </c>
      <c r="D1599" t="str">
        <f>检查点拆解!F1599</f>
        <v>D15.01.03</v>
      </c>
      <c r="E1599" s="2">
        <f>--(COUNTIFS($A$2:A1599,A1599,$D$2:D1599,D1599)=1)</f>
        <v>1</v>
      </c>
    </row>
    <row r="1600" spans="1:5">
      <c r="A1600" t="str">
        <f>检查点拆解!A1600</f>
        <v>Q0220</v>
      </c>
      <c r="B1600" t="str">
        <f>检查点拆解!D1600</f>
        <v>C15</v>
      </c>
      <c r="C1600" s="2">
        <f>--(COUNTIFS($A$2:A1600,A1600,$B$2:B1600,B1600)=1)</f>
        <v>1</v>
      </c>
      <c r="D1600" t="str">
        <f>检查点拆解!F1600</f>
        <v>D05.02.02</v>
      </c>
      <c r="E1600" s="2">
        <f>--(COUNTIFS($A$2:A1600,A1600,$D$2:D1600,D1600)=1)</f>
        <v>1</v>
      </c>
    </row>
    <row r="1601" spans="1:5">
      <c r="A1601" t="str">
        <f>检查点拆解!A1601</f>
        <v>Q0220</v>
      </c>
      <c r="B1601" t="str">
        <f>检查点拆解!D1601</f>
        <v>C17</v>
      </c>
      <c r="C1601" s="2">
        <f>--(COUNTIFS($A$2:A1601,A1601,$B$2:B1601,B1601)=1)</f>
        <v>1</v>
      </c>
      <c r="D1601" t="str">
        <f>检查点拆解!F1601</f>
        <v>D06.01.01</v>
      </c>
      <c r="E1601" s="2">
        <f>--(COUNTIFS($A$2:A1601,A1601,$D$2:D1601,D1601)=1)</f>
        <v>1</v>
      </c>
    </row>
    <row r="1602" spans="1:5">
      <c r="A1602" t="str">
        <f>检查点拆解!A1602</f>
        <v>Q0220</v>
      </c>
      <c r="B1602" t="str">
        <f>检查点拆解!D1602</f>
        <v>C08</v>
      </c>
      <c r="C1602" s="2">
        <f>--(COUNTIFS($A$2:A1602,A1602,$B$2:B1602,B1602)=1)</f>
        <v>1</v>
      </c>
      <c r="D1602" t="str">
        <f>检查点拆解!F1602</f>
        <v>D04.01.02</v>
      </c>
      <c r="E1602" s="2">
        <f>--(COUNTIFS($A$2:A1602,A1602,$D$2:D1602,D1602)=1)</f>
        <v>1</v>
      </c>
    </row>
    <row r="1603" spans="1:5">
      <c r="A1603" t="str">
        <f>检查点拆解!A1603</f>
        <v>Q0220</v>
      </c>
      <c r="B1603" t="str">
        <f>检查点拆解!D1603</f>
        <v>C04</v>
      </c>
      <c r="C1603" s="2">
        <f>--(COUNTIFS($A$2:A1603,A1603,$B$2:B1603,B1603)=1)</f>
        <v>1</v>
      </c>
      <c r="D1603" t="str">
        <f>检查点拆解!F1603</f>
        <v>D02.02.01</v>
      </c>
      <c r="E1603" s="2">
        <f>--(COUNTIFS($A$2:A1603,A1603,$D$2:D1603,D1603)=1)</f>
        <v>1</v>
      </c>
    </row>
    <row r="1604" spans="1:5">
      <c r="A1604" t="str">
        <f>检查点拆解!A1604</f>
        <v>Q0220</v>
      </c>
      <c r="B1604" t="str">
        <f>检查点拆解!D1604</f>
        <v>C03</v>
      </c>
      <c r="C1604" s="2">
        <f>--(COUNTIFS($A$2:A1604,A1604,$B$2:B1604,B1604)=1)</f>
        <v>1</v>
      </c>
      <c r="D1604" t="str">
        <f>检查点拆解!F1604</f>
        <v>D02.01.03</v>
      </c>
      <c r="E1604" s="2">
        <f>--(COUNTIFS($A$2:A1604,A1604,$D$2:D1604,D1604)=1)</f>
        <v>1</v>
      </c>
    </row>
    <row r="1605" spans="1:5">
      <c r="A1605" t="str">
        <f>检查点拆解!A1605</f>
        <v>Q0220</v>
      </c>
      <c r="B1605" t="str">
        <f>检查点拆解!D1605</f>
        <v>C05</v>
      </c>
      <c r="C1605" s="2">
        <f>--(COUNTIFS($A$2:A1605,A1605,$B$2:B1605,B1605)=1)</f>
        <v>1</v>
      </c>
      <c r="D1605" t="str">
        <f>检查点拆解!F1605</f>
        <v>D02.03.02</v>
      </c>
      <c r="E1605" s="2">
        <f>--(COUNTIFS($A$2:A1605,A1605,$D$2:D1605,D1605)=1)</f>
        <v>1</v>
      </c>
    </row>
    <row r="1606" spans="1:5">
      <c r="A1606" t="str">
        <f>检查点拆解!A1606</f>
        <v>Q0221</v>
      </c>
      <c r="B1606" t="str">
        <f>检查点拆解!D1606</f>
        <v>C28</v>
      </c>
      <c r="C1606" s="2">
        <f>--(COUNTIFS($A$2:A1606,A1606,$B$2:B1606,B1606)=1)</f>
        <v>1</v>
      </c>
      <c r="D1606" t="str">
        <f>检查点拆解!F1606</f>
        <v>D12.01.01</v>
      </c>
      <c r="E1606" s="2">
        <f>--(COUNTIFS($A$2:A1606,A1606,$D$2:D1606,D1606)=1)</f>
        <v>1</v>
      </c>
    </row>
    <row r="1607" spans="1:5">
      <c r="A1607" t="str">
        <f>检查点拆解!A1607</f>
        <v>Q0221</v>
      </c>
      <c r="B1607" t="str">
        <f>检查点拆解!D1607</f>
        <v>C14</v>
      </c>
      <c r="C1607" s="2">
        <f>--(COUNTIFS($A$2:A1607,A1607,$B$2:B1607,B1607)=1)</f>
        <v>1</v>
      </c>
      <c r="D1607" t="str">
        <f>检查点拆解!F1607</f>
        <v>D05.01.01</v>
      </c>
      <c r="E1607" s="2">
        <f>--(COUNTIFS($A$2:A1607,A1607,$D$2:D1607,D1607)=1)</f>
        <v>1</v>
      </c>
    </row>
    <row r="1608" spans="1:5">
      <c r="A1608" t="str">
        <f>检查点拆解!A1608</f>
        <v>Q0222</v>
      </c>
      <c r="B1608" t="str">
        <f>检查点拆解!D1608</f>
        <v>C30</v>
      </c>
      <c r="C1608" s="2">
        <f>--(COUNTIFS($A$2:A1608,A1608,$B$2:B1608,B1608)=1)</f>
        <v>1</v>
      </c>
      <c r="D1608" t="str">
        <f>检查点拆解!F1608</f>
        <v>D15.01.02</v>
      </c>
      <c r="E1608" s="2">
        <f>--(COUNTIFS($A$2:A1608,A1608,$D$2:D1608,D1608)=1)</f>
        <v>1</v>
      </c>
    </row>
    <row r="1609" spans="1:5">
      <c r="A1609" t="str">
        <f>检查点拆解!A1609</f>
        <v>Q0222</v>
      </c>
      <c r="B1609" t="str">
        <f>检查点拆解!D1609</f>
        <v>C29</v>
      </c>
      <c r="C1609" s="2">
        <f>--(COUNTIFS($A$2:A1609,A1609,$B$2:B1609,B1609)=1)</f>
        <v>1</v>
      </c>
      <c r="D1609" t="str">
        <f>检查点拆解!F1609</f>
        <v>D14.02.01</v>
      </c>
      <c r="E1609" s="2">
        <f>--(COUNTIFS($A$2:A1609,A1609,$D$2:D1609,D1609)=1)</f>
        <v>1</v>
      </c>
    </row>
    <row r="1610" spans="1:5">
      <c r="A1610" t="str">
        <f>检查点拆解!A1610</f>
        <v>Q0222</v>
      </c>
      <c r="B1610" t="str">
        <f>检查点拆解!D1610</f>
        <v>C18</v>
      </c>
      <c r="C1610" s="2">
        <f>--(COUNTIFS($A$2:A1610,A1610,$B$2:B1610,B1610)=1)</f>
        <v>1</v>
      </c>
      <c r="D1610" t="str">
        <f>检查点拆解!F1610</f>
        <v>D07.01.04</v>
      </c>
      <c r="E1610" s="2">
        <f>--(COUNTIFS($A$2:A1610,A1610,$D$2:D1610,D1610)=1)</f>
        <v>1</v>
      </c>
    </row>
    <row r="1611" spans="1:5">
      <c r="A1611" t="str">
        <f>检查点拆解!A1611</f>
        <v>Q0222</v>
      </c>
      <c r="B1611" t="str">
        <f>检查点拆解!D1611</f>
        <v>C30</v>
      </c>
      <c r="C1611" s="2">
        <f>--(COUNTIFS($A$2:A1611,A1611,$B$2:B1611,B1611)=1)</f>
        <v>0</v>
      </c>
      <c r="D1611" t="str">
        <f>检查点拆解!F1611</f>
        <v>D15.01.03</v>
      </c>
      <c r="E1611" s="2">
        <f>--(COUNTIFS($A$2:A1611,A1611,$D$2:D1611,D1611)=1)</f>
        <v>1</v>
      </c>
    </row>
    <row r="1612" spans="1:5">
      <c r="A1612" t="str">
        <f>检查点拆解!A1612</f>
        <v>Q0222</v>
      </c>
      <c r="B1612" t="str">
        <f>检查点拆解!D1612</f>
        <v>C30</v>
      </c>
      <c r="C1612" s="2">
        <f>--(COUNTIFS($A$2:A1612,A1612,$B$2:B1612,B1612)=1)</f>
        <v>0</v>
      </c>
      <c r="D1612" t="str">
        <f>检查点拆解!F1612</f>
        <v>D15.01.04</v>
      </c>
      <c r="E1612" s="2">
        <f>--(COUNTIFS($A$2:A1612,A1612,$D$2:D1612,D1612)=1)</f>
        <v>1</v>
      </c>
    </row>
    <row r="1613" spans="1:5">
      <c r="A1613" t="str">
        <f>检查点拆解!A1613</f>
        <v>Q0222</v>
      </c>
      <c r="B1613" t="str">
        <f>检查点拆解!D1613</f>
        <v>C06</v>
      </c>
      <c r="C1613" s="2">
        <f>--(COUNTIFS($A$2:A1613,A1613,$B$2:B1613,B1613)=1)</f>
        <v>1</v>
      </c>
      <c r="D1613" t="str">
        <f>检查点拆解!F1613</f>
        <v>D03.01.02</v>
      </c>
      <c r="E1613" s="2">
        <f>--(COUNTIFS($A$2:A1613,A1613,$D$2:D1613,D1613)=1)</f>
        <v>1</v>
      </c>
    </row>
    <row r="1614" spans="1:5">
      <c r="A1614" t="str">
        <f>检查点拆解!A1614</f>
        <v>Q0222</v>
      </c>
      <c r="B1614" t="str">
        <f>检查点拆解!D1614</f>
        <v>C06</v>
      </c>
      <c r="C1614" s="2">
        <f>--(COUNTIFS($A$2:A1614,A1614,$B$2:B1614,B1614)=1)</f>
        <v>0</v>
      </c>
      <c r="D1614" t="str">
        <f>检查点拆解!F1614</f>
        <v>D03.01.01</v>
      </c>
      <c r="E1614" s="2">
        <f>--(COUNTIFS($A$2:A1614,A1614,$D$2:D1614,D1614)=1)</f>
        <v>1</v>
      </c>
    </row>
    <row r="1615" spans="1:5">
      <c r="A1615" t="str">
        <f>检查点拆解!A1615</f>
        <v>Q0222</v>
      </c>
      <c r="B1615" t="str">
        <f>检查点拆解!D1615</f>
        <v>C14</v>
      </c>
      <c r="C1615" s="2">
        <f>--(COUNTIFS($A$2:A1615,A1615,$B$2:B1615,B1615)=1)</f>
        <v>1</v>
      </c>
      <c r="D1615" t="str">
        <f>检查点拆解!F1615</f>
        <v>D05.01.01</v>
      </c>
      <c r="E1615" s="2">
        <f>--(COUNTIFS($A$2:A1615,A1615,$D$2:D1615,D1615)=1)</f>
        <v>1</v>
      </c>
    </row>
    <row r="1616" spans="1:5">
      <c r="A1616" t="str">
        <f>检查点拆解!A1616</f>
        <v>Q0222</v>
      </c>
      <c r="B1616" t="str">
        <f>检查点拆解!D1616</f>
        <v>C05</v>
      </c>
      <c r="C1616" s="2">
        <f>--(COUNTIFS($A$2:A1616,A1616,$B$2:B1616,B1616)=1)</f>
        <v>1</v>
      </c>
      <c r="D1616" t="str">
        <f>检查点拆解!F1616</f>
        <v>D02.03.02</v>
      </c>
      <c r="E1616" s="2">
        <f>--(COUNTIFS($A$2:A1616,A1616,$D$2:D1616,D1616)=1)</f>
        <v>1</v>
      </c>
    </row>
    <row r="1617" spans="1:5">
      <c r="A1617" t="str">
        <f>检查点拆解!A1617</f>
        <v>Q0223</v>
      </c>
      <c r="B1617" t="str">
        <f>检查点拆解!D1617</f>
        <v>C30</v>
      </c>
      <c r="C1617" s="2">
        <f>--(COUNTIFS($A$2:A1617,A1617,$B$2:B1617,B1617)=1)</f>
        <v>1</v>
      </c>
      <c r="D1617" t="str">
        <f>检查点拆解!F1617</f>
        <v>D15.01.02</v>
      </c>
      <c r="E1617" s="2">
        <f>--(COUNTIFS($A$2:A1617,A1617,$D$2:D1617,D1617)=1)</f>
        <v>1</v>
      </c>
    </row>
    <row r="1618" spans="1:5">
      <c r="A1618" t="str">
        <f>检查点拆解!A1618</f>
        <v>Q0223</v>
      </c>
      <c r="B1618" t="str">
        <f>检查点拆解!D1618</f>
        <v>C18</v>
      </c>
      <c r="C1618" s="2">
        <f>--(COUNTIFS($A$2:A1618,A1618,$B$2:B1618,B1618)=1)</f>
        <v>1</v>
      </c>
      <c r="D1618" t="str">
        <f>检查点拆解!F1618</f>
        <v>D07.01.04</v>
      </c>
      <c r="E1618" s="2">
        <f>--(COUNTIFS($A$2:A1618,A1618,$D$2:D1618,D1618)=1)</f>
        <v>1</v>
      </c>
    </row>
    <row r="1619" spans="1:5">
      <c r="A1619" t="str">
        <f>检查点拆解!A1619</f>
        <v>Q0223</v>
      </c>
      <c r="B1619" t="str">
        <f>检查点拆解!D1619</f>
        <v>C30</v>
      </c>
      <c r="C1619" s="2">
        <f>--(COUNTIFS($A$2:A1619,A1619,$B$2:B1619,B1619)=1)</f>
        <v>0</v>
      </c>
      <c r="D1619" t="str">
        <f>检查点拆解!F1619</f>
        <v>D15.01.03</v>
      </c>
      <c r="E1619" s="2">
        <f>--(COUNTIFS($A$2:A1619,A1619,$D$2:D1619,D1619)=1)</f>
        <v>1</v>
      </c>
    </row>
    <row r="1620" spans="1:5">
      <c r="A1620" t="str">
        <f>检查点拆解!A1620</f>
        <v>Q0223</v>
      </c>
      <c r="B1620" t="str">
        <f>检查点拆解!D1620</f>
        <v>C14</v>
      </c>
      <c r="C1620" s="2">
        <f>--(COUNTIFS($A$2:A1620,A1620,$B$2:B1620,B1620)=1)</f>
        <v>1</v>
      </c>
      <c r="D1620" t="str">
        <f>检查点拆解!F1620</f>
        <v>D05.01.01</v>
      </c>
      <c r="E1620" s="2">
        <f>--(COUNTIFS($A$2:A1620,A1620,$D$2:D1620,D1620)=1)</f>
        <v>1</v>
      </c>
    </row>
    <row r="1621" spans="1:5">
      <c r="A1621" t="str">
        <f>检查点拆解!A1621</f>
        <v>Q0224</v>
      </c>
      <c r="B1621" t="str">
        <f>检查点拆解!D1621</f>
        <v>C11</v>
      </c>
      <c r="C1621" s="2">
        <f>--(COUNTIFS($A$2:A1621,A1621,$B$2:B1621,B1621)=1)</f>
        <v>1</v>
      </c>
      <c r="D1621" t="str">
        <f>检查点拆解!F1621</f>
        <v>D04.03.02</v>
      </c>
      <c r="E1621" s="2">
        <f>--(COUNTIFS($A$2:A1621,A1621,$D$2:D1621,D1621)=1)</f>
        <v>1</v>
      </c>
    </row>
    <row r="1622" spans="1:5">
      <c r="A1622" t="str">
        <f>检查点拆解!A1622</f>
        <v>Q0224</v>
      </c>
      <c r="B1622" t="str">
        <f>检查点拆解!D1622</f>
        <v>C18</v>
      </c>
      <c r="C1622" s="2">
        <f>--(COUNTIFS($A$2:A1622,A1622,$B$2:B1622,B1622)=1)</f>
        <v>1</v>
      </c>
      <c r="D1622" t="str">
        <f>检查点拆解!F1622</f>
        <v>D07.01.02</v>
      </c>
      <c r="E1622" s="2">
        <f>--(COUNTIFS($A$2:A1622,A1622,$D$2:D1622,D1622)=1)</f>
        <v>1</v>
      </c>
    </row>
    <row r="1623" spans="1:5">
      <c r="A1623" t="str">
        <f>检查点拆解!A1623</f>
        <v>Q0224</v>
      </c>
      <c r="B1623" t="str">
        <f>检查点拆解!D1623</f>
        <v>C23</v>
      </c>
      <c r="C1623" s="2">
        <f>--(COUNTIFS($A$2:A1623,A1623,$B$2:B1623,B1623)=1)</f>
        <v>1</v>
      </c>
      <c r="D1623" t="str">
        <f>检查点拆解!F1623</f>
        <v>D09.01.03</v>
      </c>
      <c r="E1623" s="2">
        <f>--(COUNTIFS($A$2:A1623,A1623,$D$2:D1623,D1623)=1)</f>
        <v>1</v>
      </c>
    </row>
    <row r="1624" spans="1:5">
      <c r="A1624" t="str">
        <f>检查点拆解!A1624</f>
        <v>Q0224</v>
      </c>
      <c r="B1624" t="str">
        <f>检查点拆解!D1624</f>
        <v>C28</v>
      </c>
      <c r="C1624" s="2">
        <f>--(COUNTIFS($A$2:A1624,A1624,$B$2:B1624,B1624)=1)</f>
        <v>1</v>
      </c>
      <c r="D1624" t="str">
        <f>检查点拆解!F1624</f>
        <v>D13.02.02</v>
      </c>
      <c r="E1624" s="2">
        <f>--(COUNTIFS($A$2:A1624,A1624,$D$2:D1624,D1624)=1)</f>
        <v>1</v>
      </c>
    </row>
    <row r="1625" spans="1:5">
      <c r="A1625" t="str">
        <f>检查点拆解!A1625</f>
        <v>Q0225</v>
      </c>
      <c r="B1625" t="str">
        <f>检查点拆解!D1625</f>
        <v>C06</v>
      </c>
      <c r="C1625" s="2">
        <f>--(COUNTIFS($A$2:A1625,A1625,$B$2:B1625,B1625)=1)</f>
        <v>1</v>
      </c>
      <c r="D1625" t="str">
        <f>检查点拆解!F1625</f>
        <v>D03.01.03</v>
      </c>
      <c r="E1625" s="2">
        <f>--(COUNTIFS($A$2:A1625,A1625,$D$2:D1625,D1625)=1)</f>
        <v>1</v>
      </c>
    </row>
    <row r="1626" spans="1:5">
      <c r="A1626" t="str">
        <f>检查点拆解!A1626</f>
        <v>Q0225</v>
      </c>
      <c r="B1626" t="str">
        <f>检查点拆解!D1626</f>
        <v>C01</v>
      </c>
      <c r="C1626" s="2">
        <f>--(COUNTIFS($A$2:A1626,A1626,$B$2:B1626,B1626)=1)</f>
        <v>1</v>
      </c>
      <c r="D1626" t="str">
        <f>检查点拆解!F1626</f>
        <v>D01.01.01</v>
      </c>
      <c r="E1626" s="2">
        <f>--(COUNTIFS($A$2:A1626,A1626,$D$2:D1626,D1626)=1)</f>
        <v>1</v>
      </c>
    </row>
    <row r="1627" spans="1:5">
      <c r="A1627" t="str">
        <f>检查点拆解!A1627</f>
        <v>Q0226</v>
      </c>
      <c r="B1627" t="str">
        <f>检查点拆解!D1627</f>
        <v>C24</v>
      </c>
      <c r="C1627" s="2">
        <f>--(COUNTIFS($A$2:A1627,A1627,$B$2:B1627,B1627)=1)</f>
        <v>1</v>
      </c>
      <c r="D1627" t="str">
        <f>检查点拆解!F1627</f>
        <v>D09.03.01</v>
      </c>
      <c r="E1627" s="2">
        <f>--(COUNTIFS($A$2:A1627,A1627,$D$2:D1627,D1627)=1)</f>
        <v>1</v>
      </c>
    </row>
    <row r="1628" spans="1:5">
      <c r="A1628" t="str">
        <f>检查点拆解!A1628</f>
        <v>Q0226</v>
      </c>
      <c r="B1628" t="str">
        <f>检查点拆解!D1628</f>
        <v>C30</v>
      </c>
      <c r="C1628" s="2">
        <f>--(COUNTIFS($A$2:A1628,A1628,$B$2:B1628,B1628)=1)</f>
        <v>1</v>
      </c>
      <c r="D1628" t="str">
        <f>检查点拆解!F1628</f>
        <v>D15.02.01</v>
      </c>
      <c r="E1628" s="2">
        <f>--(COUNTIFS($A$2:A1628,A1628,$D$2:D1628,D1628)=1)</f>
        <v>1</v>
      </c>
    </row>
    <row r="1629" spans="1:5">
      <c r="A1629" t="str">
        <f>检查点拆解!A1629</f>
        <v>Q0226</v>
      </c>
      <c r="B1629" t="str">
        <f>检查点拆解!D1629</f>
        <v>C15</v>
      </c>
      <c r="C1629" s="2">
        <f>--(COUNTIFS($A$2:A1629,A1629,$B$2:B1629,B1629)=1)</f>
        <v>1</v>
      </c>
      <c r="D1629" t="str">
        <f>检查点拆解!F1629</f>
        <v>D05.02.02</v>
      </c>
      <c r="E1629" s="2">
        <f>--(COUNTIFS($A$2:A1629,A1629,$D$2:D1629,D1629)=1)</f>
        <v>1</v>
      </c>
    </row>
    <row r="1630" spans="1:5">
      <c r="A1630" t="str">
        <f>检查点拆解!A1630</f>
        <v>Q0226</v>
      </c>
      <c r="B1630" t="str">
        <f>检查点拆解!D1630</f>
        <v>C17</v>
      </c>
      <c r="C1630" s="2">
        <f>--(COUNTIFS($A$2:A1630,A1630,$B$2:B1630,B1630)=1)</f>
        <v>1</v>
      </c>
      <c r="D1630" t="str">
        <f>检查点拆解!F1630</f>
        <v>D06.01.02</v>
      </c>
      <c r="E1630" s="2">
        <f>--(COUNTIFS($A$2:A1630,A1630,$D$2:D1630,D1630)=1)</f>
        <v>1</v>
      </c>
    </row>
    <row r="1631" spans="1:5">
      <c r="A1631" t="str">
        <f>检查点拆解!A1631</f>
        <v>Q0226</v>
      </c>
      <c r="B1631" t="str">
        <f>检查点拆解!D1631</f>
        <v>C28</v>
      </c>
      <c r="C1631" s="2">
        <f>--(COUNTIFS($A$2:A1631,A1631,$B$2:B1631,B1631)=1)</f>
        <v>1</v>
      </c>
      <c r="D1631" t="str">
        <f>检查点拆解!F1631</f>
        <v>D12.02.02</v>
      </c>
      <c r="E1631" s="2">
        <f>--(COUNTIFS($A$2:A1631,A1631,$D$2:D1631,D1631)=1)</f>
        <v>1</v>
      </c>
    </row>
    <row r="1632" spans="1:5">
      <c r="A1632" t="str">
        <f>检查点拆解!A1632</f>
        <v>Q0226</v>
      </c>
      <c r="B1632" t="str">
        <f>检查点拆解!D1632</f>
        <v>C28</v>
      </c>
      <c r="C1632" s="2">
        <f>--(COUNTIFS($A$2:A1632,A1632,$B$2:B1632,B1632)=1)</f>
        <v>0</v>
      </c>
      <c r="D1632" t="str">
        <f>检查点拆解!F1632</f>
        <v>D12.01.01</v>
      </c>
      <c r="E1632" s="2">
        <f>--(COUNTIFS($A$2:A1632,A1632,$D$2:D1632,D1632)=1)</f>
        <v>1</v>
      </c>
    </row>
    <row r="1633" spans="1:5">
      <c r="A1633" t="str">
        <f>检查点拆解!A1633</f>
        <v>Q0226</v>
      </c>
      <c r="B1633" t="str">
        <f>检查点拆解!D1633</f>
        <v>C28</v>
      </c>
      <c r="C1633" s="2">
        <f>--(COUNTIFS($A$2:A1633,A1633,$B$2:B1633,B1633)=1)</f>
        <v>0</v>
      </c>
      <c r="D1633" t="str">
        <f>检查点拆解!F1633</f>
        <v>D12.01.02</v>
      </c>
      <c r="E1633" s="2">
        <f>--(COUNTIFS($A$2:A1633,A1633,$D$2:D1633,D1633)=1)</f>
        <v>1</v>
      </c>
    </row>
    <row r="1634" spans="1:5">
      <c r="A1634" t="str">
        <f>检查点拆解!A1634</f>
        <v>Q0226</v>
      </c>
      <c r="B1634" t="str">
        <f>检查点拆解!D1634</f>
        <v>C04</v>
      </c>
      <c r="C1634" s="2">
        <f>--(COUNTIFS($A$2:A1634,A1634,$B$2:B1634,B1634)=1)</f>
        <v>1</v>
      </c>
      <c r="D1634" t="str">
        <f>检查点拆解!F1634</f>
        <v>D02.02.01</v>
      </c>
      <c r="E1634" s="2">
        <f>--(COUNTIFS($A$2:A1634,A1634,$D$2:D1634,D1634)=1)</f>
        <v>1</v>
      </c>
    </row>
    <row r="1635" spans="1:5">
      <c r="A1635" t="str">
        <f>检查点拆解!A1635</f>
        <v>Q0227</v>
      </c>
      <c r="B1635" t="str">
        <f>检查点拆解!D1635</f>
        <v>C29</v>
      </c>
      <c r="C1635" s="2">
        <f>--(COUNTIFS($A$2:A1635,A1635,$B$2:B1635,B1635)=1)</f>
        <v>1</v>
      </c>
      <c r="D1635" t="str">
        <f>检查点拆解!F1635</f>
        <v>D14.01.02</v>
      </c>
      <c r="E1635" s="2">
        <f>--(COUNTIFS($A$2:A1635,A1635,$D$2:D1635,D1635)=1)</f>
        <v>1</v>
      </c>
    </row>
    <row r="1636" spans="1:5">
      <c r="A1636" t="str">
        <f>检查点拆解!A1636</f>
        <v>Q0227</v>
      </c>
      <c r="B1636" t="str">
        <f>检查点拆解!D1636</f>
        <v>C30</v>
      </c>
      <c r="C1636" s="2">
        <f>--(COUNTIFS($A$2:A1636,A1636,$B$2:B1636,B1636)=1)</f>
        <v>1</v>
      </c>
      <c r="D1636" t="str">
        <f>检查点拆解!F1636</f>
        <v>D15.01.02</v>
      </c>
      <c r="E1636" s="2">
        <f>--(COUNTIFS($A$2:A1636,A1636,$D$2:D1636,D1636)=1)</f>
        <v>1</v>
      </c>
    </row>
    <row r="1637" spans="1:5">
      <c r="A1637" t="str">
        <f>检查点拆解!A1637</f>
        <v>Q0227</v>
      </c>
      <c r="B1637" t="str">
        <f>检查点拆解!D1637</f>
        <v>C14</v>
      </c>
      <c r="C1637" s="2">
        <f>--(COUNTIFS($A$2:A1637,A1637,$B$2:B1637,B1637)=1)</f>
        <v>1</v>
      </c>
      <c r="D1637" t="str">
        <f>检查点拆解!F1637</f>
        <v>D08.01.01</v>
      </c>
      <c r="E1637" s="2">
        <f>--(COUNTIFS($A$2:A1637,A1637,$D$2:D1637,D1637)=1)</f>
        <v>1</v>
      </c>
    </row>
    <row r="1638" spans="1:5">
      <c r="A1638" t="str">
        <f>检查点拆解!A1638</f>
        <v>Q0227</v>
      </c>
      <c r="B1638" t="str">
        <f>检查点拆解!D1638</f>
        <v>C18</v>
      </c>
      <c r="C1638" s="2">
        <f>--(COUNTIFS($A$2:A1638,A1638,$B$2:B1638,B1638)=1)</f>
        <v>1</v>
      </c>
      <c r="D1638" t="str">
        <f>检查点拆解!F1638</f>
        <v>D07.01.02</v>
      </c>
      <c r="E1638" s="2">
        <f>--(COUNTIFS($A$2:A1638,A1638,$D$2:D1638,D1638)=1)</f>
        <v>1</v>
      </c>
    </row>
    <row r="1639" spans="1:5">
      <c r="A1639" t="str">
        <f>检查点拆解!A1639</f>
        <v>Q0227</v>
      </c>
      <c r="B1639" t="str">
        <f>检查点拆解!D1639</f>
        <v>C30</v>
      </c>
      <c r="C1639" s="2">
        <f>--(COUNTIFS($A$2:A1639,A1639,$B$2:B1639,B1639)=1)</f>
        <v>0</v>
      </c>
      <c r="D1639" t="str">
        <f>检查点拆解!F1639</f>
        <v>D15.01.03</v>
      </c>
      <c r="E1639" s="2">
        <f>--(COUNTIFS($A$2:A1639,A1639,$D$2:D1639,D1639)=1)</f>
        <v>1</v>
      </c>
    </row>
    <row r="1640" spans="1:5">
      <c r="A1640" t="str">
        <f>检查点拆解!A1640</f>
        <v>Q0227</v>
      </c>
      <c r="B1640" t="str">
        <f>检查点拆解!D1640</f>
        <v>C03</v>
      </c>
      <c r="C1640" s="2">
        <f>--(COUNTIFS($A$2:A1640,A1640,$B$2:B1640,B1640)=1)</f>
        <v>1</v>
      </c>
      <c r="D1640" t="str">
        <f>检查点拆解!F1640</f>
        <v>D02.01.03</v>
      </c>
      <c r="E1640" s="2">
        <f>--(COUNTIFS($A$2:A1640,A1640,$D$2:D1640,D1640)=1)</f>
        <v>1</v>
      </c>
    </row>
    <row r="1641" spans="1:5">
      <c r="A1641" t="str">
        <f>检查点拆解!A1641</f>
        <v>Q0227</v>
      </c>
      <c r="B1641" t="str">
        <f>检查点拆解!D1641</f>
        <v>C04</v>
      </c>
      <c r="C1641" s="2">
        <f>--(COUNTIFS($A$2:A1641,A1641,$B$2:B1641,B1641)=1)</f>
        <v>1</v>
      </c>
      <c r="D1641" t="str">
        <f>检查点拆解!F1641</f>
        <v>D02.02.02</v>
      </c>
      <c r="E1641" s="2">
        <f>--(COUNTIFS($A$2:A1641,A1641,$D$2:D1641,D1641)=1)</f>
        <v>1</v>
      </c>
    </row>
    <row r="1642" spans="1:5">
      <c r="A1642" t="str">
        <f>检查点拆解!A1642</f>
        <v>Q0227</v>
      </c>
      <c r="B1642" t="str">
        <f>检查点拆解!D1642</f>
        <v>C08</v>
      </c>
      <c r="C1642" s="2">
        <f>--(COUNTIFS($A$2:A1642,A1642,$B$2:B1642,B1642)=1)</f>
        <v>1</v>
      </c>
      <c r="D1642" t="str">
        <f>检查点拆解!F1642</f>
        <v>D03.03.01</v>
      </c>
      <c r="E1642" s="2">
        <f>--(COUNTIFS($A$2:A1642,A1642,$D$2:D1642,D1642)=1)</f>
        <v>1</v>
      </c>
    </row>
    <row r="1643" spans="1:5">
      <c r="A1643" t="str">
        <f>检查点拆解!A1643</f>
        <v>Q0228</v>
      </c>
      <c r="B1643" t="str">
        <f>检查点拆解!D1643</f>
        <v>C24</v>
      </c>
      <c r="C1643" s="2">
        <f>--(COUNTIFS($A$2:A1643,A1643,$B$2:B1643,B1643)=1)</f>
        <v>1</v>
      </c>
      <c r="D1643" t="str">
        <f>检查点拆解!F1643</f>
        <v>D09.03.01</v>
      </c>
      <c r="E1643" s="2">
        <f>--(COUNTIFS($A$2:A1643,A1643,$D$2:D1643,D1643)=1)</f>
        <v>1</v>
      </c>
    </row>
    <row r="1644" spans="1:5">
      <c r="A1644" t="str">
        <f>检查点拆解!A1644</f>
        <v>Q0228</v>
      </c>
      <c r="B1644" t="str">
        <f>检查点拆解!D1644</f>
        <v>C30</v>
      </c>
      <c r="C1644" s="2">
        <f>--(COUNTIFS($A$2:A1644,A1644,$B$2:B1644,B1644)=1)</f>
        <v>1</v>
      </c>
      <c r="D1644" t="str">
        <f>检查点拆解!F1644</f>
        <v>D15.01.02</v>
      </c>
      <c r="E1644" s="2">
        <f>--(COUNTIFS($A$2:A1644,A1644,$D$2:D1644,D1644)=1)</f>
        <v>1</v>
      </c>
    </row>
    <row r="1645" spans="1:5">
      <c r="A1645" t="str">
        <f>检查点拆解!A1645</f>
        <v>Q0228</v>
      </c>
      <c r="B1645" t="str">
        <f>检查点拆解!D1645</f>
        <v>C11</v>
      </c>
      <c r="C1645" s="2">
        <f>--(COUNTIFS($A$2:A1645,A1645,$B$2:B1645,B1645)=1)</f>
        <v>1</v>
      </c>
      <c r="D1645" t="str">
        <f>检查点拆解!F1645</f>
        <v>D04.03.02</v>
      </c>
      <c r="E1645" s="2">
        <f>--(COUNTIFS($A$2:A1645,A1645,$D$2:D1645,D1645)=1)</f>
        <v>1</v>
      </c>
    </row>
    <row r="1646" spans="1:5">
      <c r="A1646" t="str">
        <f>检查点拆解!A1646</f>
        <v>Q0228</v>
      </c>
      <c r="B1646" t="str">
        <f>检查点拆解!D1646</f>
        <v>C24</v>
      </c>
      <c r="C1646" s="2">
        <f>--(COUNTIFS($A$2:A1646,A1646,$B$2:B1646,B1646)=1)</f>
        <v>0</v>
      </c>
      <c r="D1646" t="str">
        <f>检查点拆解!F1646</f>
        <v>D09.02.02</v>
      </c>
      <c r="E1646" s="2">
        <f>--(COUNTIFS($A$2:A1646,A1646,$D$2:D1646,D1646)=1)</f>
        <v>1</v>
      </c>
    </row>
    <row r="1647" spans="1:5">
      <c r="A1647" t="str">
        <f>检查点拆解!A1647</f>
        <v>Q0228</v>
      </c>
      <c r="B1647" t="str">
        <f>检查点拆解!D1647</f>
        <v>C23</v>
      </c>
      <c r="C1647" s="2">
        <f>--(COUNTIFS($A$2:A1647,A1647,$B$2:B1647,B1647)=1)</f>
        <v>1</v>
      </c>
      <c r="D1647" t="str">
        <f>检查点拆解!F1647</f>
        <v>D09.01.03</v>
      </c>
      <c r="E1647" s="2">
        <f>--(COUNTIFS($A$2:A1647,A1647,$D$2:D1647,D1647)=1)</f>
        <v>1</v>
      </c>
    </row>
    <row r="1648" spans="1:5">
      <c r="A1648" t="str">
        <f>检查点拆解!A1648</f>
        <v>Q0228</v>
      </c>
      <c r="B1648" t="str">
        <f>检查点拆解!D1648</f>
        <v>C30</v>
      </c>
      <c r="C1648" s="2">
        <f>--(COUNTIFS($A$2:A1648,A1648,$B$2:B1648,B1648)=1)</f>
        <v>0</v>
      </c>
      <c r="D1648" t="str">
        <f>检查点拆解!F1648</f>
        <v>D15.01.03</v>
      </c>
      <c r="E1648" s="2">
        <f>--(COUNTIFS($A$2:A1648,A1648,$D$2:D1648,D1648)=1)</f>
        <v>1</v>
      </c>
    </row>
    <row r="1649" spans="1:5">
      <c r="A1649" t="str">
        <f>检查点拆解!A1649</f>
        <v>Q0228</v>
      </c>
      <c r="B1649" t="str">
        <f>检查点拆解!D1649</f>
        <v>C24</v>
      </c>
      <c r="C1649" s="2">
        <f>--(COUNTIFS($A$2:A1649,A1649,$B$2:B1649,B1649)=1)</f>
        <v>0</v>
      </c>
      <c r="D1649" t="str">
        <f>检查点拆解!F1649</f>
        <v>D09.03.03</v>
      </c>
      <c r="E1649" s="2">
        <f>--(COUNTIFS($A$2:A1649,A1649,$D$2:D1649,D1649)=1)</f>
        <v>1</v>
      </c>
    </row>
    <row r="1650" spans="1:5">
      <c r="A1650" t="str">
        <f>检查点拆解!A1650</f>
        <v>Q0228</v>
      </c>
      <c r="B1650" t="str">
        <f>检查点拆解!D1650</f>
        <v>C06</v>
      </c>
      <c r="C1650" s="2">
        <f>--(COUNTIFS($A$2:A1650,A1650,$B$2:B1650,B1650)=1)</f>
        <v>1</v>
      </c>
      <c r="D1650" t="str">
        <f>检查点拆解!F1650</f>
        <v>D03.01.03</v>
      </c>
      <c r="E1650" s="2">
        <f>--(COUNTIFS($A$2:A1650,A1650,$D$2:D1650,D1650)=1)</f>
        <v>1</v>
      </c>
    </row>
    <row r="1651" spans="1:5">
      <c r="A1651" t="str">
        <f>检查点拆解!A1651</f>
        <v>Q0228</v>
      </c>
      <c r="B1651" t="str">
        <f>检查点拆解!D1651</f>
        <v>C15</v>
      </c>
      <c r="C1651" s="2">
        <f>--(COUNTIFS($A$2:A1651,A1651,$B$2:B1651,B1651)=1)</f>
        <v>1</v>
      </c>
      <c r="D1651" t="str">
        <f>检查点拆解!F1651</f>
        <v>D05.02.02</v>
      </c>
      <c r="E1651" s="2">
        <f>--(COUNTIFS($A$2:A1651,A1651,$D$2:D1651,D1651)=1)</f>
        <v>1</v>
      </c>
    </row>
    <row r="1652" spans="1:5">
      <c r="A1652" t="str">
        <f>检查点拆解!A1652</f>
        <v>Q0228</v>
      </c>
      <c r="B1652" t="str">
        <f>检查点拆解!D1652</f>
        <v>C25</v>
      </c>
      <c r="C1652" s="2">
        <f>--(COUNTIFS($A$2:A1652,A1652,$B$2:B1652,B1652)=1)</f>
        <v>1</v>
      </c>
      <c r="D1652" t="str">
        <f>检查点拆解!F1652</f>
        <v>D10.01.01</v>
      </c>
      <c r="E1652" s="2">
        <f>--(COUNTIFS($A$2:A1652,A1652,$D$2:D1652,D1652)=1)</f>
        <v>1</v>
      </c>
    </row>
    <row r="1653" spans="1:5">
      <c r="A1653" t="str">
        <f>检查点拆解!A1653</f>
        <v>Q0229</v>
      </c>
      <c r="B1653" t="str">
        <f>检查点拆解!D1653</f>
        <v>C20</v>
      </c>
      <c r="C1653" s="2">
        <f>--(COUNTIFS($A$2:A1653,A1653,$B$2:B1653,B1653)=1)</f>
        <v>1</v>
      </c>
      <c r="D1653" t="str">
        <f>检查点拆解!F1653</f>
        <v>D07.02.04</v>
      </c>
      <c r="E1653" s="2">
        <f>--(COUNTIFS($A$2:A1653,A1653,$D$2:D1653,D1653)=1)</f>
        <v>1</v>
      </c>
    </row>
    <row r="1654" spans="1:5">
      <c r="A1654" t="str">
        <f>检查点拆解!A1654</f>
        <v>Q0229</v>
      </c>
      <c r="B1654" t="str">
        <f>检查点拆解!D1654</f>
        <v>C30</v>
      </c>
      <c r="C1654" s="2">
        <f>--(COUNTIFS($A$2:A1654,A1654,$B$2:B1654,B1654)=1)</f>
        <v>1</v>
      </c>
      <c r="D1654" t="str">
        <f>检查点拆解!F1654</f>
        <v>D15.02.01</v>
      </c>
      <c r="E1654" s="2">
        <f>--(COUNTIFS($A$2:A1654,A1654,$D$2:D1654,D1654)=1)</f>
        <v>1</v>
      </c>
    </row>
    <row r="1655" spans="1:5">
      <c r="A1655" t="str">
        <f>检查点拆解!A1655</f>
        <v>Q0229</v>
      </c>
      <c r="B1655" t="str">
        <f>检查点拆解!D1655</f>
        <v>C27</v>
      </c>
      <c r="C1655" s="2">
        <f>--(COUNTIFS($A$2:A1655,A1655,$B$2:B1655,B1655)=1)</f>
        <v>1</v>
      </c>
      <c r="D1655" t="str">
        <f>检查点拆解!F1655</f>
        <v>D11.01.01</v>
      </c>
      <c r="E1655" s="2">
        <f>--(COUNTIFS($A$2:A1655,A1655,$D$2:D1655,D1655)=1)</f>
        <v>1</v>
      </c>
    </row>
    <row r="1656" spans="1:5">
      <c r="A1656" t="str">
        <f>检查点拆解!A1656</f>
        <v>Q0229</v>
      </c>
      <c r="B1656" t="str">
        <f>检查点拆解!D1656</f>
        <v>C25</v>
      </c>
      <c r="C1656" s="2">
        <f>--(COUNTIFS($A$2:A1656,A1656,$B$2:B1656,B1656)=1)</f>
        <v>1</v>
      </c>
      <c r="D1656" t="str">
        <f>检查点拆解!F1656</f>
        <v>D10.01.01</v>
      </c>
      <c r="E1656" s="2">
        <f>--(COUNTIFS($A$2:A1656,A1656,$D$2:D1656,D1656)=1)</f>
        <v>1</v>
      </c>
    </row>
    <row r="1657" spans="1:5">
      <c r="A1657" t="str">
        <f>检查点拆解!A1657</f>
        <v>Q0229</v>
      </c>
      <c r="B1657" t="str">
        <f>检查点拆解!D1657</f>
        <v>C27</v>
      </c>
      <c r="C1657" s="2">
        <f>--(COUNTIFS($A$2:A1657,A1657,$B$2:B1657,B1657)=1)</f>
        <v>0</v>
      </c>
      <c r="D1657" t="str">
        <f>检查点拆解!F1657</f>
        <v>D11.02.04</v>
      </c>
      <c r="E1657" s="2">
        <f>--(COUNTIFS($A$2:A1657,A1657,$D$2:D1657,D1657)=1)</f>
        <v>1</v>
      </c>
    </row>
    <row r="1658" spans="1:5">
      <c r="A1658" t="str">
        <f>检查点拆解!A1658</f>
        <v>Q0229</v>
      </c>
      <c r="B1658" t="str">
        <f>检查点拆解!D1658</f>
        <v>C28</v>
      </c>
      <c r="C1658" s="2">
        <f>--(COUNTIFS($A$2:A1658,A1658,$B$2:B1658,B1658)=1)</f>
        <v>1</v>
      </c>
      <c r="D1658" t="str">
        <f>检查点拆解!F1658</f>
        <v>D13.01.02</v>
      </c>
      <c r="E1658" s="2">
        <f>--(COUNTIFS($A$2:A1658,A1658,$D$2:D1658,D1658)=1)</f>
        <v>1</v>
      </c>
    </row>
    <row r="1659" spans="1:5">
      <c r="A1659" t="str">
        <f>检查点拆解!A1659</f>
        <v>Q0229</v>
      </c>
      <c r="B1659" t="str">
        <f>检查点拆解!D1659</f>
        <v>C23</v>
      </c>
      <c r="C1659" s="2">
        <f>--(COUNTIFS($A$2:A1659,A1659,$B$2:B1659,B1659)=1)</f>
        <v>1</v>
      </c>
      <c r="D1659" t="str">
        <f>检查点拆解!F1659</f>
        <v>D09.01.01</v>
      </c>
      <c r="E1659" s="2">
        <f>--(COUNTIFS($A$2:A1659,A1659,$D$2:D1659,D1659)=1)</f>
        <v>1</v>
      </c>
    </row>
    <row r="1660" spans="1:5">
      <c r="A1660" t="str">
        <f>检查点拆解!A1660</f>
        <v>Q0229</v>
      </c>
      <c r="B1660" t="str">
        <f>检查点拆解!D1660</f>
        <v>C26</v>
      </c>
      <c r="C1660" s="2">
        <f>--(COUNTIFS($A$2:A1660,A1660,$B$2:B1660,B1660)=1)</f>
        <v>1</v>
      </c>
      <c r="D1660" t="str">
        <f>检查点拆解!F1660</f>
        <v>D10.02.01</v>
      </c>
      <c r="E1660" s="2">
        <f>--(COUNTIFS($A$2:A1660,A1660,$D$2:D1660,D1660)=1)</f>
        <v>1</v>
      </c>
    </row>
    <row r="1661" spans="1:5">
      <c r="A1661" t="str">
        <f>检查点拆解!A1661</f>
        <v>Q0230</v>
      </c>
      <c r="B1661" t="str">
        <f>检查点拆解!D1661</f>
        <v>C18</v>
      </c>
      <c r="C1661" s="2">
        <f>--(COUNTIFS($A$2:A1661,A1661,$B$2:B1661,B1661)=1)</f>
        <v>1</v>
      </c>
      <c r="D1661" t="str">
        <f>检查点拆解!F1661</f>
        <v>D07.01.02</v>
      </c>
      <c r="E1661" s="2">
        <f>--(COUNTIFS($A$2:A1661,A1661,$D$2:D1661,D1661)=1)</f>
        <v>1</v>
      </c>
    </row>
    <row r="1662" spans="1:5">
      <c r="A1662" t="str">
        <f>检查点拆解!A1662</f>
        <v>Q0230</v>
      </c>
      <c r="B1662" t="str">
        <f>检查点拆解!D1662</f>
        <v>C17</v>
      </c>
      <c r="C1662" s="2">
        <f>--(COUNTIFS($A$2:A1662,A1662,$B$2:B1662,B1662)=1)</f>
        <v>1</v>
      </c>
      <c r="D1662" t="str">
        <f>检查点拆解!F1662</f>
        <v>D06.03.01</v>
      </c>
      <c r="E1662" s="2">
        <f>--(COUNTIFS($A$2:A1662,A1662,$D$2:D1662,D1662)=1)</f>
        <v>1</v>
      </c>
    </row>
    <row r="1663" spans="1:5">
      <c r="A1663" t="str">
        <f>检查点拆解!A1663</f>
        <v>Q0230</v>
      </c>
      <c r="B1663" t="str">
        <f>检查点拆解!D1663</f>
        <v>C27</v>
      </c>
      <c r="C1663" s="2">
        <f>--(COUNTIFS($A$2:A1663,A1663,$B$2:B1663,B1663)=1)</f>
        <v>1</v>
      </c>
      <c r="D1663" t="str">
        <f>检查点拆解!F1663</f>
        <v>D11.02.03</v>
      </c>
      <c r="E1663" s="2">
        <f>--(COUNTIFS($A$2:A1663,A1663,$D$2:D1663,D1663)=1)</f>
        <v>1</v>
      </c>
    </row>
    <row r="1664" spans="1:5">
      <c r="A1664" t="str">
        <f>检查点拆解!A1664</f>
        <v>Q0230</v>
      </c>
      <c r="B1664" t="str">
        <f>检查点拆解!D1664</f>
        <v>C27</v>
      </c>
      <c r="C1664" s="2">
        <f>--(COUNTIFS($A$2:A1664,A1664,$B$2:B1664,B1664)=1)</f>
        <v>0</v>
      </c>
      <c r="D1664" t="str">
        <f>检查点拆解!F1664</f>
        <v>D11.01.02</v>
      </c>
      <c r="E1664" s="2">
        <f>--(COUNTIFS($A$2:A1664,A1664,$D$2:D1664,D1664)=1)</f>
        <v>1</v>
      </c>
    </row>
    <row r="1665" spans="1:5">
      <c r="A1665" t="str">
        <f>检查点拆解!A1665</f>
        <v>Q0230</v>
      </c>
      <c r="B1665" t="str">
        <f>检查点拆解!D1665</f>
        <v>C24</v>
      </c>
      <c r="C1665" s="2">
        <f>--(COUNTIFS($A$2:A1665,A1665,$B$2:B1665,B1665)=1)</f>
        <v>1</v>
      </c>
      <c r="D1665" t="str">
        <f>检查点拆解!F1665</f>
        <v>D09.03.03</v>
      </c>
      <c r="E1665" s="2">
        <f>--(COUNTIFS($A$2:A1665,A1665,$D$2:D1665,D1665)=1)</f>
        <v>1</v>
      </c>
    </row>
    <row r="1666" spans="1:5">
      <c r="A1666" t="str">
        <f>检查点拆解!A1666</f>
        <v>Q0230</v>
      </c>
      <c r="B1666" t="str">
        <f>检查点拆解!D1666</f>
        <v>C27</v>
      </c>
      <c r="C1666" s="2">
        <f>--(COUNTIFS($A$2:A1666,A1666,$B$2:B1666,B1666)=1)</f>
        <v>0</v>
      </c>
      <c r="D1666" t="str">
        <f>检查点拆解!F1666</f>
        <v>D11.01.03</v>
      </c>
      <c r="E1666" s="2">
        <f>--(COUNTIFS($A$2:A1666,A1666,$D$2:D1666,D1666)=1)</f>
        <v>1</v>
      </c>
    </row>
    <row r="1667" spans="1:5">
      <c r="A1667" t="str">
        <f>检查点拆解!A1667</f>
        <v>Q0230</v>
      </c>
      <c r="B1667" t="str">
        <f>检查点拆解!D1667</f>
        <v>C24</v>
      </c>
      <c r="C1667" s="2">
        <f>--(COUNTIFS($A$2:A1667,A1667,$B$2:B1667,B1667)=1)</f>
        <v>0</v>
      </c>
      <c r="D1667" t="str">
        <f>检查点拆解!F1667</f>
        <v>D09.02.03</v>
      </c>
      <c r="E1667" s="2">
        <f>--(COUNTIFS($A$2:A1667,A1667,$D$2:D1667,D1667)=1)</f>
        <v>1</v>
      </c>
    </row>
    <row r="1668" spans="1:5">
      <c r="A1668" t="str">
        <f>检查点拆解!A1668</f>
        <v>Q0230</v>
      </c>
      <c r="B1668" t="str">
        <f>检查点拆解!D1668</f>
        <v>C25</v>
      </c>
      <c r="C1668" s="2">
        <f>--(COUNTIFS($A$2:A1668,A1668,$B$2:B1668,B1668)=1)</f>
        <v>1</v>
      </c>
      <c r="D1668" t="str">
        <f>检查点拆解!F1668</f>
        <v>D10.01.01</v>
      </c>
      <c r="E1668" s="2">
        <f>--(COUNTIFS($A$2:A1668,A1668,$D$2:D1668,D1668)=1)</f>
        <v>1</v>
      </c>
    </row>
    <row r="1669" spans="1:5">
      <c r="A1669" t="str">
        <f>检查点拆解!A1669</f>
        <v>Q0230</v>
      </c>
      <c r="B1669" t="str">
        <f>检查点拆解!D1669</f>
        <v>C28</v>
      </c>
      <c r="C1669" s="2">
        <f>--(COUNTIFS($A$2:A1669,A1669,$B$2:B1669,B1669)=1)</f>
        <v>1</v>
      </c>
      <c r="D1669" t="str">
        <f>检查点拆解!F1669</f>
        <v>D12.02.01</v>
      </c>
      <c r="E1669" s="2">
        <f>--(COUNTIFS($A$2:A1669,A1669,$D$2:D1669,D1669)=1)</f>
        <v>1</v>
      </c>
    </row>
    <row r="1670" spans="1:5">
      <c r="A1670" t="str">
        <f>检查点拆解!A1670</f>
        <v>Q0230</v>
      </c>
      <c r="B1670" t="str">
        <f>检查点拆解!D1670</f>
        <v>C08</v>
      </c>
      <c r="C1670" s="2">
        <f>--(COUNTIFS($A$2:A1670,A1670,$B$2:B1670,B1670)=1)</f>
        <v>1</v>
      </c>
      <c r="D1670" t="str">
        <f>检查点拆解!F1670</f>
        <v>D04.01.02</v>
      </c>
      <c r="E1670" s="2">
        <f>--(COUNTIFS($A$2:A1670,A1670,$D$2:D1670,D1670)=1)</f>
        <v>1</v>
      </c>
    </row>
    <row r="1671" spans="1:5">
      <c r="A1671" t="str">
        <f>检查点拆解!A1671</f>
        <v>Q0231</v>
      </c>
      <c r="B1671" t="str">
        <f>检查点拆解!D1671</f>
        <v>C18</v>
      </c>
      <c r="C1671" s="2">
        <f>--(COUNTIFS($A$2:A1671,A1671,$B$2:B1671,B1671)=1)</f>
        <v>1</v>
      </c>
      <c r="D1671" t="str">
        <f>检查点拆解!F1671</f>
        <v>D07.01.03</v>
      </c>
      <c r="E1671" s="2">
        <f>--(COUNTIFS($A$2:A1671,A1671,$D$2:D1671,D1671)=1)</f>
        <v>1</v>
      </c>
    </row>
    <row r="1672" spans="1:5">
      <c r="A1672" t="str">
        <f>检查点拆解!A1672</f>
        <v>Q0231</v>
      </c>
      <c r="B1672" t="str">
        <f>检查点拆解!D1672</f>
        <v>C12</v>
      </c>
      <c r="C1672" s="2">
        <f>--(COUNTIFS($A$2:A1672,A1672,$B$2:B1672,B1672)=1)</f>
        <v>1</v>
      </c>
      <c r="D1672" t="str">
        <f>检查点拆解!F1672</f>
        <v>D04.03.03</v>
      </c>
      <c r="E1672" s="2">
        <f>--(COUNTIFS($A$2:A1672,A1672,$D$2:D1672,D1672)=1)</f>
        <v>1</v>
      </c>
    </row>
    <row r="1673" spans="1:5">
      <c r="A1673" t="str">
        <f>检查点拆解!A1673</f>
        <v>Q0231</v>
      </c>
      <c r="B1673" t="str">
        <f>检查点拆解!D1673</f>
        <v>C27</v>
      </c>
      <c r="C1673" s="2">
        <f>--(COUNTIFS($A$2:A1673,A1673,$B$2:B1673,B1673)=1)</f>
        <v>1</v>
      </c>
      <c r="D1673" t="str">
        <f>检查点拆解!F1673</f>
        <v>D11.02.01</v>
      </c>
      <c r="E1673" s="2">
        <f>--(COUNTIFS($A$2:A1673,A1673,$D$2:D1673,D1673)=1)</f>
        <v>1</v>
      </c>
    </row>
    <row r="1674" spans="1:5">
      <c r="A1674" t="str">
        <f>检查点拆解!A1674</f>
        <v>Q0231</v>
      </c>
      <c r="B1674" t="str">
        <f>检查点拆解!D1674</f>
        <v>C27</v>
      </c>
      <c r="C1674" s="2">
        <f>--(COUNTIFS($A$2:A1674,A1674,$B$2:B1674,B1674)=1)</f>
        <v>0</v>
      </c>
      <c r="D1674" t="str">
        <f>检查点拆解!F1674</f>
        <v>D11.01.02</v>
      </c>
      <c r="E1674" s="2">
        <f>--(COUNTIFS($A$2:A1674,A1674,$D$2:D1674,D1674)=1)</f>
        <v>1</v>
      </c>
    </row>
    <row r="1675" spans="1:5">
      <c r="A1675" t="str">
        <f>检查点拆解!A1675</f>
        <v>Q0231</v>
      </c>
      <c r="B1675" t="str">
        <f>检查点拆解!D1675</f>
        <v>C06</v>
      </c>
      <c r="C1675" s="2">
        <f>--(COUNTIFS($A$2:A1675,A1675,$B$2:B1675,B1675)=1)</f>
        <v>1</v>
      </c>
      <c r="D1675" t="str">
        <f>检查点拆解!F1675</f>
        <v>D03.01.03</v>
      </c>
      <c r="E1675" s="2">
        <f>--(COUNTIFS($A$2:A1675,A1675,$D$2:D1675,D1675)=1)</f>
        <v>1</v>
      </c>
    </row>
    <row r="1676" spans="1:5">
      <c r="A1676" t="str">
        <f>检查点拆解!A1676</f>
        <v>Q0231</v>
      </c>
      <c r="B1676" t="str">
        <f>检查点拆解!D1676</f>
        <v>C24</v>
      </c>
      <c r="C1676" s="2">
        <f>--(COUNTIFS($A$2:A1676,A1676,$B$2:B1676,B1676)=1)</f>
        <v>1</v>
      </c>
      <c r="D1676" t="str">
        <f>检查点拆解!F1676</f>
        <v>D09.02.03</v>
      </c>
      <c r="E1676" s="2">
        <f>--(COUNTIFS($A$2:A1676,A1676,$D$2:D1676,D1676)=1)</f>
        <v>1</v>
      </c>
    </row>
    <row r="1677" spans="1:5">
      <c r="A1677" t="str">
        <f>检查点拆解!A1677</f>
        <v>Q0231</v>
      </c>
      <c r="B1677" t="str">
        <f>检查点拆解!D1677</f>
        <v>C28</v>
      </c>
      <c r="C1677" s="2">
        <f>--(COUNTIFS($A$2:A1677,A1677,$B$2:B1677,B1677)=1)</f>
        <v>1</v>
      </c>
      <c r="D1677" t="str">
        <f>检查点拆解!F1677</f>
        <v>D12.02.01</v>
      </c>
      <c r="E1677" s="2">
        <f>--(COUNTIFS($A$2:A1677,A1677,$D$2:D1677,D1677)=1)</f>
        <v>1</v>
      </c>
    </row>
    <row r="1678" spans="1:5">
      <c r="A1678" t="str">
        <f>检查点拆解!A1678</f>
        <v>Q0231</v>
      </c>
      <c r="B1678" t="str">
        <f>检查点拆解!D1678</f>
        <v>C08</v>
      </c>
      <c r="C1678" s="2">
        <f>--(COUNTIFS($A$2:A1678,A1678,$B$2:B1678,B1678)=1)</f>
        <v>1</v>
      </c>
      <c r="D1678" t="str">
        <f>检查点拆解!F1678</f>
        <v>D04.01.02</v>
      </c>
      <c r="E1678" s="2">
        <f>--(COUNTIFS($A$2:A1678,A1678,$D$2:D1678,D1678)=1)</f>
        <v>1</v>
      </c>
    </row>
    <row r="1679" spans="1:5">
      <c r="A1679" t="str">
        <f>检查点拆解!A1679</f>
        <v>Q0231</v>
      </c>
      <c r="B1679" t="str">
        <f>检查点拆解!D1679</f>
        <v>C26</v>
      </c>
      <c r="C1679" s="2">
        <f>--(COUNTIFS($A$2:A1679,A1679,$B$2:B1679,B1679)=1)</f>
        <v>1</v>
      </c>
      <c r="D1679" t="str">
        <f>检查点拆解!F1679</f>
        <v>D10.02.01</v>
      </c>
      <c r="E1679" s="2">
        <f>--(COUNTIFS($A$2:A1679,A1679,$D$2:D1679,D1679)=1)</f>
        <v>1</v>
      </c>
    </row>
    <row r="1680" spans="1:5">
      <c r="A1680" t="str">
        <f>检查点拆解!A1680</f>
        <v>Q0231</v>
      </c>
      <c r="B1680" t="str">
        <f>检查点拆解!D1680</f>
        <v>C28</v>
      </c>
      <c r="C1680" s="2">
        <f>--(COUNTIFS($A$2:A1680,A1680,$B$2:B1680,B1680)=1)</f>
        <v>0</v>
      </c>
      <c r="D1680" t="str">
        <f>检查点拆解!F1680</f>
        <v>D12.01.01</v>
      </c>
      <c r="E1680" s="2">
        <f>--(COUNTIFS($A$2:A1680,A1680,$D$2:D1680,D1680)=1)</f>
        <v>1</v>
      </c>
    </row>
    <row r="1681" spans="1:5">
      <c r="A1681" t="str">
        <f>检查点拆解!A1681</f>
        <v>Q0232</v>
      </c>
      <c r="B1681" t="str">
        <f>检查点拆解!D1681</f>
        <v>C25</v>
      </c>
      <c r="C1681" s="2">
        <f>--(COUNTIFS($A$2:A1681,A1681,$B$2:B1681,B1681)=1)</f>
        <v>1</v>
      </c>
      <c r="D1681" t="str">
        <f>检查点拆解!F1681</f>
        <v>D10.01.01</v>
      </c>
      <c r="E1681" s="2">
        <f>--(COUNTIFS($A$2:A1681,A1681,$D$2:D1681,D1681)=1)</f>
        <v>1</v>
      </c>
    </row>
    <row r="1682" spans="1:5">
      <c r="A1682" t="str">
        <f>检查点拆解!A1682</f>
        <v>Q0232</v>
      </c>
      <c r="B1682" t="str">
        <f>检查点拆解!D1682</f>
        <v>C28</v>
      </c>
      <c r="C1682" s="2">
        <f>--(COUNTIFS($A$2:A1682,A1682,$B$2:B1682,B1682)=1)</f>
        <v>1</v>
      </c>
      <c r="D1682" t="str">
        <f>检查点拆解!F1682</f>
        <v>D13.01.02</v>
      </c>
      <c r="E1682" s="2">
        <f>--(COUNTIFS($A$2:A1682,A1682,$D$2:D1682,D1682)=1)</f>
        <v>1</v>
      </c>
    </row>
    <row r="1683" spans="1:5">
      <c r="A1683" t="str">
        <f>检查点拆解!A1683</f>
        <v>Q0232</v>
      </c>
      <c r="B1683" t="str">
        <f>检查点拆解!D1683</f>
        <v>C23</v>
      </c>
      <c r="C1683" s="2">
        <f>--(COUNTIFS($A$2:A1683,A1683,$B$2:B1683,B1683)=1)</f>
        <v>1</v>
      </c>
      <c r="D1683" t="str">
        <f>检查点拆解!F1683</f>
        <v>D09.01.01</v>
      </c>
      <c r="E1683" s="2">
        <f>--(COUNTIFS($A$2:A1683,A1683,$D$2:D1683,D1683)=1)</f>
        <v>1</v>
      </c>
    </row>
    <row r="1684" spans="1:5">
      <c r="A1684" t="str">
        <f>检查点拆解!A1684</f>
        <v>Q0232</v>
      </c>
      <c r="B1684" t="str">
        <f>检查点拆解!D1684</f>
        <v>C28</v>
      </c>
      <c r="C1684" s="2">
        <f>--(COUNTIFS($A$2:A1684,A1684,$B$2:B1684,B1684)=1)</f>
        <v>0</v>
      </c>
      <c r="D1684" t="str">
        <f>检查点拆解!F1684</f>
        <v>D12.02.01</v>
      </c>
      <c r="E1684" s="2">
        <f>--(COUNTIFS($A$2:A1684,A1684,$D$2:D1684,D1684)=1)</f>
        <v>1</v>
      </c>
    </row>
    <row r="1685" spans="1:5">
      <c r="A1685" t="str">
        <f>检查点拆解!A1685</f>
        <v>Q0232</v>
      </c>
      <c r="B1685" t="str">
        <f>检查点拆解!D1685</f>
        <v>C26</v>
      </c>
      <c r="C1685" s="2">
        <f>--(COUNTIFS($A$2:A1685,A1685,$B$2:B1685,B1685)=1)</f>
        <v>1</v>
      </c>
      <c r="D1685" t="str">
        <f>检查点拆解!F1685</f>
        <v>D10.02.01</v>
      </c>
      <c r="E1685" s="2">
        <f>--(COUNTIFS($A$2:A1685,A1685,$D$2:D1685,D1685)=1)</f>
        <v>1</v>
      </c>
    </row>
    <row r="1686" spans="1:5">
      <c r="A1686" t="str">
        <f>检查点拆解!A1686</f>
        <v>Q0232</v>
      </c>
      <c r="B1686" t="str">
        <f>检查点拆解!D1686</f>
        <v>C28</v>
      </c>
      <c r="C1686" s="2">
        <f>--(COUNTIFS($A$2:A1686,A1686,$B$2:B1686,B1686)=1)</f>
        <v>0</v>
      </c>
      <c r="D1686" t="str">
        <f>检查点拆解!F1686</f>
        <v>D12.01.02</v>
      </c>
      <c r="E1686" s="2">
        <f>--(COUNTIFS($A$2:A1686,A1686,$D$2:D1686,D1686)=1)</f>
        <v>1</v>
      </c>
    </row>
    <row r="1687" spans="1:5">
      <c r="A1687" t="str">
        <f>检查点拆解!A1687</f>
        <v>Q0232</v>
      </c>
      <c r="B1687" t="str">
        <f>检查点拆解!D1687</f>
        <v>C04</v>
      </c>
      <c r="C1687" s="2">
        <f>--(COUNTIFS($A$2:A1687,A1687,$B$2:B1687,B1687)=1)</f>
        <v>1</v>
      </c>
      <c r="D1687" t="str">
        <f>检查点拆解!F1687</f>
        <v>D02.02.01</v>
      </c>
      <c r="E1687" s="2">
        <f>--(COUNTIFS($A$2:A1687,A1687,$D$2:D1687,D1687)=1)</f>
        <v>1</v>
      </c>
    </row>
    <row r="1688" spans="1:5">
      <c r="A1688" t="str">
        <f>检查点拆解!A1688</f>
        <v>Q0232</v>
      </c>
      <c r="B1688" t="str">
        <f>检查点拆解!D1688</f>
        <v>C05</v>
      </c>
      <c r="C1688" s="2">
        <f>--(COUNTIFS($A$2:A1688,A1688,$B$2:B1688,B1688)=1)</f>
        <v>1</v>
      </c>
      <c r="D1688" t="str">
        <f>检查点拆解!F1688</f>
        <v>D02.03.02</v>
      </c>
      <c r="E1688" s="2">
        <f>--(COUNTIFS($A$2:A1688,A1688,$D$2:D1688,D1688)=1)</f>
        <v>1</v>
      </c>
    </row>
    <row r="1689" spans="1:5">
      <c r="A1689" t="str">
        <f>检查点拆解!A1689</f>
        <v>Q0233</v>
      </c>
      <c r="B1689" t="str">
        <f>检查点拆解!D1689</f>
        <v>C18</v>
      </c>
      <c r="C1689" s="2">
        <f>--(COUNTIFS($A$2:A1689,A1689,$B$2:B1689,B1689)=1)</f>
        <v>1</v>
      </c>
      <c r="D1689" t="str">
        <f>检查点拆解!F1689</f>
        <v>D07.01.02</v>
      </c>
      <c r="E1689" s="2">
        <f>--(COUNTIFS($A$2:A1689,A1689,$D$2:D1689,D1689)=1)</f>
        <v>1</v>
      </c>
    </row>
    <row r="1690" spans="1:5">
      <c r="A1690" t="str">
        <f>检查点拆解!A1690</f>
        <v>Q0233</v>
      </c>
      <c r="B1690" t="str">
        <f>检查点拆解!D1690</f>
        <v>C28</v>
      </c>
      <c r="C1690" s="2">
        <f>--(COUNTIFS($A$2:A1690,A1690,$B$2:B1690,B1690)=1)</f>
        <v>1</v>
      </c>
      <c r="D1690" t="str">
        <f>检查点拆解!F1690</f>
        <v>D12.02.01</v>
      </c>
      <c r="E1690" s="2">
        <f>--(COUNTIFS($A$2:A1690,A1690,$D$2:D1690,D1690)=1)</f>
        <v>1</v>
      </c>
    </row>
    <row r="1691" spans="1:5">
      <c r="A1691" t="str">
        <f>检查点拆解!A1691</f>
        <v>Q0233</v>
      </c>
      <c r="B1691" t="str">
        <f>检查点拆解!D1691</f>
        <v>C04</v>
      </c>
      <c r="C1691" s="2">
        <f>--(COUNTIFS($A$2:A1691,A1691,$B$2:B1691,B1691)=1)</f>
        <v>1</v>
      </c>
      <c r="D1691" t="str">
        <f>检查点拆解!F1691</f>
        <v>D02.02.01</v>
      </c>
      <c r="E1691" s="2">
        <f>--(COUNTIFS($A$2:A1691,A1691,$D$2:D1691,D1691)=1)</f>
        <v>1</v>
      </c>
    </row>
    <row r="1692" spans="1:5">
      <c r="A1692" t="str">
        <f>检查点拆解!A1692</f>
        <v>Q0233</v>
      </c>
      <c r="B1692" t="str">
        <f>检查点拆解!D1692</f>
        <v>C05</v>
      </c>
      <c r="C1692" s="2">
        <f>--(COUNTIFS($A$2:A1692,A1692,$B$2:B1692,B1692)=1)</f>
        <v>1</v>
      </c>
      <c r="D1692" t="str">
        <f>检查点拆解!F1692</f>
        <v>D02.03.01</v>
      </c>
      <c r="E1692" s="2">
        <f>--(COUNTIFS($A$2:A1692,A1692,$D$2:D1692,D1692)=1)</f>
        <v>1</v>
      </c>
    </row>
    <row r="1693" spans="1:5">
      <c r="A1693" t="str">
        <f>检查点拆解!A1693</f>
        <v>Q0234</v>
      </c>
      <c r="B1693" t="str">
        <f>检查点拆解!D1693</f>
        <v>C30</v>
      </c>
      <c r="C1693" s="2">
        <f>--(COUNTIFS($A$2:A1693,A1693,$B$2:B1693,B1693)=1)</f>
        <v>1</v>
      </c>
      <c r="D1693" t="str">
        <f>检查点拆解!F1693</f>
        <v>D15.01.02</v>
      </c>
      <c r="E1693" s="2">
        <f>--(COUNTIFS($A$2:A1693,A1693,$D$2:D1693,D1693)=1)</f>
        <v>1</v>
      </c>
    </row>
    <row r="1694" spans="1:5">
      <c r="A1694" t="str">
        <f>检查点拆解!A1694</f>
        <v>Q0234</v>
      </c>
      <c r="B1694" t="str">
        <f>检查点拆解!D1694</f>
        <v>C18</v>
      </c>
      <c r="C1694" s="2">
        <f>--(COUNTIFS($A$2:A1694,A1694,$B$2:B1694,B1694)=1)</f>
        <v>1</v>
      </c>
      <c r="D1694" t="str">
        <f>检查点拆解!F1694</f>
        <v>D07.01.02</v>
      </c>
      <c r="E1694" s="2">
        <f>--(COUNTIFS($A$2:A1694,A1694,$D$2:D1694,D1694)=1)</f>
        <v>1</v>
      </c>
    </row>
    <row r="1695" spans="1:5">
      <c r="A1695" t="str">
        <f>检查点拆解!A1695</f>
        <v>Q0234</v>
      </c>
      <c r="B1695" t="str">
        <f>检查点拆解!D1695</f>
        <v>C06</v>
      </c>
      <c r="C1695" s="2">
        <f>--(COUNTIFS($A$2:A1695,A1695,$B$2:B1695,B1695)=1)</f>
        <v>1</v>
      </c>
      <c r="D1695" t="str">
        <f>检查点拆解!F1695</f>
        <v>D03.01.02</v>
      </c>
      <c r="E1695" s="2">
        <f>--(COUNTIFS($A$2:A1695,A1695,$D$2:D1695,D1695)=1)</f>
        <v>1</v>
      </c>
    </row>
    <row r="1696" spans="1:5">
      <c r="A1696" t="str">
        <f>检查点拆解!A1696</f>
        <v>Q0234</v>
      </c>
      <c r="B1696" t="str">
        <f>检查点拆解!D1696</f>
        <v>C28</v>
      </c>
      <c r="C1696" s="2">
        <f>--(COUNTIFS($A$2:A1696,A1696,$B$2:B1696,B1696)=1)</f>
        <v>1</v>
      </c>
      <c r="D1696" t="str">
        <f>检查点拆解!F1696</f>
        <v>D12.01.01</v>
      </c>
      <c r="E1696" s="2">
        <f>--(COUNTIFS($A$2:A1696,A1696,$D$2:D1696,D1696)=1)</f>
        <v>1</v>
      </c>
    </row>
    <row r="1697" spans="1:5">
      <c r="A1697" t="str">
        <f>检查点拆解!A1697</f>
        <v>Q0234</v>
      </c>
      <c r="B1697" t="str">
        <f>检查点拆解!D1697</f>
        <v>C04</v>
      </c>
      <c r="C1697" s="2">
        <f>--(COUNTIFS($A$2:A1697,A1697,$B$2:B1697,B1697)=1)</f>
        <v>1</v>
      </c>
      <c r="D1697" t="str">
        <f>检查点拆解!F1697</f>
        <v>D02.02.01</v>
      </c>
      <c r="E1697" s="2">
        <f>--(COUNTIFS($A$2:A1697,A1697,$D$2:D1697,D1697)=1)</f>
        <v>1</v>
      </c>
    </row>
    <row r="1698" spans="1:5">
      <c r="A1698" t="str">
        <f>检查点拆解!A1698</f>
        <v>Q0234</v>
      </c>
      <c r="B1698" t="str">
        <f>检查点拆解!D1698</f>
        <v>C06</v>
      </c>
      <c r="C1698" s="2">
        <f>--(COUNTIFS($A$2:A1698,A1698,$B$2:B1698,B1698)=1)</f>
        <v>0</v>
      </c>
      <c r="D1698" t="str">
        <f>检查点拆解!F1698</f>
        <v>D03.01.01</v>
      </c>
      <c r="E1698" s="2">
        <f>--(COUNTIFS($A$2:A1698,A1698,$D$2:D1698,D1698)=1)</f>
        <v>1</v>
      </c>
    </row>
    <row r="1699" spans="1:5">
      <c r="A1699" t="str">
        <f>检查点拆解!A1699</f>
        <v>Q0234</v>
      </c>
      <c r="B1699" t="str">
        <f>检查点拆解!D1699</f>
        <v>C05</v>
      </c>
      <c r="C1699" s="2">
        <f>--(COUNTIFS($A$2:A1699,A1699,$B$2:B1699,B1699)=1)</f>
        <v>1</v>
      </c>
      <c r="D1699" t="str">
        <f>检查点拆解!F1699</f>
        <v>D02.03.03</v>
      </c>
      <c r="E1699" s="2">
        <f>--(COUNTIFS($A$2:A1699,A1699,$D$2:D1699,D1699)=1)</f>
        <v>1</v>
      </c>
    </row>
    <row r="1700" spans="1:5">
      <c r="A1700" t="str">
        <f>检查点拆解!A1700</f>
        <v>Q0235</v>
      </c>
      <c r="B1700" t="str">
        <f>检查点拆解!D1700</f>
        <v>C30</v>
      </c>
      <c r="C1700" s="2">
        <f>--(COUNTIFS($A$2:A1700,A1700,$B$2:B1700,B1700)=1)</f>
        <v>1</v>
      </c>
      <c r="D1700" t="str">
        <f>检查点拆解!F1700</f>
        <v>D15.01.02</v>
      </c>
      <c r="E1700" s="2">
        <f>--(COUNTIFS($A$2:A1700,A1700,$D$2:D1700,D1700)=1)</f>
        <v>1</v>
      </c>
    </row>
    <row r="1701" spans="1:5">
      <c r="A1701" t="str">
        <f>检查点拆解!A1701</f>
        <v>Q0235</v>
      </c>
      <c r="B1701" t="str">
        <f>检查点拆解!D1701</f>
        <v>C27</v>
      </c>
      <c r="C1701" s="2">
        <f>--(COUNTIFS($A$2:A1701,A1701,$B$2:B1701,B1701)=1)</f>
        <v>1</v>
      </c>
      <c r="D1701" t="str">
        <f>检查点拆解!F1701</f>
        <v>D11.01.02</v>
      </c>
      <c r="E1701" s="2">
        <f>--(COUNTIFS($A$2:A1701,A1701,$D$2:D1701,D1701)=1)</f>
        <v>1</v>
      </c>
    </row>
    <row r="1702" spans="1:5">
      <c r="A1702" t="str">
        <f>检查点拆解!A1702</f>
        <v>Q0235</v>
      </c>
      <c r="B1702" t="str">
        <f>检查点拆解!D1702</f>
        <v>C24</v>
      </c>
      <c r="C1702" s="2">
        <f>--(COUNTIFS($A$2:A1702,A1702,$B$2:B1702,B1702)=1)</f>
        <v>1</v>
      </c>
      <c r="D1702" t="str">
        <f>检查点拆解!F1702</f>
        <v>D09.03.03</v>
      </c>
      <c r="E1702" s="2">
        <f>--(COUNTIFS($A$2:A1702,A1702,$D$2:D1702,D1702)=1)</f>
        <v>1</v>
      </c>
    </row>
    <row r="1703" spans="1:5">
      <c r="A1703" t="str">
        <f>检查点拆解!A1703</f>
        <v>Q0235</v>
      </c>
      <c r="B1703" t="str">
        <f>检查点拆解!D1703</f>
        <v>C06</v>
      </c>
      <c r="C1703" s="2">
        <f>--(COUNTIFS($A$2:A1703,A1703,$B$2:B1703,B1703)=1)</f>
        <v>1</v>
      </c>
      <c r="D1703" t="str">
        <f>检查点拆解!F1703</f>
        <v>D03.01.02</v>
      </c>
      <c r="E1703" s="2">
        <f>--(COUNTIFS($A$2:A1703,A1703,$D$2:D1703,D1703)=1)</f>
        <v>1</v>
      </c>
    </row>
    <row r="1704" spans="1:5">
      <c r="A1704" t="str">
        <f>检查点拆解!A1704</f>
        <v>Q0235</v>
      </c>
      <c r="B1704" t="str">
        <f>检查点拆解!D1704</f>
        <v>C28</v>
      </c>
      <c r="C1704" s="2">
        <f>--(COUNTIFS($A$2:A1704,A1704,$B$2:B1704,B1704)=1)</f>
        <v>1</v>
      </c>
      <c r="D1704" t="str">
        <f>检查点拆解!F1704</f>
        <v>D12.01.01</v>
      </c>
      <c r="E1704" s="2">
        <f>--(COUNTIFS($A$2:A1704,A1704,$D$2:D1704,D1704)=1)</f>
        <v>1</v>
      </c>
    </row>
    <row r="1705" spans="1:5">
      <c r="A1705" t="str">
        <f>检查点拆解!A1705</f>
        <v>Q0235</v>
      </c>
      <c r="B1705" t="str">
        <f>检查点拆解!D1705</f>
        <v>C04</v>
      </c>
      <c r="C1705" s="2">
        <f>--(COUNTIFS($A$2:A1705,A1705,$B$2:B1705,B1705)=1)</f>
        <v>1</v>
      </c>
      <c r="D1705" t="str">
        <f>检查点拆解!F1705</f>
        <v>D02.02.01</v>
      </c>
      <c r="E1705" s="2">
        <f>--(COUNTIFS($A$2:A1705,A1705,$D$2:D1705,D1705)=1)</f>
        <v>1</v>
      </c>
    </row>
    <row r="1706" spans="1:5">
      <c r="A1706" t="str">
        <f>检查点拆解!A1706</f>
        <v>Q0236</v>
      </c>
      <c r="B1706" t="str">
        <f>检查点拆解!D1706</f>
        <v>C17</v>
      </c>
      <c r="C1706" s="2">
        <f>--(COUNTIFS($A$2:A1706,A1706,$B$2:B1706,B1706)=1)</f>
        <v>1</v>
      </c>
      <c r="D1706" t="str">
        <f>检查点拆解!F1706</f>
        <v>D06.03.01</v>
      </c>
      <c r="E1706" s="2">
        <f>--(COUNTIFS($A$2:A1706,A1706,$D$2:D1706,D1706)=1)</f>
        <v>1</v>
      </c>
    </row>
    <row r="1707" spans="1:5">
      <c r="A1707" t="str">
        <f>检查点拆解!A1707</f>
        <v>Q0236</v>
      </c>
      <c r="B1707" t="str">
        <f>检查点拆解!D1707</f>
        <v>C27</v>
      </c>
      <c r="C1707" s="2">
        <f>--(COUNTIFS($A$2:A1707,A1707,$B$2:B1707,B1707)=1)</f>
        <v>1</v>
      </c>
      <c r="D1707" t="str">
        <f>检查点拆解!F1707</f>
        <v>D11.01.03</v>
      </c>
      <c r="E1707" s="2">
        <f>--(COUNTIFS($A$2:A1707,A1707,$D$2:D1707,D1707)=1)</f>
        <v>1</v>
      </c>
    </row>
    <row r="1708" spans="1:5">
      <c r="A1708" t="str">
        <f>检查点拆解!A1708</f>
        <v>Q0236</v>
      </c>
      <c r="B1708" t="str">
        <f>检查点拆解!D1708</f>
        <v>C25</v>
      </c>
      <c r="C1708" s="2">
        <f>--(COUNTIFS($A$2:A1708,A1708,$B$2:B1708,B1708)=1)</f>
        <v>1</v>
      </c>
      <c r="D1708" t="str">
        <f>检查点拆解!F1708</f>
        <v>D10.01.01</v>
      </c>
      <c r="E1708" s="2">
        <f>--(COUNTIFS($A$2:A1708,A1708,$D$2:D1708,D1708)=1)</f>
        <v>1</v>
      </c>
    </row>
    <row r="1709" spans="1:5">
      <c r="A1709" t="str">
        <f>检查点拆解!A1709</f>
        <v>Q0236</v>
      </c>
      <c r="B1709" t="str">
        <f>检查点拆解!D1709</f>
        <v>C28</v>
      </c>
      <c r="C1709" s="2">
        <f>--(COUNTIFS($A$2:A1709,A1709,$B$2:B1709,B1709)=1)</f>
        <v>1</v>
      </c>
      <c r="D1709" t="str">
        <f>检查点拆解!F1709</f>
        <v>D12.01.01</v>
      </c>
      <c r="E1709" s="2">
        <f>--(COUNTIFS($A$2:A1709,A1709,$D$2:D1709,D1709)=1)</f>
        <v>1</v>
      </c>
    </row>
    <row r="1710" spans="1:5">
      <c r="A1710" t="str">
        <f>检查点拆解!A1710</f>
        <v>Q0236</v>
      </c>
      <c r="B1710" t="str">
        <f>检查点拆解!D1710</f>
        <v>C04</v>
      </c>
      <c r="C1710" s="2">
        <f>--(COUNTIFS($A$2:A1710,A1710,$B$2:B1710,B1710)=1)</f>
        <v>1</v>
      </c>
      <c r="D1710" t="str">
        <f>检查点拆解!F1710</f>
        <v>D02.02.03</v>
      </c>
      <c r="E1710" s="2">
        <f>--(COUNTIFS($A$2:A1710,A1710,$D$2:D1710,D1710)=1)</f>
        <v>1</v>
      </c>
    </row>
    <row r="1711" spans="1:5">
      <c r="A1711" t="str">
        <f>检查点拆解!A1711</f>
        <v>Q0236</v>
      </c>
      <c r="B1711" t="str">
        <f>检查点拆解!D1711</f>
        <v>C05</v>
      </c>
      <c r="C1711" s="2">
        <f>--(COUNTIFS($A$2:A1711,A1711,$B$2:B1711,B1711)=1)</f>
        <v>1</v>
      </c>
      <c r="D1711" t="str">
        <f>检查点拆解!F1711</f>
        <v>D02.03.01</v>
      </c>
      <c r="E1711" s="2">
        <f>--(COUNTIFS($A$2:A1711,A1711,$D$2:D1711,D1711)=1)</f>
        <v>1</v>
      </c>
    </row>
    <row r="1712" spans="1:5">
      <c r="A1712" t="str">
        <f>检查点拆解!A1712</f>
        <v>Q0237</v>
      </c>
      <c r="B1712" t="str">
        <f>检查点拆解!D1712</f>
        <v>C18</v>
      </c>
      <c r="C1712" s="2">
        <f>--(COUNTIFS($A$2:A1712,A1712,$B$2:B1712,B1712)=1)</f>
        <v>1</v>
      </c>
      <c r="D1712" t="str">
        <f>检查点拆解!F1712</f>
        <v>D07.01.03</v>
      </c>
      <c r="E1712" s="2">
        <f>--(COUNTIFS($A$2:A1712,A1712,$D$2:D1712,D1712)=1)</f>
        <v>1</v>
      </c>
    </row>
    <row r="1713" spans="1:5">
      <c r="A1713" t="str">
        <f>检查点拆解!A1713</f>
        <v>Q0237</v>
      </c>
      <c r="B1713" t="str">
        <f>检查点拆解!D1713</f>
        <v>C27</v>
      </c>
      <c r="C1713" s="2">
        <f>--(COUNTIFS($A$2:A1713,A1713,$B$2:B1713,B1713)=1)</f>
        <v>1</v>
      </c>
      <c r="D1713" t="str">
        <f>检查点拆解!F1713</f>
        <v>D11.01.02</v>
      </c>
      <c r="E1713" s="2">
        <f>--(COUNTIFS($A$2:A1713,A1713,$D$2:D1713,D1713)=1)</f>
        <v>1</v>
      </c>
    </row>
    <row r="1714" spans="1:5">
      <c r="A1714" t="str">
        <f>检查点拆解!A1714</f>
        <v>Q0238</v>
      </c>
      <c r="B1714" t="str">
        <f>检查点拆解!D1714</f>
        <v>C29</v>
      </c>
      <c r="C1714" s="2">
        <f>--(COUNTIFS($A$2:A1714,A1714,$B$2:B1714,B1714)=1)</f>
        <v>1</v>
      </c>
      <c r="D1714" t="str">
        <f>检查点拆解!F1714</f>
        <v>D14.02.01</v>
      </c>
      <c r="E1714" s="2">
        <f>--(COUNTIFS($A$2:A1714,A1714,$D$2:D1714,D1714)=1)</f>
        <v>1</v>
      </c>
    </row>
    <row r="1715" spans="1:5">
      <c r="A1715" t="str">
        <f>检查点拆解!A1715</f>
        <v>Q0238</v>
      </c>
      <c r="B1715" t="str">
        <f>检查点拆解!D1715</f>
        <v>C27</v>
      </c>
      <c r="C1715" s="2">
        <f>--(COUNTIFS($A$2:A1715,A1715,$B$2:B1715,B1715)=1)</f>
        <v>1</v>
      </c>
      <c r="D1715" t="str">
        <f>检查点拆解!F1715</f>
        <v>D11.02.02</v>
      </c>
      <c r="E1715" s="2">
        <f>--(COUNTIFS($A$2:A1715,A1715,$D$2:D1715,D1715)=1)</f>
        <v>1</v>
      </c>
    </row>
    <row r="1716" spans="1:5">
      <c r="A1716" t="str">
        <f>检查点拆解!A1716</f>
        <v>Q0238</v>
      </c>
      <c r="B1716" t="str">
        <f>检查点拆解!D1716</f>
        <v>C25</v>
      </c>
      <c r="C1716" s="2">
        <f>--(COUNTIFS($A$2:A1716,A1716,$B$2:B1716,B1716)=1)</f>
        <v>1</v>
      </c>
      <c r="D1716" t="str">
        <f>检查点拆解!F1716</f>
        <v>D10.01.01</v>
      </c>
      <c r="E1716" s="2">
        <f>--(COUNTIFS($A$2:A1716,A1716,$D$2:D1716,D1716)=1)</f>
        <v>1</v>
      </c>
    </row>
    <row r="1717" spans="1:5">
      <c r="A1717" t="str">
        <f>检查点拆解!A1717</f>
        <v>Q0238</v>
      </c>
      <c r="B1717" t="str">
        <f>检查点拆解!D1717</f>
        <v>C26</v>
      </c>
      <c r="C1717" s="2">
        <f>--(COUNTIFS($A$2:A1717,A1717,$B$2:B1717,B1717)=1)</f>
        <v>1</v>
      </c>
      <c r="D1717" t="str">
        <f>检查点拆解!F1717</f>
        <v>D10.02.01</v>
      </c>
      <c r="E1717" s="2">
        <f>--(COUNTIFS($A$2:A1717,A1717,$D$2:D1717,D1717)=1)</f>
        <v>1</v>
      </c>
    </row>
    <row r="1718" spans="1:5">
      <c r="A1718" t="str">
        <f>检查点拆解!A1718</f>
        <v>Q0238</v>
      </c>
      <c r="B1718" t="str">
        <f>检查点拆解!D1718</f>
        <v>C28</v>
      </c>
      <c r="C1718" s="2">
        <f>--(COUNTIFS($A$2:A1718,A1718,$B$2:B1718,B1718)=1)</f>
        <v>1</v>
      </c>
      <c r="D1718" t="str">
        <f>检查点拆解!F1718</f>
        <v>D12.01.01</v>
      </c>
      <c r="E1718" s="2">
        <f>--(COUNTIFS($A$2:A1718,A1718,$D$2:D1718,D1718)=1)</f>
        <v>1</v>
      </c>
    </row>
    <row r="1719" spans="1:5">
      <c r="A1719" t="str">
        <f>检查点拆解!A1719</f>
        <v>Q0238</v>
      </c>
      <c r="B1719" t="str">
        <f>检查点拆解!D1719</f>
        <v>C06</v>
      </c>
      <c r="C1719" s="2">
        <f>--(COUNTIFS($A$2:A1719,A1719,$B$2:B1719,B1719)=1)</f>
        <v>1</v>
      </c>
      <c r="D1719" t="str">
        <f>检查点拆解!F1719</f>
        <v>D03.01.01</v>
      </c>
      <c r="E1719" s="2">
        <f>--(COUNTIFS($A$2:A1719,A1719,$D$2:D1719,D1719)=1)</f>
        <v>1</v>
      </c>
    </row>
    <row r="1720" spans="1:5">
      <c r="A1720" t="str">
        <f>检查点拆解!A1720</f>
        <v>Q0238</v>
      </c>
      <c r="B1720" t="str">
        <f>检查点拆解!D1720</f>
        <v>C28</v>
      </c>
      <c r="C1720" s="2">
        <f>--(COUNTIFS($A$2:A1720,A1720,$B$2:B1720,B1720)=1)</f>
        <v>0</v>
      </c>
      <c r="D1720" t="str">
        <f>检查点拆解!F1720</f>
        <v>D13.01.01</v>
      </c>
      <c r="E1720" s="2">
        <f>--(COUNTIFS($A$2:A1720,A1720,$D$2:D1720,D1720)=1)</f>
        <v>1</v>
      </c>
    </row>
    <row r="1721" spans="1:5">
      <c r="A1721" t="str">
        <f>检查点拆解!A1721</f>
        <v>Q0239</v>
      </c>
      <c r="B1721" t="str">
        <f>检查点拆解!D1721</f>
        <v>C27</v>
      </c>
      <c r="C1721" s="2">
        <f>--(COUNTIFS($A$2:A1721,A1721,$B$2:B1721,B1721)=1)</f>
        <v>1</v>
      </c>
      <c r="D1721" t="str">
        <f>检查点拆解!F1721</f>
        <v>D11.01.02</v>
      </c>
      <c r="E1721" s="2">
        <f>--(COUNTIFS($A$2:A1721,A1721,$D$2:D1721,D1721)=1)</f>
        <v>1</v>
      </c>
    </row>
    <row r="1722" spans="1:5">
      <c r="A1722" t="str">
        <f>检查点拆解!A1722</f>
        <v>Q0239</v>
      </c>
      <c r="B1722" t="str">
        <f>检查点拆解!D1722</f>
        <v>C04</v>
      </c>
      <c r="C1722" s="2">
        <f>--(COUNTIFS($A$2:A1722,A1722,$B$2:B1722,B1722)=1)</f>
        <v>1</v>
      </c>
      <c r="D1722" t="str">
        <f>检查点拆解!F1722</f>
        <v>D02.02.03</v>
      </c>
      <c r="E1722" s="2">
        <f>--(COUNTIFS($A$2:A1722,A1722,$D$2:D1722,D1722)=1)</f>
        <v>1</v>
      </c>
    </row>
    <row r="1723" spans="1:5">
      <c r="A1723" t="str">
        <f>检查点拆解!A1723</f>
        <v>Q0239</v>
      </c>
      <c r="B1723" t="str">
        <f>检查点拆解!D1723</f>
        <v>C05</v>
      </c>
      <c r="C1723" s="2">
        <f>--(COUNTIFS($A$2:A1723,A1723,$B$2:B1723,B1723)=1)</f>
        <v>1</v>
      </c>
      <c r="D1723" t="str">
        <f>检查点拆解!F1723</f>
        <v>D02.03.02</v>
      </c>
      <c r="E1723" s="2">
        <f>--(COUNTIFS($A$2:A1723,A1723,$D$2:D1723,D1723)=1)</f>
        <v>1</v>
      </c>
    </row>
    <row r="1724" spans="1:5">
      <c r="A1724" t="str">
        <f>检查点拆解!A1724</f>
        <v>Q0240</v>
      </c>
      <c r="B1724" t="str">
        <f>检查点拆解!D1724</f>
        <v>C11</v>
      </c>
      <c r="C1724" s="2">
        <f>--(COUNTIFS($A$2:A1724,A1724,$B$2:B1724,B1724)=1)</f>
        <v>1</v>
      </c>
      <c r="D1724" t="str">
        <f>检查点拆解!F1724</f>
        <v>D04.03.02</v>
      </c>
      <c r="E1724" s="2">
        <f>--(COUNTIFS($A$2:A1724,A1724,$D$2:D1724,D1724)=1)</f>
        <v>1</v>
      </c>
    </row>
    <row r="1725" spans="1:5">
      <c r="A1725" t="str">
        <f>检查点拆解!A1725</f>
        <v>Q0240</v>
      </c>
      <c r="B1725" t="str">
        <f>检查点拆解!D1725</f>
        <v>C28</v>
      </c>
      <c r="C1725" s="2">
        <f>--(COUNTIFS($A$2:A1725,A1725,$B$2:B1725,B1725)=1)</f>
        <v>1</v>
      </c>
      <c r="D1725" t="str">
        <f>检查点拆解!F1725</f>
        <v>D13.02.01</v>
      </c>
      <c r="E1725" s="2">
        <f>--(COUNTIFS($A$2:A1725,A1725,$D$2:D1725,D1725)=1)</f>
        <v>1</v>
      </c>
    </row>
    <row r="1726" spans="1:5">
      <c r="A1726" t="str">
        <f>检查点拆解!A1726</f>
        <v>Q0240</v>
      </c>
      <c r="B1726" t="str">
        <f>检查点拆解!D1726</f>
        <v>C04</v>
      </c>
      <c r="C1726" s="2">
        <f>--(COUNTIFS($A$2:A1726,A1726,$B$2:B1726,B1726)=1)</f>
        <v>1</v>
      </c>
      <c r="D1726" t="str">
        <f>检查点拆解!F1726</f>
        <v>D02.02.01</v>
      </c>
      <c r="E1726" s="2">
        <f>--(COUNTIFS($A$2:A1726,A1726,$D$2:D1726,D1726)=1)</f>
        <v>1</v>
      </c>
    </row>
    <row r="1727" spans="1:5">
      <c r="A1727" t="str">
        <f>检查点拆解!A1727</f>
        <v>Q0241</v>
      </c>
      <c r="B1727" t="str">
        <f>检查点拆解!D1727</f>
        <v>C17</v>
      </c>
      <c r="C1727" s="2">
        <f>--(COUNTIFS($A$2:A1727,A1727,$B$2:B1727,B1727)=1)</f>
        <v>1</v>
      </c>
      <c r="D1727" t="str">
        <f>检查点拆解!F1727</f>
        <v>D06.03.01</v>
      </c>
      <c r="E1727" s="2">
        <f>--(COUNTIFS($A$2:A1727,A1727,$D$2:D1727,D1727)=1)</f>
        <v>1</v>
      </c>
    </row>
    <row r="1728" spans="1:5">
      <c r="A1728" t="str">
        <f>检查点拆解!A1728</f>
        <v>Q0241</v>
      </c>
      <c r="B1728" t="str">
        <f>检查点拆解!D1728</f>
        <v>C04</v>
      </c>
      <c r="C1728" s="2">
        <f>--(COUNTIFS($A$2:A1728,A1728,$B$2:B1728,B1728)=1)</f>
        <v>1</v>
      </c>
      <c r="D1728" t="str">
        <f>检查点拆解!F1728</f>
        <v>D02.02.03</v>
      </c>
      <c r="E1728" s="2">
        <f>--(COUNTIFS($A$2:A1728,A1728,$D$2:D1728,D1728)=1)</f>
        <v>1</v>
      </c>
    </row>
    <row r="1729" spans="1:5">
      <c r="A1729" t="str">
        <f>检查点拆解!A1729</f>
        <v>Q0241</v>
      </c>
      <c r="B1729" t="str">
        <f>检查点拆解!D1729</f>
        <v>C03</v>
      </c>
      <c r="C1729" s="2">
        <f>--(COUNTIFS($A$2:A1729,A1729,$B$2:B1729,B1729)=1)</f>
        <v>1</v>
      </c>
      <c r="D1729" t="str">
        <f>检查点拆解!F1729</f>
        <v>D02.01.01</v>
      </c>
      <c r="E1729" s="2">
        <f>--(COUNTIFS($A$2:A1729,A1729,$D$2:D1729,D1729)=1)</f>
        <v>1</v>
      </c>
    </row>
    <row r="1730" spans="1:5">
      <c r="A1730" t="str">
        <f>检查点拆解!A1730</f>
        <v>Q0241</v>
      </c>
      <c r="B1730" t="str">
        <f>检查点拆解!D1730</f>
        <v>C05</v>
      </c>
      <c r="C1730" s="2">
        <f>--(COUNTIFS($A$2:A1730,A1730,$B$2:B1730,B1730)=1)</f>
        <v>1</v>
      </c>
      <c r="D1730" t="str">
        <f>检查点拆解!F1730</f>
        <v>D02.03.02</v>
      </c>
      <c r="E1730" s="2">
        <f>--(COUNTIFS($A$2:A1730,A1730,$D$2:D1730,D1730)=1)</f>
        <v>1</v>
      </c>
    </row>
    <row r="1731" spans="1:5">
      <c r="A1731" t="str">
        <f>检查点拆解!A1731</f>
        <v>Q0242</v>
      </c>
      <c r="B1731" t="str">
        <f>检查点拆解!D1731</f>
        <v>C30</v>
      </c>
      <c r="C1731" s="2">
        <f>--(COUNTIFS($A$2:A1731,A1731,$B$2:B1731,B1731)=1)</f>
        <v>1</v>
      </c>
      <c r="D1731" t="str">
        <f>检查点拆解!F1731</f>
        <v>D15.01.02</v>
      </c>
      <c r="E1731" s="2">
        <f>--(COUNTIFS($A$2:A1731,A1731,$D$2:D1731,D1731)=1)</f>
        <v>1</v>
      </c>
    </row>
    <row r="1732" spans="1:5">
      <c r="A1732" t="str">
        <f>检查点拆解!A1732</f>
        <v>Q0242</v>
      </c>
      <c r="B1732" t="str">
        <f>检查点拆解!D1732</f>
        <v>C24</v>
      </c>
      <c r="C1732" s="2">
        <f>--(COUNTIFS($A$2:A1732,A1732,$B$2:B1732,B1732)=1)</f>
        <v>1</v>
      </c>
      <c r="D1732" t="str">
        <f>检查点拆解!F1732</f>
        <v>D09.02.03</v>
      </c>
      <c r="E1732" s="2">
        <f>--(COUNTIFS($A$2:A1732,A1732,$D$2:D1732,D1732)=1)</f>
        <v>1</v>
      </c>
    </row>
    <row r="1733" spans="1:5">
      <c r="A1733" t="str">
        <f>检查点拆解!A1733</f>
        <v>Q0242</v>
      </c>
      <c r="B1733" t="str">
        <f>检查点拆解!D1733</f>
        <v>C28</v>
      </c>
      <c r="C1733" s="2">
        <f>--(COUNTIFS($A$2:A1733,A1733,$B$2:B1733,B1733)=1)</f>
        <v>1</v>
      </c>
      <c r="D1733" t="str">
        <f>检查点拆解!F1733</f>
        <v>D12.01.01</v>
      </c>
      <c r="E1733" s="2">
        <f>--(COUNTIFS($A$2:A1733,A1733,$D$2:D1733,D1733)=1)</f>
        <v>1</v>
      </c>
    </row>
    <row r="1734" spans="1:5">
      <c r="A1734" t="str">
        <f>检查点拆解!A1734</f>
        <v>Q0242</v>
      </c>
      <c r="B1734" t="str">
        <f>检查点拆解!D1734</f>
        <v>C28</v>
      </c>
      <c r="C1734" s="2">
        <f>--(COUNTIFS($A$2:A1734,A1734,$B$2:B1734,B1734)=1)</f>
        <v>0</v>
      </c>
      <c r="D1734" t="str">
        <f>检查点拆解!F1734</f>
        <v>D12.01.02</v>
      </c>
      <c r="E1734" s="2">
        <f>--(COUNTIFS($A$2:A1734,A1734,$D$2:D1734,D1734)=1)</f>
        <v>1</v>
      </c>
    </row>
    <row r="1735" spans="1:5">
      <c r="A1735" t="str">
        <f>检查点拆解!A1735</f>
        <v>Q0242</v>
      </c>
      <c r="B1735" t="str">
        <f>检查点拆解!D1735</f>
        <v>C17</v>
      </c>
      <c r="C1735" s="2">
        <f>--(COUNTIFS($A$2:A1735,A1735,$B$2:B1735,B1735)=1)</f>
        <v>1</v>
      </c>
      <c r="D1735" t="str">
        <f>检查点拆解!F1735</f>
        <v>D06.03.02</v>
      </c>
      <c r="E1735" s="2">
        <f>--(COUNTIFS($A$2:A1735,A1735,$D$2:D1735,D1735)=1)</f>
        <v>1</v>
      </c>
    </row>
    <row r="1736" spans="1:5">
      <c r="A1736" t="str">
        <f>检查点拆解!A1736</f>
        <v>Q0242</v>
      </c>
      <c r="B1736" t="str">
        <f>检查点拆解!D1736</f>
        <v>C03</v>
      </c>
      <c r="C1736" s="2">
        <f>--(COUNTIFS($A$2:A1736,A1736,$B$2:B1736,B1736)=1)</f>
        <v>1</v>
      </c>
      <c r="D1736" t="str">
        <f>检查点拆解!F1736</f>
        <v>D02.01.01</v>
      </c>
      <c r="E1736" s="2">
        <f>--(COUNTIFS($A$2:A1736,A1736,$D$2:D1736,D1736)=1)</f>
        <v>1</v>
      </c>
    </row>
    <row r="1737" spans="1:5">
      <c r="A1737" t="str">
        <f>检查点拆解!A1737</f>
        <v>Q0243</v>
      </c>
      <c r="B1737" t="str">
        <f>检查点拆解!D1737</f>
        <v>C30</v>
      </c>
      <c r="C1737" s="2">
        <f>--(COUNTIFS($A$2:A1737,A1737,$B$2:B1737,B1737)=1)</f>
        <v>1</v>
      </c>
      <c r="D1737" t="str">
        <f>检查点拆解!F1737</f>
        <v>D15.01.02</v>
      </c>
      <c r="E1737" s="2">
        <f>--(COUNTIFS($A$2:A1737,A1737,$D$2:D1737,D1737)=1)</f>
        <v>1</v>
      </c>
    </row>
    <row r="1738" spans="1:5">
      <c r="A1738" t="str">
        <f>检查点拆解!A1738</f>
        <v>Q0243</v>
      </c>
      <c r="B1738" t="str">
        <f>检查点拆解!D1738</f>
        <v>C11</v>
      </c>
      <c r="C1738" s="2">
        <f>--(COUNTIFS($A$2:A1738,A1738,$B$2:B1738,B1738)=1)</f>
        <v>1</v>
      </c>
      <c r="D1738" t="str">
        <f>检查点拆解!F1738</f>
        <v>D04.03.02</v>
      </c>
      <c r="E1738" s="2">
        <f>--(COUNTIFS($A$2:A1738,A1738,$D$2:D1738,D1738)=1)</f>
        <v>1</v>
      </c>
    </row>
    <row r="1739" spans="1:5">
      <c r="A1739" t="str">
        <f>检查点拆解!A1739</f>
        <v>Q0243</v>
      </c>
      <c r="B1739" t="str">
        <f>检查点拆解!D1739</f>
        <v>C18</v>
      </c>
      <c r="C1739" s="2">
        <f>--(COUNTIFS($A$2:A1739,A1739,$B$2:B1739,B1739)=1)</f>
        <v>1</v>
      </c>
      <c r="D1739" t="str">
        <f>检查点拆解!F1739</f>
        <v>D07.01.04</v>
      </c>
      <c r="E1739" s="2">
        <f>--(COUNTIFS($A$2:A1739,A1739,$D$2:D1739,D1739)=1)</f>
        <v>1</v>
      </c>
    </row>
    <row r="1740" spans="1:5">
      <c r="A1740" t="str">
        <f>检查点拆解!A1740</f>
        <v>Q0243</v>
      </c>
      <c r="B1740" t="str">
        <f>检查点拆解!D1740</f>
        <v>C27</v>
      </c>
      <c r="C1740" s="2">
        <f>--(COUNTIFS($A$2:A1740,A1740,$B$2:B1740,B1740)=1)</f>
        <v>1</v>
      </c>
      <c r="D1740" t="str">
        <f>检查点拆解!F1740</f>
        <v>D11.01.02</v>
      </c>
      <c r="E1740" s="2">
        <f>--(COUNTIFS($A$2:A1740,A1740,$D$2:D1740,D1740)=1)</f>
        <v>1</v>
      </c>
    </row>
    <row r="1741" spans="1:5">
      <c r="A1741" t="str">
        <f>检查点拆解!A1741</f>
        <v>Q0243</v>
      </c>
      <c r="B1741" t="str">
        <f>检查点拆解!D1741</f>
        <v>C30</v>
      </c>
      <c r="C1741" s="2">
        <f>--(COUNTIFS($A$2:A1741,A1741,$B$2:B1741,B1741)=1)</f>
        <v>0</v>
      </c>
      <c r="D1741" t="str">
        <f>检查点拆解!F1741</f>
        <v>D15.01.04</v>
      </c>
      <c r="E1741" s="2">
        <f>--(COUNTIFS($A$2:A1741,A1741,$D$2:D1741,D1741)=1)</f>
        <v>1</v>
      </c>
    </row>
    <row r="1742" spans="1:5">
      <c r="A1742" t="str">
        <f>检查点拆解!A1742</f>
        <v>Q0243</v>
      </c>
      <c r="B1742" t="str">
        <f>检查点拆解!D1742</f>
        <v>C28</v>
      </c>
      <c r="C1742" s="2">
        <f>--(COUNTIFS($A$2:A1742,A1742,$B$2:B1742,B1742)=1)</f>
        <v>1</v>
      </c>
      <c r="D1742" t="str">
        <f>检查点拆解!F1742</f>
        <v>D12.01.01</v>
      </c>
      <c r="E1742" s="2">
        <f>--(COUNTIFS($A$2:A1742,A1742,$D$2:D1742,D1742)=1)</f>
        <v>1</v>
      </c>
    </row>
    <row r="1743" spans="1:5">
      <c r="A1743" t="str">
        <f>检查点拆解!A1743</f>
        <v>Q0244</v>
      </c>
      <c r="B1743" t="str">
        <f>检查点拆解!D1743</f>
        <v>C30</v>
      </c>
      <c r="C1743" s="2">
        <f>--(COUNTIFS($A$2:A1743,A1743,$B$2:B1743,B1743)=1)</f>
        <v>1</v>
      </c>
      <c r="D1743" t="str">
        <f>检查点拆解!F1743</f>
        <v>D15.01.02</v>
      </c>
      <c r="E1743" s="2">
        <f>--(COUNTIFS($A$2:A1743,A1743,$D$2:D1743,D1743)=1)</f>
        <v>1</v>
      </c>
    </row>
    <row r="1744" spans="1:5">
      <c r="A1744" t="str">
        <f>检查点拆解!A1744</f>
        <v>Q0244</v>
      </c>
      <c r="B1744" t="str">
        <f>检查点拆解!D1744</f>
        <v>C24</v>
      </c>
      <c r="C1744" s="2">
        <f>--(COUNTIFS($A$2:A1744,A1744,$B$2:B1744,B1744)=1)</f>
        <v>1</v>
      </c>
      <c r="D1744" t="str">
        <f>检查点拆解!F1744</f>
        <v>D09.02.03</v>
      </c>
      <c r="E1744" s="2">
        <f>--(COUNTIFS($A$2:A1744,A1744,$D$2:D1744,D1744)=1)</f>
        <v>1</v>
      </c>
    </row>
    <row r="1745" spans="1:5">
      <c r="A1745" t="str">
        <f>检查点拆解!A1745</f>
        <v>Q0244</v>
      </c>
      <c r="B1745" t="str">
        <f>检查点拆解!D1745</f>
        <v>C06</v>
      </c>
      <c r="C1745" s="2">
        <f>--(COUNTIFS($A$2:A1745,A1745,$B$2:B1745,B1745)=1)</f>
        <v>1</v>
      </c>
      <c r="D1745" t="str">
        <f>检查点拆解!F1745</f>
        <v>D03.01.02</v>
      </c>
      <c r="E1745" s="2">
        <f>--(COUNTIFS($A$2:A1745,A1745,$D$2:D1745,D1745)=1)</f>
        <v>1</v>
      </c>
    </row>
    <row r="1746" spans="1:5">
      <c r="A1746" t="str">
        <f>检查点拆解!A1746</f>
        <v>Q0244</v>
      </c>
      <c r="B1746" t="str">
        <f>检查点拆解!D1746</f>
        <v>C08</v>
      </c>
      <c r="C1746" s="2">
        <f>--(COUNTIFS($A$2:A1746,A1746,$B$2:B1746,B1746)=1)</f>
        <v>1</v>
      </c>
      <c r="D1746" t="str">
        <f>检查点拆解!F1746</f>
        <v>D04.01.02</v>
      </c>
      <c r="E1746" s="2">
        <f>--(COUNTIFS($A$2:A1746,A1746,$D$2:D1746,D1746)=1)</f>
        <v>1</v>
      </c>
    </row>
    <row r="1747" spans="1:5">
      <c r="A1747" t="str">
        <f>检查点拆解!A1747</f>
        <v>Q0244</v>
      </c>
      <c r="B1747" t="str">
        <f>检查点拆解!D1747</f>
        <v>C13</v>
      </c>
      <c r="C1747" s="2">
        <f>--(COUNTIFS($A$2:A1747,A1747,$B$2:B1747,B1747)=1)</f>
        <v>1</v>
      </c>
      <c r="D1747" t="str">
        <f>检查点拆解!F1747</f>
        <v>D04.04.01</v>
      </c>
      <c r="E1747" s="2">
        <f>--(COUNTIFS($A$2:A1747,A1747,$D$2:D1747,D1747)=1)</f>
        <v>1</v>
      </c>
    </row>
    <row r="1748" spans="1:5">
      <c r="A1748" t="str">
        <f>检查点拆解!A1748</f>
        <v>Q0244</v>
      </c>
      <c r="B1748" t="str">
        <f>检查点拆解!D1748</f>
        <v>C28</v>
      </c>
      <c r="C1748" s="2">
        <f>--(COUNTIFS($A$2:A1748,A1748,$B$2:B1748,B1748)=1)</f>
        <v>1</v>
      </c>
      <c r="D1748" t="str">
        <f>检查点拆解!F1748</f>
        <v>D12.01.01</v>
      </c>
      <c r="E1748" s="2">
        <f>--(COUNTIFS($A$2:A1748,A1748,$D$2:D1748,D1748)=1)</f>
        <v>1</v>
      </c>
    </row>
    <row r="1749" spans="1:5">
      <c r="A1749" t="str">
        <f>检查点拆解!A1749</f>
        <v>Q0245</v>
      </c>
      <c r="B1749" t="str">
        <f>检查点拆解!D1749</f>
        <v>C11</v>
      </c>
      <c r="C1749" s="2">
        <f>--(COUNTIFS($A$2:A1749,A1749,$B$2:B1749,B1749)=1)</f>
        <v>1</v>
      </c>
      <c r="D1749" t="str">
        <f>检查点拆解!F1749</f>
        <v>D04.03.02</v>
      </c>
      <c r="E1749" s="2">
        <f>--(COUNTIFS($A$2:A1749,A1749,$D$2:D1749,D1749)=1)</f>
        <v>1</v>
      </c>
    </row>
    <row r="1750" spans="1:5">
      <c r="A1750" t="str">
        <f>检查点拆解!A1750</f>
        <v>Q0245</v>
      </c>
      <c r="B1750" t="str">
        <f>检查点拆解!D1750</f>
        <v>C24</v>
      </c>
      <c r="C1750" s="2">
        <f>--(COUNTIFS($A$2:A1750,A1750,$B$2:B1750,B1750)=1)</f>
        <v>1</v>
      </c>
      <c r="D1750" t="str">
        <f>检查点拆解!F1750</f>
        <v>D09.02.02</v>
      </c>
      <c r="E1750" s="2">
        <f>--(COUNTIFS($A$2:A1750,A1750,$D$2:D1750,D1750)=1)</f>
        <v>1</v>
      </c>
    </row>
    <row r="1751" spans="1:5">
      <c r="A1751" t="str">
        <f>检查点拆解!A1751</f>
        <v>Q0245</v>
      </c>
      <c r="B1751" t="str">
        <f>检查点拆解!D1751</f>
        <v>C27</v>
      </c>
      <c r="C1751" s="2">
        <f>--(COUNTIFS($A$2:A1751,A1751,$B$2:B1751,B1751)=1)</f>
        <v>1</v>
      </c>
      <c r="D1751" t="str">
        <f>检查点拆解!F1751</f>
        <v>D11.02.01</v>
      </c>
      <c r="E1751" s="2">
        <f>--(COUNTIFS($A$2:A1751,A1751,$D$2:D1751,D1751)=1)</f>
        <v>1</v>
      </c>
    </row>
    <row r="1752" spans="1:5">
      <c r="A1752" t="str">
        <f>检查点拆解!A1752</f>
        <v>Q0245</v>
      </c>
      <c r="B1752" t="str">
        <f>检查点拆解!D1752</f>
        <v>C19</v>
      </c>
      <c r="C1752" s="2">
        <f>--(COUNTIFS($A$2:A1752,A1752,$B$2:B1752,B1752)=1)</f>
        <v>1</v>
      </c>
      <c r="D1752" t="str">
        <f>检查点拆解!F1752</f>
        <v>D07.02.01</v>
      </c>
      <c r="E1752" s="2">
        <f>--(COUNTIFS($A$2:A1752,A1752,$D$2:D1752,D1752)=1)</f>
        <v>1</v>
      </c>
    </row>
    <row r="1753" spans="1:5">
      <c r="A1753" t="str">
        <f>检查点拆解!A1753</f>
        <v>Q0245</v>
      </c>
      <c r="B1753" t="str">
        <f>检查点拆解!D1753</f>
        <v>C25</v>
      </c>
      <c r="C1753" s="2">
        <f>--(COUNTIFS($A$2:A1753,A1753,$B$2:B1753,B1753)=1)</f>
        <v>1</v>
      </c>
      <c r="D1753" t="str">
        <f>检查点拆解!F1753</f>
        <v>D10.01.02</v>
      </c>
      <c r="E1753" s="2">
        <f>--(COUNTIFS($A$2:A1753,A1753,$D$2:D1753,D1753)=1)</f>
        <v>1</v>
      </c>
    </row>
    <row r="1754" spans="1:5">
      <c r="A1754" t="str">
        <f>检查点拆解!A1754</f>
        <v>Q0245</v>
      </c>
      <c r="B1754" t="str">
        <f>检查点拆解!D1754</f>
        <v>C23</v>
      </c>
      <c r="C1754" s="2">
        <f>--(COUNTIFS($A$2:A1754,A1754,$B$2:B1754,B1754)=1)</f>
        <v>1</v>
      </c>
      <c r="D1754" t="str">
        <f>检查点拆解!F1754</f>
        <v>D09.01.01</v>
      </c>
      <c r="E1754" s="2">
        <f>--(COUNTIFS($A$2:A1754,A1754,$D$2:D1754,D1754)=1)</f>
        <v>1</v>
      </c>
    </row>
    <row r="1755" spans="1:5">
      <c r="A1755" t="str">
        <f>检查点拆解!A1755</f>
        <v>Q0246</v>
      </c>
      <c r="B1755" t="str">
        <f>检查点拆解!D1755</f>
        <v>C18</v>
      </c>
      <c r="C1755" s="2">
        <f>--(COUNTIFS($A$2:A1755,A1755,$B$2:B1755,B1755)=1)</f>
        <v>1</v>
      </c>
      <c r="D1755" t="str">
        <f>检查点拆解!F1755</f>
        <v>D07.01.02</v>
      </c>
      <c r="E1755" s="2">
        <f>--(COUNTIFS($A$2:A1755,A1755,$D$2:D1755,D1755)=1)</f>
        <v>1</v>
      </c>
    </row>
    <row r="1756" spans="1:5">
      <c r="A1756" t="str">
        <f>检查点拆解!A1756</f>
        <v>Q0246</v>
      </c>
      <c r="B1756" t="str">
        <f>检查点拆解!D1756</f>
        <v>C27</v>
      </c>
      <c r="C1756" s="2">
        <f>--(COUNTIFS($A$2:A1756,A1756,$B$2:B1756,B1756)=1)</f>
        <v>1</v>
      </c>
      <c r="D1756" t="str">
        <f>检查点拆解!F1756</f>
        <v>D11.02.01</v>
      </c>
      <c r="E1756" s="2">
        <f>--(COUNTIFS($A$2:A1756,A1756,$D$2:D1756,D1756)=1)</f>
        <v>1</v>
      </c>
    </row>
    <row r="1757" spans="1:5">
      <c r="A1757" t="str">
        <f>检查点拆解!A1757</f>
        <v>Q0246</v>
      </c>
      <c r="B1757" t="str">
        <f>检查点拆解!D1757</f>
        <v>C27</v>
      </c>
      <c r="C1757" s="2">
        <f>--(COUNTIFS($A$2:A1757,A1757,$B$2:B1757,B1757)=1)</f>
        <v>0</v>
      </c>
      <c r="D1757" t="str">
        <f>检查点拆解!F1757</f>
        <v>D11.01.02</v>
      </c>
      <c r="E1757" s="2">
        <f>--(COUNTIFS($A$2:A1757,A1757,$D$2:D1757,D1757)=1)</f>
        <v>1</v>
      </c>
    </row>
    <row r="1758" spans="1:5">
      <c r="A1758" t="str">
        <f>检查点拆解!A1758</f>
        <v>Q0246</v>
      </c>
      <c r="B1758" t="str">
        <f>检查点拆解!D1758</f>
        <v>C24</v>
      </c>
      <c r="C1758" s="2">
        <f>--(COUNTIFS($A$2:A1758,A1758,$B$2:B1758,B1758)=1)</f>
        <v>1</v>
      </c>
      <c r="D1758" t="str">
        <f>检查点拆解!F1758</f>
        <v>D09.02.01</v>
      </c>
      <c r="E1758" s="2">
        <f>--(COUNTIFS($A$2:A1758,A1758,$D$2:D1758,D1758)=1)</f>
        <v>1</v>
      </c>
    </row>
    <row r="1759" spans="1:5">
      <c r="A1759" t="str">
        <f>检查点拆解!A1759</f>
        <v>Q0246</v>
      </c>
      <c r="B1759" t="str">
        <f>检查点拆解!D1759</f>
        <v>C25</v>
      </c>
      <c r="C1759" s="2">
        <f>--(COUNTIFS($A$2:A1759,A1759,$B$2:B1759,B1759)=1)</f>
        <v>1</v>
      </c>
      <c r="D1759" t="str">
        <f>检查点拆解!F1759</f>
        <v>D10.01.01</v>
      </c>
      <c r="E1759" s="2">
        <f>--(COUNTIFS($A$2:A1759,A1759,$D$2:D1759,D1759)=1)</f>
        <v>1</v>
      </c>
    </row>
    <row r="1760" spans="1:5">
      <c r="A1760" t="str">
        <f>检查点拆解!A1760</f>
        <v>Q0246</v>
      </c>
      <c r="B1760" t="str">
        <f>检查点拆解!D1760</f>
        <v>C28</v>
      </c>
      <c r="C1760" s="2">
        <f>--(COUNTIFS($A$2:A1760,A1760,$B$2:B1760,B1760)=1)</f>
        <v>1</v>
      </c>
      <c r="D1760" t="str">
        <f>检查点拆解!F1760</f>
        <v>D12.02.01</v>
      </c>
      <c r="E1760" s="2">
        <f>--(COUNTIFS($A$2:A1760,A1760,$D$2:D1760,D1760)=1)</f>
        <v>1</v>
      </c>
    </row>
    <row r="1761" spans="1:5">
      <c r="A1761" t="str">
        <f>检查点拆解!A1761</f>
        <v>Q0247</v>
      </c>
      <c r="B1761" t="str">
        <f>检查点拆解!D1761</f>
        <v>C14</v>
      </c>
      <c r="C1761" s="2">
        <f>--(COUNTIFS($A$2:A1761,A1761,$B$2:B1761,B1761)=1)</f>
        <v>1</v>
      </c>
      <c r="D1761" t="str">
        <f>检查点拆解!F1761</f>
        <v>D08.01.01</v>
      </c>
      <c r="E1761" s="2">
        <f>--(COUNTIFS($A$2:A1761,A1761,$D$2:D1761,D1761)=1)</f>
        <v>1</v>
      </c>
    </row>
    <row r="1762" spans="1:5">
      <c r="A1762" t="str">
        <f>检查点拆解!A1762</f>
        <v>Q0247</v>
      </c>
      <c r="B1762" t="str">
        <f>检查点拆解!D1762</f>
        <v>C15</v>
      </c>
      <c r="C1762" s="2">
        <f>--(COUNTIFS($A$2:A1762,A1762,$B$2:B1762,B1762)=1)</f>
        <v>1</v>
      </c>
      <c r="D1762" t="str">
        <f>检查点拆解!F1762</f>
        <v>D05.02.03</v>
      </c>
      <c r="E1762" s="2">
        <f>--(COUNTIFS($A$2:A1762,A1762,$D$2:D1762,D1762)=1)</f>
        <v>1</v>
      </c>
    </row>
    <row r="1763" spans="1:5">
      <c r="A1763" t="str">
        <f>检查点拆解!A1763</f>
        <v>Q0248</v>
      </c>
      <c r="B1763" t="str">
        <f>检查点拆解!D1763</f>
        <v>C23</v>
      </c>
      <c r="C1763" s="2">
        <f>--(COUNTIFS($A$2:A1763,A1763,$B$2:B1763,B1763)=1)</f>
        <v>1</v>
      </c>
      <c r="D1763" t="str">
        <f>检查点拆解!F1763</f>
        <v>D09.01.03</v>
      </c>
      <c r="E1763" s="2">
        <f>--(COUNTIFS($A$2:A1763,A1763,$D$2:D1763,D1763)=1)</f>
        <v>1</v>
      </c>
    </row>
    <row r="1764" spans="1:5">
      <c r="A1764" t="str">
        <f>检查点拆解!A1764</f>
        <v>Q0248</v>
      </c>
      <c r="B1764" t="str">
        <f>检查点拆解!D1764</f>
        <v>C27</v>
      </c>
      <c r="C1764" s="2">
        <f>--(COUNTIFS($A$2:A1764,A1764,$B$2:B1764,B1764)=1)</f>
        <v>1</v>
      </c>
      <c r="D1764" t="str">
        <f>检查点拆解!F1764</f>
        <v>D11.02.01</v>
      </c>
      <c r="E1764" s="2">
        <f>--(COUNTIFS($A$2:A1764,A1764,$D$2:D1764,D1764)=1)</f>
        <v>1</v>
      </c>
    </row>
    <row r="1765" spans="1:5">
      <c r="A1765" t="str">
        <f>检查点拆解!A1765</f>
        <v>Q0248</v>
      </c>
      <c r="B1765" t="str">
        <f>检查点拆解!D1765</f>
        <v>C24</v>
      </c>
      <c r="C1765" s="2">
        <f>--(COUNTIFS($A$2:A1765,A1765,$B$2:B1765,B1765)=1)</f>
        <v>1</v>
      </c>
      <c r="D1765" t="str">
        <f>检查点拆解!F1765</f>
        <v>D09.02.03</v>
      </c>
      <c r="E1765" s="2">
        <f>--(COUNTIFS($A$2:A1765,A1765,$D$2:D1765,D1765)=1)</f>
        <v>1</v>
      </c>
    </row>
    <row r="1766" spans="1:5">
      <c r="A1766" t="str">
        <f>检查点拆解!A1766</f>
        <v>Q0248</v>
      </c>
      <c r="B1766" t="str">
        <f>检查点拆解!D1766</f>
        <v>C26</v>
      </c>
      <c r="C1766" s="2">
        <f>--(COUNTIFS($A$2:A1766,A1766,$B$2:B1766,B1766)=1)</f>
        <v>1</v>
      </c>
      <c r="D1766" t="str">
        <f>检查点拆解!F1766</f>
        <v>D10.02.01</v>
      </c>
      <c r="E1766" s="2">
        <f>--(COUNTIFS($A$2:A1766,A1766,$D$2:D1766,D1766)=1)</f>
        <v>1</v>
      </c>
    </row>
    <row r="1767" spans="1:5">
      <c r="A1767" t="str">
        <f>检查点拆解!A1767</f>
        <v>Q0248</v>
      </c>
      <c r="B1767" t="str">
        <f>检查点拆解!D1767</f>
        <v>C04</v>
      </c>
      <c r="C1767" s="2">
        <f>--(COUNTIFS($A$2:A1767,A1767,$B$2:B1767,B1767)=1)</f>
        <v>1</v>
      </c>
      <c r="D1767" t="str">
        <f>检查点拆解!F1767</f>
        <v>D02.02.03</v>
      </c>
      <c r="E1767" s="2">
        <f>--(COUNTIFS($A$2:A1767,A1767,$D$2:D1767,D1767)=1)</f>
        <v>1</v>
      </c>
    </row>
    <row r="1768" spans="1:5">
      <c r="A1768" t="str">
        <f>检查点拆解!A1768</f>
        <v>Q0248</v>
      </c>
      <c r="B1768" t="str">
        <f>检查点拆解!D1768</f>
        <v>C14</v>
      </c>
      <c r="C1768" s="2">
        <f>--(COUNTIFS($A$2:A1768,A1768,$B$2:B1768,B1768)=1)</f>
        <v>1</v>
      </c>
      <c r="D1768" t="str">
        <f>检查点拆解!F1768</f>
        <v>D05.01.01</v>
      </c>
      <c r="E1768" s="2">
        <f>--(COUNTIFS($A$2:A1768,A1768,$D$2:D1768,D1768)=1)</f>
        <v>1</v>
      </c>
    </row>
    <row r="1769" spans="1:5">
      <c r="A1769" t="str">
        <f>检查点拆解!A1769</f>
        <v>Q0249</v>
      </c>
      <c r="B1769" t="str">
        <f>检查点拆解!D1769</f>
        <v>C27</v>
      </c>
      <c r="C1769" s="2">
        <f>--(COUNTIFS($A$2:A1769,A1769,$B$2:B1769,B1769)=1)</f>
        <v>1</v>
      </c>
      <c r="D1769" t="str">
        <f>检查点拆解!F1769</f>
        <v>D11.02.03</v>
      </c>
      <c r="E1769" s="2">
        <f>--(COUNTIFS($A$2:A1769,A1769,$D$2:D1769,D1769)=1)</f>
        <v>1</v>
      </c>
    </row>
    <row r="1770" spans="1:5">
      <c r="A1770" t="str">
        <f>检查点拆解!A1770</f>
        <v>Q0249</v>
      </c>
      <c r="B1770" t="str">
        <f>检查点拆解!D1770</f>
        <v>C04</v>
      </c>
      <c r="C1770" s="2">
        <f>--(COUNTIFS($A$2:A1770,A1770,$B$2:B1770,B1770)=1)</f>
        <v>1</v>
      </c>
      <c r="D1770" t="str">
        <f>检查点拆解!F1770</f>
        <v>D02.02.03</v>
      </c>
      <c r="E1770" s="2">
        <f>--(COUNTIFS($A$2:A1770,A1770,$D$2:D1770,D1770)=1)</f>
        <v>1</v>
      </c>
    </row>
    <row r="1771" spans="1:5">
      <c r="A1771" t="str">
        <f>检查点拆解!A1771</f>
        <v>Q0249</v>
      </c>
      <c r="B1771" t="str">
        <f>检查点拆解!D1771</f>
        <v>C05</v>
      </c>
      <c r="C1771" s="2">
        <f>--(COUNTIFS($A$2:A1771,A1771,$B$2:B1771,B1771)=1)</f>
        <v>1</v>
      </c>
      <c r="D1771" t="str">
        <f>检查点拆解!F1771</f>
        <v>D02.03.02</v>
      </c>
      <c r="E1771" s="2">
        <f>--(COUNTIFS($A$2:A1771,A1771,$D$2:D1771,D1771)=1)</f>
        <v>1</v>
      </c>
    </row>
    <row r="1772" spans="1:5">
      <c r="A1772" t="str">
        <f>检查点拆解!A1772</f>
        <v>Q0250</v>
      </c>
      <c r="B1772" t="str">
        <f>检查点拆解!D1772</f>
        <v>C24</v>
      </c>
      <c r="C1772" s="2">
        <f>--(COUNTIFS($A$2:A1772,A1772,$B$2:B1772,B1772)=1)</f>
        <v>1</v>
      </c>
      <c r="D1772" t="str">
        <f>检查点拆解!F1772</f>
        <v>D09.02.02</v>
      </c>
      <c r="E1772" s="2">
        <f>--(COUNTIFS($A$2:A1772,A1772,$D$2:D1772,D1772)=1)</f>
        <v>1</v>
      </c>
    </row>
    <row r="1773" spans="1:5">
      <c r="A1773" t="str">
        <f>检查点拆解!A1773</f>
        <v>Q0250</v>
      </c>
      <c r="B1773" t="str">
        <f>检查点拆解!D1773</f>
        <v>C15</v>
      </c>
      <c r="C1773" s="2">
        <f>--(COUNTIFS($A$2:A1773,A1773,$B$2:B1773,B1773)=1)</f>
        <v>1</v>
      </c>
      <c r="D1773" t="str">
        <f>检查点拆解!F1773</f>
        <v>D05.02.03</v>
      </c>
      <c r="E1773" s="2">
        <f>--(COUNTIFS($A$2:A1773,A1773,$D$2:D1773,D1773)=1)</f>
        <v>1</v>
      </c>
    </row>
    <row r="1774" spans="1:5">
      <c r="A1774" t="str">
        <f>检查点拆解!A1774</f>
        <v>Q0250</v>
      </c>
      <c r="B1774" t="str">
        <f>检查点拆解!D1774</f>
        <v>C17</v>
      </c>
      <c r="C1774" s="2">
        <f>--(COUNTIFS($A$2:A1774,A1774,$B$2:B1774,B1774)=1)</f>
        <v>1</v>
      </c>
      <c r="D1774" t="str">
        <f>检查点拆解!F1774</f>
        <v>D06.01.03</v>
      </c>
      <c r="E1774" s="2">
        <f>--(COUNTIFS($A$2:A1774,A1774,$D$2:D1774,D1774)=1)</f>
        <v>1</v>
      </c>
    </row>
    <row r="1775" spans="1:5">
      <c r="A1775" t="str">
        <f>检查点拆解!A1775</f>
        <v>Q0250</v>
      </c>
      <c r="B1775" t="str">
        <f>检查点拆解!D1775</f>
        <v>C28</v>
      </c>
      <c r="C1775" s="2">
        <f>--(COUNTIFS($A$2:A1775,A1775,$B$2:B1775,B1775)=1)</f>
        <v>1</v>
      </c>
      <c r="D1775" t="str">
        <f>检查点拆解!F1775</f>
        <v>D12.02.01</v>
      </c>
      <c r="E1775" s="2">
        <f>--(COUNTIFS($A$2:A1775,A1775,$D$2:D1775,D1775)=1)</f>
        <v>1</v>
      </c>
    </row>
    <row r="1776" spans="1:5">
      <c r="A1776" t="str">
        <f>检查点拆解!A1776</f>
        <v>Q0250</v>
      </c>
      <c r="B1776" t="str">
        <f>检查点拆解!D1776</f>
        <v>C28</v>
      </c>
      <c r="C1776" s="2">
        <f>--(COUNTIFS($A$2:A1776,A1776,$B$2:B1776,B1776)=1)</f>
        <v>0</v>
      </c>
      <c r="D1776" t="str">
        <f>检查点拆解!F1776</f>
        <v>D12.01.01</v>
      </c>
      <c r="E1776" s="2">
        <f>--(COUNTIFS($A$2:A1776,A1776,$D$2:D1776,D1776)=1)</f>
        <v>1</v>
      </c>
    </row>
    <row r="1777" spans="1:5">
      <c r="A1777" t="str">
        <f>检查点拆解!A1777</f>
        <v>Q0250</v>
      </c>
      <c r="B1777" t="str">
        <f>检查点拆解!D1777</f>
        <v>C04</v>
      </c>
      <c r="C1777" s="2">
        <f>--(COUNTIFS($A$2:A1777,A1777,$B$2:B1777,B1777)=1)</f>
        <v>1</v>
      </c>
      <c r="D1777" t="str">
        <f>检查点拆解!F1777</f>
        <v>D02.02.01</v>
      </c>
      <c r="E1777" s="2">
        <f>--(COUNTIFS($A$2:A1777,A1777,$D$2:D1777,D1777)=1)</f>
        <v>1</v>
      </c>
    </row>
    <row r="1778" spans="1:5">
      <c r="A1778" t="str">
        <f>检查点拆解!A1778</f>
        <v>Q0251</v>
      </c>
      <c r="B1778" t="str">
        <f>检查点拆解!D1778</f>
        <v>C28</v>
      </c>
      <c r="C1778" s="2">
        <f>--(COUNTIFS($A$2:A1778,A1778,$B$2:B1778,B1778)=1)</f>
        <v>1</v>
      </c>
      <c r="D1778" t="str">
        <f>检查点拆解!F1778</f>
        <v>D13.01.02</v>
      </c>
      <c r="E1778" s="2">
        <f>--(COUNTIFS($A$2:A1778,A1778,$D$2:D1778,D1778)=1)</f>
        <v>1</v>
      </c>
    </row>
    <row r="1779" spans="1:5">
      <c r="A1779" t="str">
        <f>检查点拆解!A1779</f>
        <v>Q0251</v>
      </c>
      <c r="B1779" t="str">
        <f>检查点拆解!D1779</f>
        <v>C01</v>
      </c>
      <c r="C1779" s="2">
        <f>--(COUNTIFS($A$2:A1779,A1779,$B$2:B1779,B1779)=1)</f>
        <v>1</v>
      </c>
      <c r="D1779" t="str">
        <f>检查点拆解!F1779</f>
        <v>D01.01.01</v>
      </c>
      <c r="E1779" s="2">
        <f>--(COUNTIFS($A$2:A1779,A1779,$D$2:D1779,D1779)=1)</f>
        <v>1</v>
      </c>
    </row>
    <row r="1780" spans="1:5">
      <c r="A1780" t="str">
        <f>检查点拆解!A1780</f>
        <v>Q0252</v>
      </c>
      <c r="B1780" t="str">
        <f>检查点拆解!D1780</f>
        <v>C30</v>
      </c>
      <c r="C1780" s="2">
        <f>--(COUNTIFS($A$2:A1780,A1780,$B$2:B1780,B1780)=1)</f>
        <v>1</v>
      </c>
      <c r="D1780" t="str">
        <f>检查点拆解!F1780</f>
        <v>D15.01.02</v>
      </c>
      <c r="E1780" s="2">
        <f>--(COUNTIFS($A$2:A1780,A1780,$D$2:D1780,D1780)=1)</f>
        <v>1</v>
      </c>
    </row>
    <row r="1781" spans="1:5">
      <c r="A1781" t="str">
        <f>检查点拆解!A1781</f>
        <v>Q0252</v>
      </c>
      <c r="B1781" t="str">
        <f>检查点拆解!D1781</f>
        <v>C27</v>
      </c>
      <c r="C1781" s="2">
        <f>--(COUNTIFS($A$2:A1781,A1781,$B$2:B1781,B1781)=1)</f>
        <v>1</v>
      </c>
      <c r="D1781" t="str">
        <f>检查点拆解!F1781</f>
        <v>D11.02.03</v>
      </c>
      <c r="E1781" s="2">
        <f>--(COUNTIFS($A$2:A1781,A1781,$D$2:D1781,D1781)=1)</f>
        <v>1</v>
      </c>
    </row>
    <row r="1782" spans="1:5">
      <c r="A1782" t="str">
        <f>检查点拆解!A1782</f>
        <v>Q0252</v>
      </c>
      <c r="B1782" t="str">
        <f>检查点拆解!D1782</f>
        <v>C30</v>
      </c>
      <c r="C1782" s="2">
        <f>--(COUNTIFS($A$2:A1782,A1782,$B$2:B1782,B1782)=1)</f>
        <v>0</v>
      </c>
      <c r="D1782" t="str">
        <f>检查点拆解!F1782</f>
        <v>D15.01.03</v>
      </c>
      <c r="E1782" s="2">
        <f>--(COUNTIFS($A$2:A1782,A1782,$D$2:D1782,D1782)=1)</f>
        <v>1</v>
      </c>
    </row>
    <row r="1783" spans="1:5">
      <c r="A1783" t="str">
        <f>检查点拆解!A1783</f>
        <v>Q0252</v>
      </c>
      <c r="B1783" t="str">
        <f>检查点拆解!D1783</f>
        <v>C15</v>
      </c>
      <c r="C1783" s="2">
        <f>--(COUNTIFS($A$2:A1783,A1783,$B$2:B1783,B1783)=1)</f>
        <v>1</v>
      </c>
      <c r="D1783" t="str">
        <f>检查点拆解!F1783</f>
        <v>D05.02.03</v>
      </c>
      <c r="E1783" s="2">
        <f>--(COUNTIFS($A$2:A1783,A1783,$D$2:D1783,D1783)=1)</f>
        <v>1</v>
      </c>
    </row>
    <row r="1784" spans="1:5">
      <c r="A1784" t="str">
        <f>检查点拆解!A1784</f>
        <v>Q0252</v>
      </c>
      <c r="B1784" t="str">
        <f>检查点拆解!D1784</f>
        <v>C28</v>
      </c>
      <c r="C1784" s="2">
        <f>--(COUNTIFS($A$2:A1784,A1784,$B$2:B1784,B1784)=1)</f>
        <v>1</v>
      </c>
      <c r="D1784" t="str">
        <f>检查点拆解!F1784</f>
        <v>D12.01.01</v>
      </c>
      <c r="E1784" s="2">
        <f>--(COUNTIFS($A$2:A1784,A1784,$D$2:D1784,D1784)=1)</f>
        <v>1</v>
      </c>
    </row>
    <row r="1785" spans="1:5">
      <c r="A1785" t="str">
        <f>检查点拆解!A1785</f>
        <v>Q0252</v>
      </c>
      <c r="B1785" t="str">
        <f>检查点拆解!D1785</f>
        <v>C04</v>
      </c>
      <c r="C1785" s="2">
        <f>--(COUNTIFS($A$2:A1785,A1785,$B$2:B1785,B1785)=1)</f>
        <v>1</v>
      </c>
      <c r="D1785" t="str">
        <f>检查点拆解!F1785</f>
        <v>D02.02.03</v>
      </c>
      <c r="E1785" s="2">
        <f>--(COUNTIFS($A$2:A1785,A1785,$D$2:D1785,D1785)=1)</f>
        <v>1</v>
      </c>
    </row>
    <row r="1786" spans="1:5">
      <c r="A1786" t="str">
        <f>检查点拆解!A1786</f>
        <v>Q0252</v>
      </c>
      <c r="B1786" t="str">
        <f>检查点拆解!D1786</f>
        <v>C05</v>
      </c>
      <c r="C1786" s="2">
        <f>--(COUNTIFS($A$2:A1786,A1786,$B$2:B1786,B1786)=1)</f>
        <v>1</v>
      </c>
      <c r="D1786" t="str">
        <f>检查点拆解!F1786</f>
        <v>D02.03.01</v>
      </c>
      <c r="E1786" s="2">
        <f>--(COUNTIFS($A$2:A1786,A1786,$D$2:D1786,D1786)=1)</f>
        <v>1</v>
      </c>
    </row>
    <row r="1787" spans="1:5">
      <c r="A1787" t="str">
        <f>检查点拆解!A1787</f>
        <v>Q0253</v>
      </c>
      <c r="B1787" t="str">
        <f>检查点拆解!D1787</f>
        <v>C30</v>
      </c>
      <c r="C1787" s="2">
        <f>--(COUNTIFS($A$2:A1787,A1787,$B$2:B1787,B1787)=1)</f>
        <v>1</v>
      </c>
      <c r="D1787" t="str">
        <f>检查点拆解!F1787</f>
        <v>D15.01.02</v>
      </c>
      <c r="E1787" s="2">
        <f>--(COUNTIFS($A$2:A1787,A1787,$D$2:D1787,D1787)=1)</f>
        <v>1</v>
      </c>
    </row>
    <row r="1788" spans="1:5">
      <c r="A1788" t="str">
        <f>检查点拆解!A1788</f>
        <v>Q0253</v>
      </c>
      <c r="B1788" t="str">
        <f>检查点拆解!D1788</f>
        <v>C30</v>
      </c>
      <c r="C1788" s="2">
        <f>--(COUNTIFS($A$2:A1788,A1788,$B$2:B1788,B1788)=1)</f>
        <v>0</v>
      </c>
      <c r="D1788" t="str">
        <f>检查点拆解!F1788</f>
        <v>D15.01.03</v>
      </c>
      <c r="E1788" s="2">
        <f>--(COUNTIFS($A$2:A1788,A1788,$D$2:D1788,D1788)=1)</f>
        <v>1</v>
      </c>
    </row>
    <row r="1789" spans="1:5">
      <c r="A1789" t="str">
        <f>检查点拆解!A1789</f>
        <v>Q0253</v>
      </c>
      <c r="B1789" t="str">
        <f>检查点拆解!D1789</f>
        <v>C28</v>
      </c>
      <c r="C1789" s="2">
        <f>--(COUNTIFS($A$2:A1789,A1789,$B$2:B1789,B1789)=1)</f>
        <v>1</v>
      </c>
      <c r="D1789" t="str">
        <f>检查点拆解!F1789</f>
        <v>D13.01.01</v>
      </c>
      <c r="E1789" s="2">
        <f>--(COUNTIFS($A$2:A1789,A1789,$D$2:D1789,D1789)=1)</f>
        <v>1</v>
      </c>
    </row>
    <row r="1790" spans="1:5">
      <c r="A1790" t="str">
        <f>检查点拆解!A1790</f>
        <v>Q0253</v>
      </c>
      <c r="B1790" t="str">
        <f>检查点拆解!D1790</f>
        <v>C14</v>
      </c>
      <c r="C1790" s="2">
        <f>--(COUNTIFS($A$2:A1790,A1790,$B$2:B1790,B1790)=1)</f>
        <v>1</v>
      </c>
      <c r="D1790" t="str">
        <f>检查点拆解!F1790</f>
        <v>D05.01.01</v>
      </c>
      <c r="E1790" s="2">
        <f>--(COUNTIFS($A$2:A1790,A1790,$D$2:D1790,D1790)=1)</f>
        <v>1</v>
      </c>
    </row>
    <row r="1791" spans="1:5">
      <c r="A1791" t="str">
        <f>检查点拆解!A1791</f>
        <v>Q0254</v>
      </c>
      <c r="B1791" t="str">
        <f>检查点拆解!D1791</f>
        <v>C28</v>
      </c>
      <c r="C1791" s="2">
        <f>--(COUNTIFS($A$2:A1791,A1791,$B$2:B1791,B1791)=1)</f>
        <v>1</v>
      </c>
      <c r="D1791" t="str">
        <f>检查点拆解!F1791</f>
        <v>D12.01.01</v>
      </c>
      <c r="E1791" s="2">
        <f>--(COUNTIFS($A$2:A1791,A1791,$D$2:D1791,D1791)=1)</f>
        <v>1</v>
      </c>
    </row>
    <row r="1792" spans="1:5">
      <c r="A1792" t="str">
        <f>检查点拆解!A1792</f>
        <v>Q0254</v>
      </c>
      <c r="B1792" t="str">
        <f>检查点拆解!D1792</f>
        <v>C06</v>
      </c>
      <c r="C1792" s="2">
        <f>--(COUNTIFS($A$2:A1792,A1792,$B$2:B1792,B1792)=1)</f>
        <v>1</v>
      </c>
      <c r="D1792" t="str">
        <f>检查点拆解!F1792</f>
        <v>D03.01.01</v>
      </c>
      <c r="E1792" s="2">
        <f>--(COUNTIFS($A$2:A1792,A1792,$D$2:D1792,D1792)=1)</f>
        <v>1</v>
      </c>
    </row>
    <row r="1793" spans="1:5">
      <c r="A1793" t="str">
        <f>检查点拆解!A1793</f>
        <v>Q0254</v>
      </c>
      <c r="B1793" t="str">
        <f>检查点拆解!D1793</f>
        <v>C28</v>
      </c>
      <c r="C1793" s="2">
        <f>--(COUNTIFS($A$2:A1793,A1793,$B$2:B1793,B1793)=1)</f>
        <v>0</v>
      </c>
      <c r="D1793" t="str">
        <f>检查点拆解!F1793</f>
        <v>D13.01.01</v>
      </c>
      <c r="E1793" s="2">
        <f>--(COUNTIFS($A$2:A1793,A1793,$D$2:D1793,D1793)=1)</f>
        <v>1</v>
      </c>
    </row>
    <row r="1794" spans="1:5">
      <c r="A1794" t="str">
        <f>检查点拆解!A1794</f>
        <v>Q0254</v>
      </c>
      <c r="B1794" t="str">
        <f>检查点拆解!D1794</f>
        <v>C03</v>
      </c>
      <c r="C1794" s="2">
        <f>--(COUNTIFS($A$2:A1794,A1794,$B$2:B1794,B1794)=1)</f>
        <v>1</v>
      </c>
      <c r="D1794" t="str">
        <f>检查点拆解!F1794</f>
        <v>D02.01.01</v>
      </c>
      <c r="E1794" s="2">
        <f>--(COUNTIFS($A$2:A1794,A1794,$D$2:D1794,D1794)=1)</f>
        <v>1</v>
      </c>
    </row>
    <row r="1795" spans="1:5">
      <c r="A1795" t="str">
        <f>检查点拆解!A1795</f>
        <v>Q0254</v>
      </c>
      <c r="B1795" t="str">
        <f>检查点拆解!D1795</f>
        <v>C05</v>
      </c>
      <c r="C1795" s="2">
        <f>--(COUNTIFS($A$2:A1795,A1795,$B$2:B1795,B1795)=1)</f>
        <v>1</v>
      </c>
      <c r="D1795" t="str">
        <f>检查点拆解!F1795</f>
        <v>D02.03.02</v>
      </c>
      <c r="E1795" s="2">
        <f>--(COUNTIFS($A$2:A1795,A1795,$D$2:D1795,D1795)=1)</f>
        <v>1</v>
      </c>
    </row>
    <row r="1796" spans="1:5">
      <c r="A1796" t="str">
        <f>检查点拆解!A1796</f>
        <v>Q0254</v>
      </c>
      <c r="B1796" t="str">
        <f>检查点拆解!D1796</f>
        <v>C08</v>
      </c>
      <c r="C1796" s="2">
        <f>--(COUNTIFS($A$2:A1796,A1796,$B$2:B1796,B1796)=1)</f>
        <v>1</v>
      </c>
      <c r="D1796" t="str">
        <f>检查点拆解!F1796</f>
        <v>D03.03.01</v>
      </c>
      <c r="E1796" s="2">
        <f>--(COUNTIFS($A$2:A1796,A1796,$D$2:D1796,D1796)=1)</f>
        <v>1</v>
      </c>
    </row>
    <row r="1797" spans="1:5">
      <c r="A1797" t="str">
        <f>检查点拆解!A1797</f>
        <v>Q0255</v>
      </c>
      <c r="B1797" t="str">
        <f>检查点拆解!D1797</f>
        <v>C23</v>
      </c>
      <c r="C1797" s="2">
        <f>--(COUNTIFS($A$2:A1797,A1797,$B$2:B1797,B1797)=1)</f>
        <v>1</v>
      </c>
      <c r="D1797" t="str">
        <f>检查点拆解!F1797</f>
        <v>D09.01.03</v>
      </c>
      <c r="E1797" s="2">
        <f>--(COUNTIFS($A$2:A1797,A1797,$D$2:D1797,D1797)=1)</f>
        <v>1</v>
      </c>
    </row>
    <row r="1798" spans="1:5">
      <c r="A1798" t="str">
        <f>检查点拆解!A1798</f>
        <v>Q0255</v>
      </c>
      <c r="B1798" t="str">
        <f>检查点拆解!D1798</f>
        <v>C27</v>
      </c>
      <c r="C1798" s="2">
        <f>--(COUNTIFS($A$2:A1798,A1798,$B$2:B1798,B1798)=1)</f>
        <v>1</v>
      </c>
      <c r="D1798" t="str">
        <f>检查点拆解!F1798</f>
        <v>D11.02.01</v>
      </c>
      <c r="E1798" s="2">
        <f>--(COUNTIFS($A$2:A1798,A1798,$D$2:D1798,D1798)=1)</f>
        <v>1</v>
      </c>
    </row>
    <row r="1799" spans="1:5">
      <c r="A1799" t="str">
        <f>检查点拆解!A1799</f>
        <v>Q0255</v>
      </c>
      <c r="B1799" t="str">
        <f>检查点拆解!D1799</f>
        <v>C23</v>
      </c>
      <c r="C1799" s="2">
        <f>--(COUNTIFS($A$2:A1799,A1799,$B$2:B1799,B1799)=1)</f>
        <v>0</v>
      </c>
      <c r="D1799" t="str">
        <f>检查点拆解!F1799</f>
        <v>D09.01.01</v>
      </c>
      <c r="E1799" s="2">
        <f>--(COUNTIFS($A$2:A1799,A1799,$D$2:D1799,D1799)=1)</f>
        <v>1</v>
      </c>
    </row>
    <row r="1800" spans="1:5">
      <c r="A1800" t="str">
        <f>检查点拆解!A1800</f>
        <v>Q0255</v>
      </c>
      <c r="B1800" t="str">
        <f>检查点拆解!D1800</f>
        <v>C28</v>
      </c>
      <c r="C1800" s="2">
        <f>--(COUNTIFS($A$2:A1800,A1800,$B$2:B1800,B1800)=1)</f>
        <v>1</v>
      </c>
      <c r="D1800" t="str">
        <f>检查点拆解!F1800</f>
        <v>D12.01.01</v>
      </c>
      <c r="E1800" s="2">
        <f>--(COUNTIFS($A$2:A1800,A1800,$D$2:D1800,D1800)=1)</f>
        <v>1</v>
      </c>
    </row>
    <row r="1801" spans="1:5">
      <c r="A1801" t="str">
        <f>检查点拆解!A1801</f>
        <v>Q0256</v>
      </c>
      <c r="B1801" t="str">
        <f>检查点拆解!D1801</f>
        <v>C30</v>
      </c>
      <c r="C1801" s="2">
        <f>--(COUNTIFS($A$2:A1801,A1801,$B$2:B1801,B1801)=1)</f>
        <v>1</v>
      </c>
      <c r="D1801" t="str">
        <f>检查点拆解!F1801</f>
        <v>D15.01.02</v>
      </c>
      <c r="E1801" s="2">
        <f>--(COUNTIFS($A$2:A1801,A1801,$D$2:D1801,D1801)=1)</f>
        <v>1</v>
      </c>
    </row>
    <row r="1802" spans="1:5">
      <c r="A1802" t="str">
        <f>检查点拆解!A1802</f>
        <v>Q0256</v>
      </c>
      <c r="B1802" t="str">
        <f>检查点拆解!D1802</f>
        <v>C27</v>
      </c>
      <c r="C1802" s="2">
        <f>--(COUNTIFS($A$2:A1802,A1802,$B$2:B1802,B1802)=1)</f>
        <v>1</v>
      </c>
      <c r="D1802" t="str">
        <f>检查点拆解!F1802</f>
        <v>D11.02.03</v>
      </c>
      <c r="E1802" s="2">
        <f>--(COUNTIFS($A$2:A1802,A1802,$D$2:D1802,D1802)=1)</f>
        <v>1</v>
      </c>
    </row>
    <row r="1803" spans="1:5">
      <c r="A1803" t="str">
        <f>检查点拆解!A1803</f>
        <v>Q0256</v>
      </c>
      <c r="B1803" t="str">
        <f>检查点拆解!D1803</f>
        <v>C30</v>
      </c>
      <c r="C1803" s="2">
        <f>--(COUNTIFS($A$2:A1803,A1803,$B$2:B1803,B1803)=1)</f>
        <v>0</v>
      </c>
      <c r="D1803" t="str">
        <f>检查点拆解!F1803</f>
        <v>D15.01.03</v>
      </c>
      <c r="E1803" s="2">
        <f>--(COUNTIFS($A$2:A1803,A1803,$D$2:D1803,D1803)=1)</f>
        <v>1</v>
      </c>
    </row>
    <row r="1804" spans="1:5">
      <c r="A1804" t="str">
        <f>检查点拆解!A1804</f>
        <v>Q0256</v>
      </c>
      <c r="B1804" t="str">
        <f>检查点拆解!D1804</f>
        <v>C15</v>
      </c>
      <c r="C1804" s="2">
        <f>--(COUNTIFS($A$2:A1804,A1804,$B$2:B1804,B1804)=1)</f>
        <v>1</v>
      </c>
      <c r="D1804" t="str">
        <f>检查点拆解!F1804</f>
        <v>D05.02.02</v>
      </c>
      <c r="E1804" s="2">
        <f>--(COUNTIFS($A$2:A1804,A1804,$D$2:D1804,D1804)=1)</f>
        <v>1</v>
      </c>
    </row>
    <row r="1805" spans="1:5">
      <c r="A1805" t="str">
        <f>检查点拆解!A1805</f>
        <v>Q0256</v>
      </c>
      <c r="B1805" t="str">
        <f>检查点拆解!D1805</f>
        <v>C17</v>
      </c>
      <c r="C1805" s="2">
        <f>--(COUNTIFS($A$2:A1805,A1805,$B$2:B1805,B1805)=1)</f>
        <v>1</v>
      </c>
      <c r="D1805" t="str">
        <f>检查点拆解!F1805</f>
        <v>D06.01.03</v>
      </c>
      <c r="E1805" s="2">
        <f>--(COUNTIFS($A$2:A1805,A1805,$D$2:D1805,D1805)=1)</f>
        <v>1</v>
      </c>
    </row>
    <row r="1806" spans="1:5">
      <c r="A1806" t="str">
        <f>检查点拆解!A1806</f>
        <v>Q0256</v>
      </c>
      <c r="B1806" t="str">
        <f>检查点拆解!D1806</f>
        <v>C28</v>
      </c>
      <c r="C1806" s="2">
        <f>--(COUNTIFS($A$2:A1806,A1806,$B$2:B1806,B1806)=1)</f>
        <v>1</v>
      </c>
      <c r="D1806" t="str">
        <f>检查点拆解!F1806</f>
        <v>D12.01.01</v>
      </c>
      <c r="E1806" s="2">
        <f>--(COUNTIFS($A$2:A1806,A1806,$D$2:D1806,D1806)=1)</f>
        <v>1</v>
      </c>
    </row>
    <row r="1807" spans="1:5">
      <c r="A1807" t="str">
        <f>检查点拆解!A1807</f>
        <v>Q0256</v>
      </c>
      <c r="B1807" t="str">
        <f>检查点拆解!D1807</f>
        <v>C04</v>
      </c>
      <c r="C1807" s="2">
        <f>--(COUNTIFS($A$2:A1807,A1807,$B$2:B1807,B1807)=1)</f>
        <v>1</v>
      </c>
      <c r="D1807" t="str">
        <f>检查点拆解!F1807</f>
        <v>D02.02.01</v>
      </c>
      <c r="E1807" s="2">
        <f>--(COUNTIFS($A$2:A1807,A1807,$D$2:D1807,D1807)=1)</f>
        <v>1</v>
      </c>
    </row>
    <row r="1808" spans="1:5">
      <c r="A1808" t="str">
        <f>检查点拆解!A1808</f>
        <v>Q0257</v>
      </c>
      <c r="B1808" t="str">
        <f>检查点拆解!D1808</f>
        <v>C24</v>
      </c>
      <c r="C1808" s="2">
        <f>--(COUNTIFS($A$2:A1808,A1808,$B$2:B1808,B1808)=1)</f>
        <v>1</v>
      </c>
      <c r="D1808" t="str">
        <f>检查点拆解!F1808</f>
        <v>D09.02.02</v>
      </c>
      <c r="E1808" s="2">
        <f>--(COUNTIFS($A$2:A1808,A1808,$D$2:D1808,D1808)=1)</f>
        <v>1</v>
      </c>
    </row>
    <row r="1809" spans="1:5">
      <c r="A1809" t="str">
        <f>检查点拆解!A1809</f>
        <v>Q0257</v>
      </c>
      <c r="B1809" t="str">
        <f>检查点拆解!D1809</f>
        <v>C17</v>
      </c>
      <c r="C1809" s="2">
        <f>--(COUNTIFS($A$2:A1809,A1809,$B$2:B1809,B1809)=1)</f>
        <v>1</v>
      </c>
      <c r="D1809" t="str">
        <f>检查点拆解!F1809</f>
        <v>D06.03.01</v>
      </c>
      <c r="E1809" s="2">
        <f>--(COUNTIFS($A$2:A1809,A1809,$D$2:D1809,D1809)=1)</f>
        <v>1</v>
      </c>
    </row>
    <row r="1810" spans="1:5">
      <c r="A1810" t="str">
        <f>检查点拆解!A1810</f>
        <v>Q0257</v>
      </c>
      <c r="B1810" t="str">
        <f>检查点拆解!D1810</f>
        <v>C27</v>
      </c>
      <c r="C1810" s="2">
        <f>--(COUNTIFS($A$2:A1810,A1810,$B$2:B1810,B1810)=1)</f>
        <v>1</v>
      </c>
      <c r="D1810" t="str">
        <f>检查点拆解!F1810</f>
        <v>D11.01.02</v>
      </c>
      <c r="E1810" s="2">
        <f>--(COUNTIFS($A$2:A1810,A1810,$D$2:D1810,D1810)=1)</f>
        <v>1</v>
      </c>
    </row>
    <row r="1811" spans="1:5">
      <c r="A1811" t="str">
        <f>检查点拆解!A1811</f>
        <v>Q0257</v>
      </c>
      <c r="B1811" t="str">
        <f>检查点拆解!D1811</f>
        <v>C18</v>
      </c>
      <c r="C1811" s="2">
        <f>--(COUNTIFS($A$2:A1811,A1811,$B$2:B1811,B1811)=1)</f>
        <v>1</v>
      </c>
      <c r="D1811" t="str">
        <f>检查点拆解!F1811</f>
        <v>D07.01.01</v>
      </c>
      <c r="E1811" s="2">
        <f>--(COUNTIFS($A$2:A1811,A1811,$D$2:D1811,D1811)=1)</f>
        <v>1</v>
      </c>
    </row>
    <row r="1812" spans="1:5">
      <c r="A1812" t="str">
        <f>检查点拆解!A1812</f>
        <v>Q0257</v>
      </c>
      <c r="B1812" t="str">
        <f>检查点拆解!D1812</f>
        <v>C24</v>
      </c>
      <c r="C1812" s="2">
        <f>--(COUNTIFS($A$2:A1812,A1812,$B$2:B1812,B1812)=1)</f>
        <v>0</v>
      </c>
      <c r="D1812" t="str">
        <f>检查点拆解!F1812</f>
        <v>D09.02.03</v>
      </c>
      <c r="E1812" s="2">
        <f>--(COUNTIFS($A$2:A1812,A1812,$D$2:D1812,D1812)=1)</f>
        <v>1</v>
      </c>
    </row>
    <row r="1813" spans="1:5">
      <c r="A1813" t="str">
        <f>检查点拆解!A1813</f>
        <v>Q0257</v>
      </c>
      <c r="B1813" t="str">
        <f>检查点拆解!D1813</f>
        <v>C25</v>
      </c>
      <c r="C1813" s="2">
        <f>--(COUNTIFS($A$2:A1813,A1813,$B$2:B1813,B1813)=1)</f>
        <v>1</v>
      </c>
      <c r="D1813" t="str">
        <f>检查点拆解!F1813</f>
        <v>D10.01.01</v>
      </c>
      <c r="E1813" s="2">
        <f>--(COUNTIFS($A$2:A1813,A1813,$D$2:D1813,D1813)=1)</f>
        <v>1</v>
      </c>
    </row>
    <row r="1814" spans="1:5">
      <c r="A1814" t="str">
        <f>检查点拆解!A1814</f>
        <v>Q0257</v>
      </c>
      <c r="B1814" t="str">
        <f>检查点拆解!D1814</f>
        <v>C28</v>
      </c>
      <c r="C1814" s="2">
        <f>--(COUNTIFS($A$2:A1814,A1814,$B$2:B1814,B1814)=1)</f>
        <v>1</v>
      </c>
      <c r="D1814" t="str">
        <f>检查点拆解!F1814</f>
        <v>D12.02.01</v>
      </c>
      <c r="E1814" s="2">
        <f>--(COUNTIFS($A$2:A1814,A1814,$D$2:D1814,D1814)=1)</f>
        <v>1</v>
      </c>
    </row>
    <row r="1815" spans="1:5">
      <c r="A1815" t="str">
        <f>检查点拆解!A1815</f>
        <v>Q0257</v>
      </c>
      <c r="B1815" t="str">
        <f>检查点拆解!D1815</f>
        <v>C04</v>
      </c>
      <c r="C1815" s="2">
        <f>--(COUNTIFS($A$2:A1815,A1815,$B$2:B1815,B1815)=1)</f>
        <v>1</v>
      </c>
      <c r="D1815" t="str">
        <f>检查点拆解!F1815</f>
        <v>D02.02.03</v>
      </c>
      <c r="E1815" s="2">
        <f>--(COUNTIFS($A$2:A1815,A1815,$D$2:D1815,D1815)=1)</f>
        <v>1</v>
      </c>
    </row>
    <row r="1816" spans="1:5">
      <c r="A1816" t="str">
        <f>检查点拆解!A1816</f>
        <v>Q0258</v>
      </c>
      <c r="B1816" t="str">
        <f>检查点拆解!D1816</f>
        <v>C29</v>
      </c>
      <c r="C1816" s="2">
        <f>--(COUNTIFS($A$2:A1816,A1816,$B$2:B1816,B1816)=1)</f>
        <v>1</v>
      </c>
      <c r="D1816" t="str">
        <f>检查点拆解!F1816</f>
        <v>D14.01.01</v>
      </c>
      <c r="E1816" s="2">
        <f>--(COUNTIFS($A$2:A1816,A1816,$D$2:D1816,D1816)=1)</f>
        <v>1</v>
      </c>
    </row>
    <row r="1817" spans="1:5">
      <c r="A1817" t="str">
        <f>检查点拆解!A1817</f>
        <v>Q0258</v>
      </c>
      <c r="B1817" t="str">
        <f>检查点拆解!D1817</f>
        <v>C29</v>
      </c>
      <c r="C1817" s="2">
        <f>--(COUNTIFS($A$2:A1817,A1817,$B$2:B1817,B1817)=1)</f>
        <v>0</v>
      </c>
      <c r="D1817" t="str">
        <f>检查点拆解!F1817</f>
        <v>D14.02.01</v>
      </c>
      <c r="E1817" s="2">
        <f>--(COUNTIFS($A$2:A1817,A1817,$D$2:D1817,D1817)=1)</f>
        <v>1</v>
      </c>
    </row>
    <row r="1818" spans="1:5">
      <c r="A1818" t="str">
        <f>检查点拆解!A1818</f>
        <v>Q0258</v>
      </c>
      <c r="B1818" t="str">
        <f>检查点拆解!D1818</f>
        <v>C27</v>
      </c>
      <c r="C1818" s="2">
        <f>--(COUNTIFS($A$2:A1818,A1818,$B$2:B1818,B1818)=1)</f>
        <v>1</v>
      </c>
      <c r="D1818" t="str">
        <f>检查点拆解!F1818</f>
        <v>D11.01.01</v>
      </c>
      <c r="E1818" s="2">
        <f>--(COUNTIFS($A$2:A1818,A1818,$D$2:D1818,D1818)=1)</f>
        <v>1</v>
      </c>
    </row>
    <row r="1819" spans="1:5">
      <c r="A1819" t="str">
        <f>检查点拆解!A1819</f>
        <v>Q0258</v>
      </c>
      <c r="B1819" t="str">
        <f>检查点拆解!D1819</f>
        <v>C26</v>
      </c>
      <c r="C1819" s="2">
        <f>--(COUNTIFS($A$2:A1819,A1819,$B$2:B1819,B1819)=1)</f>
        <v>1</v>
      </c>
      <c r="D1819" t="str">
        <f>检查点拆解!F1819</f>
        <v>D10.02.01</v>
      </c>
      <c r="E1819" s="2">
        <f>--(COUNTIFS($A$2:A1819,A1819,$D$2:D1819,D1819)=1)</f>
        <v>1</v>
      </c>
    </row>
    <row r="1820" spans="1:5">
      <c r="A1820" t="str">
        <f>检查点拆解!A1820</f>
        <v>Q0258</v>
      </c>
      <c r="B1820" t="str">
        <f>检查点拆解!D1820</f>
        <v>C28</v>
      </c>
      <c r="C1820" s="2">
        <f>--(COUNTIFS($A$2:A1820,A1820,$B$2:B1820,B1820)=1)</f>
        <v>1</v>
      </c>
      <c r="D1820" t="str">
        <f>检查点拆解!F1820</f>
        <v>D12.01.01</v>
      </c>
      <c r="E1820" s="2">
        <f>--(COUNTIFS($A$2:A1820,A1820,$D$2:D1820,D1820)=1)</f>
        <v>1</v>
      </c>
    </row>
    <row r="1821" spans="1:5">
      <c r="A1821" t="str">
        <f>检查点拆解!A1821</f>
        <v>Q0258</v>
      </c>
      <c r="B1821" t="str">
        <f>检查点拆解!D1821</f>
        <v>C06</v>
      </c>
      <c r="C1821" s="2">
        <f>--(COUNTIFS($A$2:A1821,A1821,$B$2:B1821,B1821)=1)</f>
        <v>1</v>
      </c>
      <c r="D1821" t="str">
        <f>检查点拆解!F1821</f>
        <v>D03.01.01</v>
      </c>
      <c r="E1821" s="2">
        <f>--(COUNTIFS($A$2:A1821,A1821,$D$2:D1821,D1821)=1)</f>
        <v>1</v>
      </c>
    </row>
    <row r="1822" spans="1:5">
      <c r="A1822" t="str">
        <f>检查点拆解!A1822</f>
        <v>Q0258</v>
      </c>
      <c r="B1822" t="str">
        <f>检查点拆解!D1822</f>
        <v>C03</v>
      </c>
      <c r="C1822" s="2">
        <f>--(COUNTIFS($A$2:A1822,A1822,$B$2:B1822,B1822)=1)</f>
        <v>1</v>
      </c>
      <c r="D1822" t="str">
        <f>检查点拆解!F1822</f>
        <v>D02.01.01</v>
      </c>
      <c r="E1822" s="2">
        <f>--(COUNTIFS($A$2:A1822,A1822,$D$2:D1822,D1822)=1)</f>
        <v>1</v>
      </c>
    </row>
    <row r="1823" spans="1:5">
      <c r="A1823" t="str">
        <f>检查点拆解!A1823</f>
        <v>Q0258</v>
      </c>
      <c r="B1823" t="str">
        <f>检查点拆解!D1823</f>
        <v>C07</v>
      </c>
      <c r="C1823" s="2">
        <f>--(COUNTIFS($A$2:A1823,A1823,$B$2:B1823,B1823)=1)</f>
        <v>1</v>
      </c>
      <c r="D1823" t="str">
        <f>检查点拆解!F1823</f>
        <v>D03.02.01</v>
      </c>
      <c r="E1823" s="2">
        <f>--(COUNTIFS($A$2:A1823,A1823,$D$2:D1823,D1823)=1)</f>
        <v>1</v>
      </c>
    </row>
    <row r="1824" spans="1:5">
      <c r="A1824" t="str">
        <f>检查点拆解!A1824</f>
        <v>Q0258</v>
      </c>
      <c r="B1824" t="str">
        <f>检查点拆解!D1824</f>
        <v>C08</v>
      </c>
      <c r="C1824" s="2">
        <f>--(COUNTIFS($A$2:A1824,A1824,$B$2:B1824,B1824)=1)</f>
        <v>1</v>
      </c>
      <c r="D1824" t="str">
        <f>检查点拆解!F1824</f>
        <v>D03.03.01</v>
      </c>
      <c r="E1824" s="2">
        <f>--(COUNTIFS($A$2:A1824,A1824,$D$2:D1824,D1824)=1)</f>
        <v>1</v>
      </c>
    </row>
    <row r="1825" spans="1:5">
      <c r="A1825" t="str">
        <f>检查点拆解!A1825</f>
        <v>Q0259</v>
      </c>
      <c r="B1825" t="str">
        <f>检查点拆解!D1825</f>
        <v>C28</v>
      </c>
      <c r="C1825" s="2">
        <f>--(COUNTIFS($A$2:A1825,A1825,$B$2:B1825,B1825)=1)</f>
        <v>1</v>
      </c>
      <c r="D1825" t="str">
        <f>检查点拆解!F1825</f>
        <v>D13.02.01</v>
      </c>
      <c r="E1825" s="2">
        <f>--(COUNTIFS($A$2:A1825,A1825,$D$2:D1825,D1825)=1)</f>
        <v>1</v>
      </c>
    </row>
    <row r="1826" spans="1:5">
      <c r="A1826" t="str">
        <f>检查点拆解!A1826</f>
        <v>Q0259</v>
      </c>
      <c r="B1826" t="str">
        <f>检查点拆解!D1826</f>
        <v>C04</v>
      </c>
      <c r="C1826" s="2">
        <f>--(COUNTIFS($A$2:A1826,A1826,$B$2:B1826,B1826)=1)</f>
        <v>1</v>
      </c>
      <c r="D1826" t="str">
        <f>检查点拆解!F1826</f>
        <v>D02.02.03</v>
      </c>
      <c r="E1826" s="2">
        <f>--(COUNTIFS($A$2:A1826,A1826,$D$2:D1826,D1826)=1)</f>
        <v>1</v>
      </c>
    </row>
    <row r="1827" spans="1:5">
      <c r="A1827" t="str">
        <f>检查点拆解!A1827</f>
        <v>Q0260</v>
      </c>
      <c r="B1827" t="str">
        <f>检查点拆解!D1827</f>
        <v>C27</v>
      </c>
      <c r="C1827" s="2">
        <f>--(COUNTIFS($A$2:A1827,A1827,$B$2:B1827,B1827)=1)</f>
        <v>1</v>
      </c>
      <c r="D1827" t="str">
        <f>检查点拆解!F1827</f>
        <v>D11.02.01</v>
      </c>
      <c r="E1827" s="2">
        <f>--(COUNTIFS($A$2:A1827,A1827,$D$2:D1827,D1827)=1)</f>
        <v>1</v>
      </c>
    </row>
    <row r="1828" spans="1:5">
      <c r="A1828" t="str">
        <f>检查点拆解!A1828</f>
        <v>Q0260</v>
      </c>
      <c r="B1828" t="str">
        <f>检查点拆解!D1828</f>
        <v>C28</v>
      </c>
      <c r="C1828" s="2">
        <f>--(COUNTIFS($A$2:A1828,A1828,$B$2:B1828,B1828)=1)</f>
        <v>1</v>
      </c>
      <c r="D1828" t="str">
        <f>检查点拆解!F1828</f>
        <v>D13.02.02</v>
      </c>
      <c r="E1828" s="2">
        <f>--(COUNTIFS($A$2:A1828,A1828,$D$2:D1828,D1828)=1)</f>
        <v>1</v>
      </c>
    </row>
    <row r="1829" spans="1:5">
      <c r="A1829" t="str">
        <f>检查点拆解!A1829</f>
        <v>Q0260</v>
      </c>
      <c r="B1829" t="str">
        <f>检查点拆解!D1829</f>
        <v>C17</v>
      </c>
      <c r="C1829" s="2">
        <f>--(COUNTIFS($A$2:A1829,A1829,$B$2:B1829,B1829)=1)</f>
        <v>1</v>
      </c>
      <c r="D1829" t="str">
        <f>检查点拆解!F1829</f>
        <v>D06.03.02</v>
      </c>
      <c r="E1829" s="2">
        <f>--(COUNTIFS($A$2:A1829,A1829,$D$2:D1829,D1829)=1)</f>
        <v>1</v>
      </c>
    </row>
    <row r="1830" spans="1:5">
      <c r="A1830" t="str">
        <f>检查点拆解!A1830</f>
        <v>Q0260</v>
      </c>
      <c r="B1830" t="str">
        <f>检查点拆解!D1830</f>
        <v>C05</v>
      </c>
      <c r="C1830" s="2">
        <f>--(COUNTIFS($A$2:A1830,A1830,$B$2:B1830,B1830)=1)</f>
        <v>1</v>
      </c>
      <c r="D1830" t="str">
        <f>检查点拆解!F1830</f>
        <v>D02.03.03</v>
      </c>
      <c r="E1830" s="2">
        <f>--(COUNTIFS($A$2:A1830,A1830,$D$2:D1830,D1830)=1)</f>
        <v>1</v>
      </c>
    </row>
    <row r="1831" spans="1:5">
      <c r="A1831" t="str">
        <f>检查点拆解!A1831</f>
        <v>Q0261</v>
      </c>
      <c r="B1831" t="str">
        <f>检查点拆解!D1831</f>
        <v>C20</v>
      </c>
      <c r="C1831" s="2">
        <f>--(COUNTIFS($A$2:A1831,A1831,$B$2:B1831,B1831)=1)</f>
        <v>1</v>
      </c>
      <c r="D1831" t="str">
        <f>检查点拆解!F1831</f>
        <v>D07.02.04</v>
      </c>
      <c r="E1831" s="2">
        <f>--(COUNTIFS($A$2:A1831,A1831,$D$2:D1831,D1831)=1)</f>
        <v>1</v>
      </c>
    </row>
    <row r="1832" spans="1:5">
      <c r="A1832" t="str">
        <f>检查点拆解!A1832</f>
        <v>Q0261</v>
      </c>
      <c r="B1832" t="str">
        <f>检查点拆解!D1832</f>
        <v>C24</v>
      </c>
      <c r="C1832" s="2">
        <f>--(COUNTIFS($A$2:A1832,A1832,$B$2:B1832,B1832)=1)</f>
        <v>1</v>
      </c>
      <c r="D1832" t="str">
        <f>检查点拆解!F1832</f>
        <v>D09.02.03</v>
      </c>
      <c r="E1832" s="2">
        <f>--(COUNTIFS($A$2:A1832,A1832,$D$2:D1832,D1832)=1)</f>
        <v>1</v>
      </c>
    </row>
    <row r="1833" spans="1:5">
      <c r="A1833" t="str">
        <f>检查点拆解!A1833</f>
        <v>Q0261</v>
      </c>
      <c r="B1833" t="str">
        <f>检查点拆解!D1833</f>
        <v>C25</v>
      </c>
      <c r="C1833" s="2">
        <f>--(COUNTIFS($A$2:A1833,A1833,$B$2:B1833,B1833)=1)</f>
        <v>1</v>
      </c>
      <c r="D1833" t="str">
        <f>检查点拆解!F1833</f>
        <v>D10.01.01</v>
      </c>
      <c r="E1833" s="2">
        <f>--(COUNTIFS($A$2:A1833,A1833,$D$2:D1833,D1833)=1)</f>
        <v>1</v>
      </c>
    </row>
    <row r="1834" spans="1:5">
      <c r="A1834" t="str">
        <f>检查点拆解!A1834</f>
        <v>Q0261</v>
      </c>
      <c r="B1834" t="str">
        <f>检查点拆解!D1834</f>
        <v>C30</v>
      </c>
      <c r="C1834" s="2">
        <f>--(COUNTIFS($A$2:A1834,A1834,$B$2:B1834,B1834)=1)</f>
        <v>1</v>
      </c>
      <c r="D1834" t="str">
        <f>检查点拆解!F1834</f>
        <v>D15.01.04</v>
      </c>
      <c r="E1834" s="2">
        <f>--(COUNTIFS($A$2:A1834,A1834,$D$2:D1834,D1834)=1)</f>
        <v>1</v>
      </c>
    </row>
    <row r="1835" spans="1:5">
      <c r="A1835" t="str">
        <f>检查点拆解!A1835</f>
        <v>Q0261</v>
      </c>
      <c r="B1835" t="str">
        <f>检查点拆解!D1835</f>
        <v>C28</v>
      </c>
      <c r="C1835" s="2">
        <f>--(COUNTIFS($A$2:A1835,A1835,$B$2:B1835,B1835)=1)</f>
        <v>1</v>
      </c>
      <c r="D1835" t="str">
        <f>检查点拆解!F1835</f>
        <v>D12.01.02</v>
      </c>
      <c r="E1835" s="2">
        <f>--(COUNTIFS($A$2:A1835,A1835,$D$2:D1835,D1835)=1)</f>
        <v>1</v>
      </c>
    </row>
    <row r="1836" spans="1:5">
      <c r="A1836" t="str">
        <f>检查点拆解!A1836</f>
        <v>Q0261</v>
      </c>
      <c r="B1836" t="str">
        <f>检查点拆解!D1836</f>
        <v>C28</v>
      </c>
      <c r="C1836" s="2">
        <f>--(COUNTIFS($A$2:A1836,A1836,$B$2:B1836,B1836)=1)</f>
        <v>0</v>
      </c>
      <c r="D1836" t="str">
        <f>检查点拆解!F1836</f>
        <v>D13.01.01</v>
      </c>
      <c r="E1836" s="2">
        <f>--(COUNTIFS($A$2:A1836,A1836,$D$2:D1836,D1836)=1)</f>
        <v>1</v>
      </c>
    </row>
    <row r="1837" spans="1:5">
      <c r="A1837" t="str">
        <f>检查点拆解!A1837</f>
        <v>Q0261</v>
      </c>
      <c r="B1837" t="str">
        <f>检查点拆解!D1837</f>
        <v>C14</v>
      </c>
      <c r="C1837" s="2">
        <f>--(COUNTIFS($A$2:A1837,A1837,$B$2:B1837,B1837)=1)</f>
        <v>1</v>
      </c>
      <c r="D1837" t="str">
        <f>检查点拆解!F1837</f>
        <v>D05.01.01</v>
      </c>
      <c r="E1837" s="2">
        <f>--(COUNTIFS($A$2:A1837,A1837,$D$2:D1837,D1837)=1)</f>
        <v>1</v>
      </c>
    </row>
    <row r="1838" spans="1:5">
      <c r="A1838" t="str">
        <f>检查点拆解!A1838</f>
        <v>Q0262</v>
      </c>
      <c r="B1838" t="str">
        <f>检查点拆解!D1838</f>
        <v>C27</v>
      </c>
      <c r="C1838" s="2">
        <f>--(COUNTIFS($A$2:A1838,A1838,$B$2:B1838,B1838)=1)</f>
        <v>1</v>
      </c>
      <c r="D1838" t="str">
        <f>检查点拆解!F1838</f>
        <v>D11.02.03</v>
      </c>
      <c r="E1838" s="2">
        <f>--(COUNTIFS($A$2:A1838,A1838,$D$2:D1838,D1838)=1)</f>
        <v>1</v>
      </c>
    </row>
    <row r="1839" spans="1:5">
      <c r="A1839" t="str">
        <f>检查点拆解!A1839</f>
        <v>Q0262</v>
      </c>
      <c r="B1839" t="str">
        <f>检查点拆解!D1839</f>
        <v>C04</v>
      </c>
      <c r="C1839" s="2">
        <f>--(COUNTIFS($A$2:A1839,A1839,$B$2:B1839,B1839)=1)</f>
        <v>1</v>
      </c>
      <c r="D1839" t="str">
        <f>检查点拆解!F1839</f>
        <v>D02.02.03</v>
      </c>
      <c r="E1839" s="2">
        <f>--(COUNTIFS($A$2:A1839,A1839,$D$2:D1839,D1839)=1)</f>
        <v>1</v>
      </c>
    </row>
    <row r="1840" spans="1:5">
      <c r="A1840" t="str">
        <f>检查点拆解!A1840</f>
        <v>Q0263</v>
      </c>
      <c r="B1840" t="str">
        <f>检查点拆解!D1840</f>
        <v>C29</v>
      </c>
      <c r="C1840" s="2">
        <f>--(COUNTIFS($A$2:A1840,A1840,$B$2:B1840,B1840)=1)</f>
        <v>1</v>
      </c>
      <c r="D1840" t="str">
        <f>检查点拆解!F1840</f>
        <v>D14.01.01</v>
      </c>
      <c r="E1840" s="2">
        <f>--(COUNTIFS($A$2:A1840,A1840,$D$2:D1840,D1840)=1)</f>
        <v>1</v>
      </c>
    </row>
    <row r="1841" spans="1:5">
      <c r="A1841" t="str">
        <f>检查点拆解!A1841</f>
        <v>Q0263</v>
      </c>
      <c r="B1841" t="str">
        <f>检查点拆解!D1841</f>
        <v>C30</v>
      </c>
      <c r="C1841" s="2">
        <f>--(COUNTIFS($A$2:A1841,A1841,$B$2:B1841,B1841)=1)</f>
        <v>1</v>
      </c>
      <c r="D1841" t="str">
        <f>检查点拆解!F1841</f>
        <v>D15.01.02</v>
      </c>
      <c r="E1841" s="2">
        <f>--(COUNTIFS($A$2:A1841,A1841,$D$2:D1841,D1841)=1)</f>
        <v>1</v>
      </c>
    </row>
    <row r="1842" spans="1:5">
      <c r="A1842" t="str">
        <f>检查点拆解!A1842</f>
        <v>Q0263</v>
      </c>
      <c r="B1842" t="str">
        <f>检查点拆解!D1842</f>
        <v>C30</v>
      </c>
      <c r="C1842" s="2">
        <f>--(COUNTIFS($A$2:A1842,A1842,$B$2:B1842,B1842)=1)</f>
        <v>0</v>
      </c>
      <c r="D1842" t="str">
        <f>检查点拆解!F1842</f>
        <v>D15.01.03</v>
      </c>
      <c r="E1842" s="2">
        <f>--(COUNTIFS($A$2:A1842,A1842,$D$2:D1842,D1842)=1)</f>
        <v>1</v>
      </c>
    </row>
    <row r="1843" spans="1:5">
      <c r="A1843" t="str">
        <f>检查点拆解!A1843</f>
        <v>Q0263</v>
      </c>
      <c r="B1843" t="str">
        <f>检查点拆解!D1843</f>
        <v>C30</v>
      </c>
      <c r="C1843" s="2">
        <f>--(COUNTIFS($A$2:A1843,A1843,$B$2:B1843,B1843)=1)</f>
        <v>0</v>
      </c>
      <c r="D1843" t="str">
        <f>检查点拆解!F1843</f>
        <v>D15.01.04</v>
      </c>
      <c r="E1843" s="2">
        <f>--(COUNTIFS($A$2:A1843,A1843,$D$2:D1843,D1843)=1)</f>
        <v>1</v>
      </c>
    </row>
    <row r="1844" spans="1:5">
      <c r="A1844" t="str">
        <f>检查点拆解!A1844</f>
        <v>Q0263</v>
      </c>
      <c r="B1844" t="str">
        <f>检查点拆解!D1844</f>
        <v>C23</v>
      </c>
      <c r="C1844" s="2">
        <f>--(COUNTIFS($A$2:A1844,A1844,$B$2:B1844,B1844)=1)</f>
        <v>1</v>
      </c>
      <c r="D1844" t="str">
        <f>检查点拆解!F1844</f>
        <v>D09.01.01</v>
      </c>
      <c r="E1844" s="2">
        <f>--(COUNTIFS($A$2:A1844,A1844,$D$2:D1844,D1844)=1)</f>
        <v>1</v>
      </c>
    </row>
    <row r="1845" spans="1:5">
      <c r="A1845" t="str">
        <f>检查点拆解!A1845</f>
        <v>Q0263</v>
      </c>
      <c r="B1845" t="str">
        <f>检查点拆解!D1845</f>
        <v>C28</v>
      </c>
      <c r="C1845" s="2">
        <f>--(COUNTIFS($A$2:A1845,A1845,$B$2:B1845,B1845)=1)</f>
        <v>1</v>
      </c>
      <c r="D1845" t="str">
        <f>检查点拆解!F1845</f>
        <v>D12.01.01</v>
      </c>
      <c r="E1845" s="2">
        <f>--(COUNTIFS($A$2:A1845,A1845,$D$2:D1845,D1845)=1)</f>
        <v>1</v>
      </c>
    </row>
    <row r="1846" spans="1:5">
      <c r="A1846" t="str">
        <f>检查点拆解!A1846</f>
        <v>Q0263</v>
      </c>
      <c r="B1846" t="str">
        <f>检查点拆解!D1846</f>
        <v>C04</v>
      </c>
      <c r="C1846" s="2">
        <f>--(COUNTIFS($A$2:A1846,A1846,$B$2:B1846,B1846)=1)</f>
        <v>1</v>
      </c>
      <c r="D1846" t="str">
        <f>检查点拆解!F1846</f>
        <v>D02.02.02</v>
      </c>
      <c r="E1846" s="2">
        <f>--(COUNTIFS($A$2:A1846,A1846,$D$2:D1846,D1846)=1)</f>
        <v>1</v>
      </c>
    </row>
    <row r="1847" spans="1:5">
      <c r="A1847" t="str">
        <f>检查点拆解!A1847</f>
        <v>Q0264</v>
      </c>
      <c r="B1847" t="str">
        <f>检查点拆解!D1847</f>
        <v>C27</v>
      </c>
      <c r="C1847" s="2">
        <f>--(COUNTIFS($A$2:A1847,A1847,$B$2:B1847,B1847)=1)</f>
        <v>1</v>
      </c>
      <c r="D1847" t="str">
        <f>检查点拆解!F1847</f>
        <v>D11.01.01</v>
      </c>
      <c r="E1847" s="2">
        <f>--(COUNTIFS($A$2:A1847,A1847,$D$2:D1847,D1847)=1)</f>
        <v>1</v>
      </c>
    </row>
    <row r="1848" spans="1:5">
      <c r="A1848" t="str">
        <f>检查点拆解!A1848</f>
        <v>Q0264</v>
      </c>
      <c r="B1848" t="str">
        <f>检查点拆解!D1848</f>
        <v>C24</v>
      </c>
      <c r="C1848" s="2">
        <f>--(COUNTIFS($A$2:A1848,A1848,$B$2:B1848,B1848)=1)</f>
        <v>1</v>
      </c>
      <c r="D1848" t="str">
        <f>检查点拆解!F1848</f>
        <v>D09.02.03</v>
      </c>
      <c r="E1848" s="2">
        <f>--(COUNTIFS($A$2:A1848,A1848,$D$2:D1848,D1848)=1)</f>
        <v>1</v>
      </c>
    </row>
    <row r="1849" spans="1:5">
      <c r="A1849" t="str">
        <f>检查点拆解!A1849</f>
        <v>Q0264</v>
      </c>
      <c r="B1849" t="str">
        <f>检查点拆解!D1849</f>
        <v>C25</v>
      </c>
      <c r="C1849" s="2">
        <f>--(COUNTIFS($A$2:A1849,A1849,$B$2:B1849,B1849)=1)</f>
        <v>1</v>
      </c>
      <c r="D1849" t="str">
        <f>检查点拆解!F1849</f>
        <v>D10.01.01</v>
      </c>
      <c r="E1849" s="2">
        <f>--(COUNTIFS($A$2:A1849,A1849,$D$2:D1849,D1849)=1)</f>
        <v>1</v>
      </c>
    </row>
    <row r="1850" spans="1:5">
      <c r="A1850" t="str">
        <f>检查点拆解!A1850</f>
        <v>Q0264</v>
      </c>
      <c r="B1850" t="str">
        <f>检查点拆解!D1850</f>
        <v>C25</v>
      </c>
      <c r="C1850" s="2">
        <f>--(COUNTIFS($A$2:A1850,A1850,$B$2:B1850,B1850)=1)</f>
        <v>0</v>
      </c>
      <c r="D1850" t="str">
        <f>检查点拆解!F1850</f>
        <v>D10.01.02</v>
      </c>
      <c r="E1850" s="2">
        <f>--(COUNTIFS($A$2:A1850,A1850,$D$2:D1850,D1850)=1)</f>
        <v>1</v>
      </c>
    </row>
    <row r="1851" spans="1:5">
      <c r="A1851" t="str">
        <f>检查点拆解!A1851</f>
        <v>Q0264</v>
      </c>
      <c r="B1851" t="str">
        <f>检查点拆解!D1851</f>
        <v>C28</v>
      </c>
      <c r="C1851" s="2">
        <f>--(COUNTIFS($A$2:A1851,A1851,$B$2:B1851,B1851)=1)</f>
        <v>1</v>
      </c>
      <c r="D1851" t="str">
        <f>检查点拆解!F1851</f>
        <v>D13.01.02</v>
      </c>
      <c r="E1851" s="2">
        <f>--(COUNTIFS($A$2:A1851,A1851,$D$2:D1851,D1851)=1)</f>
        <v>1</v>
      </c>
    </row>
    <row r="1852" spans="1:5">
      <c r="A1852" t="str">
        <f>检查点拆解!A1852</f>
        <v>Q0264</v>
      </c>
      <c r="B1852" t="str">
        <f>检查点拆解!D1852</f>
        <v>C26</v>
      </c>
      <c r="C1852" s="2">
        <f>--(COUNTIFS($A$2:A1852,A1852,$B$2:B1852,B1852)=1)</f>
        <v>1</v>
      </c>
      <c r="D1852" t="str">
        <f>检查点拆解!F1852</f>
        <v>D10.02.01</v>
      </c>
      <c r="E1852" s="2">
        <f>--(COUNTIFS($A$2:A1852,A1852,$D$2:D1852,D1852)=1)</f>
        <v>1</v>
      </c>
    </row>
    <row r="1853" spans="1:5">
      <c r="A1853" t="str">
        <f>检查点拆解!A1853</f>
        <v>Q0264</v>
      </c>
      <c r="B1853" t="str">
        <f>检查点拆解!D1853</f>
        <v>C28</v>
      </c>
      <c r="C1853" s="2">
        <f>--(COUNTIFS($A$2:A1853,A1853,$B$2:B1853,B1853)=1)</f>
        <v>0</v>
      </c>
      <c r="D1853" t="str">
        <f>检查点拆解!F1853</f>
        <v>D12.01.01</v>
      </c>
      <c r="E1853" s="2">
        <f>--(COUNTIFS($A$2:A1853,A1853,$D$2:D1853,D1853)=1)</f>
        <v>1</v>
      </c>
    </row>
    <row r="1854" spans="1:5">
      <c r="A1854" t="str">
        <f>检查点拆解!A1854</f>
        <v>Q0264</v>
      </c>
      <c r="B1854" t="str">
        <f>检查点拆解!D1854</f>
        <v>C06</v>
      </c>
      <c r="C1854" s="2">
        <f>--(COUNTIFS($A$2:A1854,A1854,$B$2:B1854,B1854)=1)</f>
        <v>1</v>
      </c>
      <c r="D1854" t="str">
        <f>检查点拆解!F1854</f>
        <v>D03.01.01</v>
      </c>
      <c r="E1854" s="2">
        <f>--(COUNTIFS($A$2:A1854,A1854,$D$2:D1854,D1854)=1)</f>
        <v>1</v>
      </c>
    </row>
    <row r="1855" spans="1:5">
      <c r="A1855" t="str">
        <f>检查点拆解!A1855</f>
        <v>Q0264</v>
      </c>
      <c r="B1855" t="str">
        <f>检查点拆解!D1855</f>
        <v>C05</v>
      </c>
      <c r="C1855" s="2">
        <f>--(COUNTIFS($A$2:A1855,A1855,$B$2:B1855,B1855)=1)</f>
        <v>1</v>
      </c>
      <c r="D1855" t="str">
        <f>检查点拆解!F1855</f>
        <v>D02.03.02</v>
      </c>
      <c r="E1855" s="2">
        <f>--(COUNTIFS($A$2:A1855,A1855,$D$2:D1855,D1855)=1)</f>
        <v>1</v>
      </c>
    </row>
    <row r="1856" spans="1:5">
      <c r="A1856" t="str">
        <f>检查点拆解!A1856</f>
        <v>Q0265</v>
      </c>
      <c r="B1856" t="str">
        <f>检查点拆解!D1856</f>
        <v>C24</v>
      </c>
      <c r="C1856" s="2">
        <f>--(COUNTIFS($A$2:A1856,A1856,$B$2:B1856,B1856)=1)</f>
        <v>1</v>
      </c>
      <c r="D1856" t="str">
        <f>检查点拆解!F1856</f>
        <v>D09.03.03</v>
      </c>
      <c r="E1856" s="2">
        <f>--(COUNTIFS($A$2:A1856,A1856,$D$2:D1856,D1856)=1)</f>
        <v>1</v>
      </c>
    </row>
    <row r="1857" spans="1:5">
      <c r="A1857" t="str">
        <f>检查点拆解!A1857</f>
        <v>Q0265</v>
      </c>
      <c r="B1857" t="str">
        <f>检查点拆解!D1857</f>
        <v>C17</v>
      </c>
      <c r="C1857" s="2">
        <f>--(COUNTIFS($A$2:A1857,A1857,$B$2:B1857,B1857)=1)</f>
        <v>1</v>
      </c>
      <c r="D1857" t="str">
        <f>检查点拆解!F1857</f>
        <v>D06.01.01</v>
      </c>
      <c r="E1857" s="2">
        <f>--(COUNTIFS($A$2:A1857,A1857,$D$2:D1857,D1857)=1)</f>
        <v>1</v>
      </c>
    </row>
    <row r="1858" spans="1:5">
      <c r="A1858" t="str">
        <f>检查点拆解!A1858</f>
        <v>Q0265</v>
      </c>
      <c r="B1858" t="str">
        <f>检查点拆解!D1858</f>
        <v>C25</v>
      </c>
      <c r="C1858" s="2">
        <f>--(COUNTIFS($A$2:A1858,A1858,$B$2:B1858,B1858)=1)</f>
        <v>1</v>
      </c>
      <c r="D1858" t="str">
        <f>检查点拆解!F1858</f>
        <v>D10.01.02</v>
      </c>
      <c r="E1858" s="2">
        <f>--(COUNTIFS($A$2:A1858,A1858,$D$2:D1858,D1858)=1)</f>
        <v>1</v>
      </c>
    </row>
    <row r="1859" spans="1:5">
      <c r="A1859" t="str">
        <f>检查点拆解!A1859</f>
        <v>Q0265</v>
      </c>
      <c r="B1859" t="str">
        <f>检查点拆解!D1859</f>
        <v>C28</v>
      </c>
      <c r="C1859" s="2">
        <f>--(COUNTIFS($A$2:A1859,A1859,$B$2:B1859,B1859)=1)</f>
        <v>1</v>
      </c>
      <c r="D1859" t="str">
        <f>检查点拆解!F1859</f>
        <v>D12.02.02</v>
      </c>
      <c r="E1859" s="2">
        <f>--(COUNTIFS($A$2:A1859,A1859,$D$2:D1859,D1859)=1)</f>
        <v>1</v>
      </c>
    </row>
    <row r="1860" spans="1:5">
      <c r="A1860" t="str">
        <f>检查点拆解!A1860</f>
        <v>Q0265</v>
      </c>
      <c r="B1860" t="str">
        <f>检查点拆解!D1860</f>
        <v>C28</v>
      </c>
      <c r="C1860" s="2">
        <f>--(COUNTIFS($A$2:A1860,A1860,$B$2:B1860,B1860)=1)</f>
        <v>0</v>
      </c>
      <c r="D1860" t="str">
        <f>检查点拆解!F1860</f>
        <v>D13.02.02</v>
      </c>
      <c r="E1860" s="2">
        <f>--(COUNTIFS($A$2:A1860,A1860,$D$2:D1860,D1860)=1)</f>
        <v>1</v>
      </c>
    </row>
    <row r="1861" spans="1:5">
      <c r="A1861" t="str">
        <f>检查点拆解!A1861</f>
        <v>Q0265</v>
      </c>
      <c r="B1861" t="str">
        <f>检查点拆解!D1861</f>
        <v>C26</v>
      </c>
      <c r="C1861" s="2">
        <f>--(COUNTIFS($A$2:A1861,A1861,$B$2:B1861,B1861)=1)</f>
        <v>1</v>
      </c>
      <c r="D1861" t="str">
        <f>检查点拆解!F1861</f>
        <v>D10.02.01</v>
      </c>
      <c r="E1861" s="2">
        <f>--(COUNTIFS($A$2:A1861,A1861,$D$2:D1861,D1861)=1)</f>
        <v>1</v>
      </c>
    </row>
    <row r="1862" spans="1:5">
      <c r="A1862" t="str">
        <f>检查点拆解!A1862</f>
        <v>Q0265</v>
      </c>
      <c r="B1862" t="str">
        <f>检查点拆解!D1862</f>
        <v>C28</v>
      </c>
      <c r="C1862" s="2">
        <f>--(COUNTIFS($A$2:A1862,A1862,$B$2:B1862,B1862)=1)</f>
        <v>0</v>
      </c>
      <c r="D1862" t="str">
        <f>检查点拆解!F1862</f>
        <v>D12.01.02</v>
      </c>
      <c r="E1862" s="2">
        <f>--(COUNTIFS($A$2:A1862,A1862,$D$2:D1862,D1862)=1)</f>
        <v>1</v>
      </c>
    </row>
    <row r="1863" spans="1:5">
      <c r="A1863" t="str">
        <f>检查点拆解!A1863</f>
        <v>Q0265</v>
      </c>
      <c r="B1863" t="str">
        <f>检查点拆解!D1863</f>
        <v>C04</v>
      </c>
      <c r="C1863" s="2">
        <f>--(COUNTIFS($A$2:A1863,A1863,$B$2:B1863,B1863)=1)</f>
        <v>1</v>
      </c>
      <c r="D1863" t="str">
        <f>检查点拆解!F1863</f>
        <v>D02.02.01</v>
      </c>
      <c r="E1863" s="2">
        <f>--(COUNTIFS($A$2:A1863,A1863,$D$2:D1863,D1863)=1)</f>
        <v>1</v>
      </c>
    </row>
    <row r="1864" spans="1:5">
      <c r="A1864" t="str">
        <f>检查点拆解!A1864</f>
        <v>Q0265</v>
      </c>
      <c r="B1864" t="str">
        <f>检查点拆解!D1864</f>
        <v>C28</v>
      </c>
      <c r="C1864" s="2">
        <f>--(COUNTIFS($A$2:A1864,A1864,$B$2:B1864,B1864)=1)</f>
        <v>0</v>
      </c>
      <c r="D1864" t="str">
        <f>检查点拆解!F1864</f>
        <v>D13.01.01</v>
      </c>
      <c r="E1864" s="2">
        <f>--(COUNTIFS($A$2:A1864,A1864,$D$2:D1864,D1864)=1)</f>
        <v>1</v>
      </c>
    </row>
    <row r="1865" spans="1:5">
      <c r="A1865" t="str">
        <f>检查点拆解!A1865</f>
        <v>Q0265</v>
      </c>
      <c r="B1865" t="str">
        <f>检查点拆解!D1865</f>
        <v>C05</v>
      </c>
      <c r="C1865" s="2">
        <f>--(COUNTIFS($A$2:A1865,A1865,$B$2:B1865,B1865)=1)</f>
        <v>1</v>
      </c>
      <c r="D1865" t="str">
        <f>检查点拆解!F1865</f>
        <v>D02.03.02</v>
      </c>
      <c r="E1865" s="2">
        <f>--(COUNTIFS($A$2:A1865,A1865,$D$2:D1865,D1865)=1)</f>
        <v>1</v>
      </c>
    </row>
    <row r="1866" spans="1:5">
      <c r="A1866" t="str">
        <f>检查点拆解!A1866</f>
        <v>Q0266</v>
      </c>
      <c r="B1866" t="str">
        <f>检查点拆解!D1866</f>
        <v>C27</v>
      </c>
      <c r="C1866" s="2">
        <f>--(COUNTIFS($A$2:A1866,A1866,$B$2:B1866,B1866)=1)</f>
        <v>1</v>
      </c>
      <c r="D1866" t="str">
        <f>检查点拆解!F1866</f>
        <v>D11.02.01</v>
      </c>
      <c r="E1866" s="2">
        <f>--(COUNTIFS($A$2:A1866,A1866,$D$2:D1866,D1866)=1)</f>
        <v>1</v>
      </c>
    </row>
    <row r="1867" spans="1:5">
      <c r="A1867" t="str">
        <f>检查点拆解!A1867</f>
        <v>Q0266</v>
      </c>
      <c r="B1867" t="str">
        <f>检查点拆解!D1867</f>
        <v>C27</v>
      </c>
      <c r="C1867" s="2">
        <f>--(COUNTIFS($A$2:A1867,A1867,$B$2:B1867,B1867)=1)</f>
        <v>0</v>
      </c>
      <c r="D1867" t="str">
        <f>检查点拆解!F1867</f>
        <v>D11.02.03</v>
      </c>
      <c r="E1867" s="2">
        <f>--(COUNTIFS($A$2:A1867,A1867,$D$2:D1867,D1867)=1)</f>
        <v>1</v>
      </c>
    </row>
    <row r="1868" spans="1:5">
      <c r="A1868" t="str">
        <f>检查点拆解!A1868</f>
        <v>Q0266</v>
      </c>
      <c r="B1868" t="str">
        <f>检查点拆解!D1868</f>
        <v>C25</v>
      </c>
      <c r="C1868" s="2">
        <f>--(COUNTIFS($A$2:A1868,A1868,$B$2:B1868,B1868)=1)</f>
        <v>1</v>
      </c>
      <c r="D1868" t="str">
        <f>检查点拆解!F1868</f>
        <v>D10.01.01</v>
      </c>
      <c r="E1868" s="2">
        <f>--(COUNTIFS($A$2:A1868,A1868,$D$2:D1868,D1868)=1)</f>
        <v>1</v>
      </c>
    </row>
    <row r="1869" spans="1:5">
      <c r="A1869" t="str">
        <f>检查点拆解!A1869</f>
        <v>Q0266</v>
      </c>
      <c r="B1869" t="str">
        <f>检查点拆解!D1869</f>
        <v>C28</v>
      </c>
      <c r="C1869" s="2">
        <f>--(COUNTIFS($A$2:A1869,A1869,$B$2:B1869,B1869)=1)</f>
        <v>1</v>
      </c>
      <c r="D1869" t="str">
        <f>检查点拆解!F1869</f>
        <v>D12.01.01</v>
      </c>
      <c r="E1869" s="2">
        <f>--(COUNTIFS($A$2:A1869,A1869,$D$2:D1869,D1869)=1)</f>
        <v>1</v>
      </c>
    </row>
    <row r="1870" spans="1:5">
      <c r="A1870" t="str">
        <f>检查点拆解!A1870</f>
        <v>Q0266</v>
      </c>
      <c r="B1870" t="str">
        <f>检查点拆解!D1870</f>
        <v>C28</v>
      </c>
      <c r="C1870" s="2">
        <f>--(COUNTIFS($A$2:A1870,A1870,$B$2:B1870,B1870)=1)</f>
        <v>0</v>
      </c>
      <c r="D1870" t="str">
        <f>检查点拆解!F1870</f>
        <v>D12.01.02</v>
      </c>
      <c r="E1870" s="2">
        <f>--(COUNTIFS($A$2:A1870,A1870,$D$2:D1870,D1870)=1)</f>
        <v>1</v>
      </c>
    </row>
    <row r="1871" spans="1:5">
      <c r="A1871" t="str">
        <f>检查点拆解!A1871</f>
        <v>Q0266</v>
      </c>
      <c r="B1871" t="str">
        <f>检查点拆解!D1871</f>
        <v>C04</v>
      </c>
      <c r="C1871" s="2">
        <f>--(COUNTIFS($A$2:A1871,A1871,$B$2:B1871,B1871)=1)</f>
        <v>1</v>
      </c>
      <c r="D1871" t="str">
        <f>检查点拆解!F1871</f>
        <v>D02.02.03</v>
      </c>
      <c r="E1871" s="2">
        <f>--(COUNTIFS($A$2:A1871,A1871,$D$2:D1871,D1871)=1)</f>
        <v>1</v>
      </c>
    </row>
    <row r="1872" spans="1:5">
      <c r="A1872" t="str">
        <f>检查点拆解!A1872</f>
        <v>Q0266</v>
      </c>
      <c r="B1872" t="str">
        <f>检查点拆解!D1872</f>
        <v>C28</v>
      </c>
      <c r="C1872" s="2">
        <f>--(COUNTIFS($A$2:A1872,A1872,$B$2:B1872,B1872)=1)</f>
        <v>0</v>
      </c>
      <c r="D1872" t="str">
        <f>检查点拆解!F1872</f>
        <v>D13.01.01</v>
      </c>
      <c r="E1872" s="2">
        <f>--(COUNTIFS($A$2:A1872,A1872,$D$2:D1872,D1872)=1)</f>
        <v>1</v>
      </c>
    </row>
    <row r="1873" spans="1:5">
      <c r="A1873" t="str">
        <f>检查点拆解!A1873</f>
        <v>Q0266</v>
      </c>
      <c r="B1873" t="str">
        <f>检查点拆解!D1873</f>
        <v>C05</v>
      </c>
      <c r="C1873" s="2">
        <f>--(COUNTIFS($A$2:A1873,A1873,$B$2:B1873,B1873)=1)</f>
        <v>1</v>
      </c>
      <c r="D1873" t="str">
        <f>检查点拆解!F1873</f>
        <v>D02.03.02</v>
      </c>
      <c r="E1873" s="2">
        <f>--(COUNTIFS($A$2:A1873,A1873,$D$2:D1873,D1873)=1)</f>
        <v>1</v>
      </c>
    </row>
    <row r="1874" spans="1:5">
      <c r="A1874" t="str">
        <f>检查点拆解!A1874</f>
        <v>Q0267</v>
      </c>
      <c r="B1874" t="str">
        <f>检查点拆解!D1874</f>
        <v>C27</v>
      </c>
      <c r="C1874" s="2">
        <f>--(COUNTIFS($A$2:A1874,A1874,$B$2:B1874,B1874)=1)</f>
        <v>1</v>
      </c>
      <c r="D1874" t="str">
        <f>检查点拆解!F1874</f>
        <v>D11.02.03</v>
      </c>
      <c r="E1874" s="2">
        <f>--(COUNTIFS($A$2:A1874,A1874,$D$2:D1874,D1874)=1)</f>
        <v>1</v>
      </c>
    </row>
    <row r="1875" spans="1:5">
      <c r="A1875" t="str">
        <f>检查点拆解!A1875</f>
        <v>Q0267</v>
      </c>
      <c r="B1875" t="str">
        <f>检查点拆解!D1875</f>
        <v>C04</v>
      </c>
      <c r="C1875" s="2">
        <f>--(COUNTIFS($A$2:A1875,A1875,$B$2:B1875,B1875)=1)</f>
        <v>1</v>
      </c>
      <c r="D1875" t="str">
        <f>检查点拆解!F1875</f>
        <v>D02.02.03</v>
      </c>
      <c r="E1875" s="2">
        <f>--(COUNTIFS($A$2:A1875,A1875,$D$2:D1875,D1875)=1)</f>
        <v>1</v>
      </c>
    </row>
    <row r="1876" spans="1:5">
      <c r="A1876" t="str">
        <f>检查点拆解!A1876</f>
        <v>Q0267</v>
      </c>
      <c r="B1876" t="str">
        <f>检查点拆解!D1876</f>
        <v>C05</v>
      </c>
      <c r="C1876" s="2">
        <f>--(COUNTIFS($A$2:A1876,A1876,$B$2:B1876,B1876)=1)</f>
        <v>1</v>
      </c>
      <c r="D1876" t="str">
        <f>检查点拆解!F1876</f>
        <v>D02.03.02</v>
      </c>
      <c r="E1876" s="2">
        <f>--(COUNTIFS($A$2:A1876,A1876,$D$2:D1876,D1876)=1)</f>
        <v>1</v>
      </c>
    </row>
    <row r="1877" spans="1:5">
      <c r="A1877" t="str">
        <f>检查点拆解!A1877</f>
        <v>Q0268</v>
      </c>
      <c r="B1877" t="str">
        <f>检查点拆解!D1877</f>
        <v>C10</v>
      </c>
      <c r="C1877" s="2">
        <f>--(COUNTIFS($A$2:A1877,A1877,$B$2:B1877,B1877)=1)</f>
        <v>1</v>
      </c>
      <c r="D1877" t="str">
        <f>检查点拆解!F1877</f>
        <v>D04.03.01</v>
      </c>
      <c r="E1877" s="2">
        <f>--(COUNTIFS($A$2:A1877,A1877,$D$2:D1877,D1877)=1)</f>
        <v>1</v>
      </c>
    </row>
    <row r="1878" spans="1:5">
      <c r="A1878" t="str">
        <f>检查点拆解!A1878</f>
        <v>Q0268</v>
      </c>
      <c r="B1878" t="str">
        <f>检查点拆解!D1878</f>
        <v>C11</v>
      </c>
      <c r="C1878" s="2">
        <f>--(COUNTIFS($A$2:A1878,A1878,$B$2:B1878,B1878)=1)</f>
        <v>1</v>
      </c>
      <c r="D1878" t="str">
        <f>检查点拆解!F1878</f>
        <v>D04.03.02</v>
      </c>
      <c r="E1878" s="2">
        <f>--(COUNTIFS($A$2:A1878,A1878,$D$2:D1878,D1878)=1)</f>
        <v>1</v>
      </c>
    </row>
    <row r="1879" spans="1:5">
      <c r="A1879" t="str">
        <f>检查点拆解!A1879</f>
        <v>Q0268</v>
      </c>
      <c r="B1879" t="str">
        <f>检查点拆解!D1879</f>
        <v>C23</v>
      </c>
      <c r="C1879" s="2">
        <f>--(COUNTIFS($A$2:A1879,A1879,$B$2:B1879,B1879)=1)</f>
        <v>1</v>
      </c>
      <c r="D1879" t="str">
        <f>检查点拆解!F1879</f>
        <v>D09.01.03</v>
      </c>
      <c r="E1879" s="2">
        <f>--(COUNTIFS($A$2:A1879,A1879,$D$2:D1879,D1879)=1)</f>
        <v>1</v>
      </c>
    </row>
    <row r="1880" spans="1:5">
      <c r="A1880" t="str">
        <f>检查点拆解!A1880</f>
        <v>Q0268</v>
      </c>
      <c r="B1880" t="str">
        <f>检查点拆解!D1880</f>
        <v>C27</v>
      </c>
      <c r="C1880" s="2">
        <f>--(COUNTIFS($A$2:A1880,A1880,$B$2:B1880,B1880)=1)</f>
        <v>1</v>
      </c>
      <c r="D1880" t="str">
        <f>检查点拆解!F1880</f>
        <v>D11.02.01</v>
      </c>
      <c r="E1880" s="2">
        <f>--(COUNTIFS($A$2:A1880,A1880,$D$2:D1880,D1880)=1)</f>
        <v>1</v>
      </c>
    </row>
    <row r="1881" spans="1:5">
      <c r="A1881" t="str">
        <f>检查点拆解!A1881</f>
        <v>Q0268</v>
      </c>
      <c r="B1881" t="str">
        <f>检查点拆解!D1881</f>
        <v>C27</v>
      </c>
      <c r="C1881" s="2">
        <f>--(COUNTIFS($A$2:A1881,A1881,$B$2:B1881,B1881)=1)</f>
        <v>0</v>
      </c>
      <c r="D1881" t="str">
        <f>检查点拆解!F1881</f>
        <v>D11.01.02</v>
      </c>
      <c r="E1881" s="2">
        <f>--(COUNTIFS($A$2:A1881,A1881,$D$2:D1881,D1881)=1)</f>
        <v>1</v>
      </c>
    </row>
    <row r="1882" spans="1:5">
      <c r="A1882" t="str">
        <f>检查点拆解!A1882</f>
        <v>Q0268</v>
      </c>
      <c r="B1882" t="str">
        <f>检查点拆解!D1882</f>
        <v>C15</v>
      </c>
      <c r="C1882" s="2">
        <f>--(COUNTIFS($A$2:A1882,A1882,$B$2:B1882,B1882)=1)</f>
        <v>1</v>
      </c>
      <c r="D1882" t="str">
        <f>检查点拆解!F1882</f>
        <v>D05.02.03</v>
      </c>
      <c r="E1882" s="2">
        <f>--(COUNTIFS($A$2:A1882,A1882,$D$2:D1882,D1882)=1)</f>
        <v>1</v>
      </c>
    </row>
    <row r="1883" spans="1:5">
      <c r="A1883" t="str">
        <f>检查点拆解!A1883</f>
        <v>Q0269</v>
      </c>
      <c r="B1883" t="str">
        <f>检查点拆解!D1883</f>
        <v>C04</v>
      </c>
      <c r="C1883" s="2">
        <f>--(COUNTIFS($A$2:A1883,A1883,$B$2:B1883,B1883)=1)</f>
        <v>1</v>
      </c>
      <c r="D1883" t="str">
        <f>检查点拆解!F1883</f>
        <v>D02.02.01</v>
      </c>
      <c r="E1883" s="2">
        <f>--(COUNTIFS($A$2:A1883,A1883,$D$2:D1883,D1883)=1)</f>
        <v>1</v>
      </c>
    </row>
    <row r="1884" spans="1:5">
      <c r="A1884" t="str">
        <f>检查点拆解!A1884</f>
        <v>Q0269</v>
      </c>
      <c r="B1884" t="str">
        <f>检查点拆解!D1884</f>
        <v>C01</v>
      </c>
      <c r="C1884" s="2">
        <f>--(COUNTIFS($A$2:A1884,A1884,$B$2:B1884,B1884)=1)</f>
        <v>1</v>
      </c>
      <c r="D1884" t="str">
        <f>检查点拆解!F1884</f>
        <v>D01.01.01</v>
      </c>
      <c r="E1884" s="2">
        <f>--(COUNTIFS($A$2:A1884,A1884,$D$2:D1884,D1884)=1)</f>
        <v>1</v>
      </c>
    </row>
    <row r="1885" spans="1:5">
      <c r="A1885" t="str">
        <f>检查点拆解!A1885</f>
        <v>Q0270</v>
      </c>
      <c r="B1885" t="str">
        <f>检查点拆解!D1885</f>
        <v>C18</v>
      </c>
      <c r="C1885" s="2">
        <f>--(COUNTIFS($A$2:A1885,A1885,$B$2:B1885,B1885)=1)</f>
        <v>1</v>
      </c>
      <c r="D1885" t="str">
        <f>检查点拆解!F1885</f>
        <v>D07.01.02</v>
      </c>
      <c r="E1885" s="2">
        <f>--(COUNTIFS($A$2:A1885,A1885,$D$2:D1885,D1885)=1)</f>
        <v>1</v>
      </c>
    </row>
    <row r="1886" spans="1:5">
      <c r="A1886" t="str">
        <f>检查点拆解!A1886</f>
        <v>Q0270</v>
      </c>
      <c r="B1886" t="str">
        <f>检查点拆解!D1886</f>
        <v>C04</v>
      </c>
      <c r="C1886" s="2">
        <f>--(COUNTIFS($A$2:A1886,A1886,$B$2:B1886,B1886)=1)</f>
        <v>1</v>
      </c>
      <c r="D1886" t="str">
        <f>检查点拆解!F1886</f>
        <v>D02.02.03</v>
      </c>
      <c r="E1886" s="2">
        <f>--(COUNTIFS($A$2:A1886,A1886,$D$2:D1886,D1886)=1)</f>
        <v>1</v>
      </c>
    </row>
    <row r="1887" spans="1:5">
      <c r="A1887" t="str">
        <f>检查点拆解!A1887</f>
        <v>Q0271</v>
      </c>
      <c r="B1887" t="str">
        <f>检查点拆解!D1887</f>
        <v>C30</v>
      </c>
      <c r="C1887" s="2">
        <f>--(COUNTIFS($A$2:A1887,A1887,$B$2:B1887,B1887)=1)</f>
        <v>1</v>
      </c>
      <c r="D1887" t="str">
        <f>检查点拆解!F1887</f>
        <v>D15.01.02</v>
      </c>
      <c r="E1887" s="2">
        <f>--(COUNTIFS($A$2:A1887,A1887,$D$2:D1887,D1887)=1)</f>
        <v>1</v>
      </c>
    </row>
    <row r="1888" spans="1:5">
      <c r="A1888" t="str">
        <f>检查点拆解!A1888</f>
        <v>Q0271</v>
      </c>
      <c r="B1888" t="str">
        <f>检查点拆解!D1888</f>
        <v>C14</v>
      </c>
      <c r="C1888" s="2">
        <f>--(COUNTIFS($A$2:A1888,A1888,$B$2:B1888,B1888)=1)</f>
        <v>1</v>
      </c>
      <c r="D1888" t="str">
        <f>检查点拆解!F1888</f>
        <v>D08.01.01</v>
      </c>
      <c r="E1888" s="2">
        <f>--(COUNTIFS($A$2:A1888,A1888,$D$2:D1888,D1888)=1)</f>
        <v>1</v>
      </c>
    </row>
    <row r="1889" spans="1:5">
      <c r="A1889" t="str">
        <f>检查点拆解!A1889</f>
        <v>Q0271</v>
      </c>
      <c r="B1889" t="str">
        <f>检查点拆解!D1889</f>
        <v>C27</v>
      </c>
      <c r="C1889" s="2">
        <f>--(COUNTIFS($A$2:A1889,A1889,$B$2:B1889,B1889)=1)</f>
        <v>1</v>
      </c>
      <c r="D1889" t="str">
        <f>检查点拆解!F1889</f>
        <v>D11.02.01</v>
      </c>
      <c r="E1889" s="2">
        <f>--(COUNTIFS($A$2:A1889,A1889,$D$2:D1889,D1889)=1)</f>
        <v>1</v>
      </c>
    </row>
    <row r="1890" spans="1:5">
      <c r="A1890" t="str">
        <f>检查点拆解!A1890</f>
        <v>Q0271</v>
      </c>
      <c r="B1890" t="str">
        <f>检查点拆解!D1890</f>
        <v>C28</v>
      </c>
      <c r="C1890" s="2">
        <f>--(COUNTIFS($A$2:A1890,A1890,$B$2:B1890,B1890)=1)</f>
        <v>1</v>
      </c>
      <c r="D1890" t="str">
        <f>检查点拆解!F1890</f>
        <v>D13.01.02</v>
      </c>
      <c r="E1890" s="2">
        <f>--(COUNTIFS($A$2:A1890,A1890,$D$2:D1890,D1890)=1)</f>
        <v>1</v>
      </c>
    </row>
    <row r="1891" spans="1:5">
      <c r="A1891" t="str">
        <f>检查点拆解!A1891</f>
        <v>Q0271</v>
      </c>
      <c r="B1891" t="str">
        <f>检查点拆解!D1891</f>
        <v>C15</v>
      </c>
      <c r="C1891" s="2">
        <f>--(COUNTIFS($A$2:A1891,A1891,$B$2:B1891,B1891)=1)</f>
        <v>1</v>
      </c>
      <c r="D1891" t="str">
        <f>检查点拆解!F1891</f>
        <v>D05.02.01</v>
      </c>
      <c r="E1891" s="2">
        <f>--(COUNTIFS($A$2:A1891,A1891,$D$2:D1891,D1891)=1)</f>
        <v>1</v>
      </c>
    </row>
    <row r="1892" spans="1:5">
      <c r="A1892" t="str">
        <f>检查点拆解!A1892</f>
        <v>Q0271</v>
      </c>
      <c r="B1892" t="str">
        <f>检查点拆解!D1892</f>
        <v>C28</v>
      </c>
      <c r="C1892" s="2">
        <f>--(COUNTIFS($A$2:A1892,A1892,$B$2:B1892,B1892)=1)</f>
        <v>0</v>
      </c>
      <c r="D1892" t="str">
        <f>检查点拆解!F1892</f>
        <v>D12.01.01</v>
      </c>
      <c r="E1892" s="2">
        <f>--(COUNTIFS($A$2:A1892,A1892,$D$2:D1892,D1892)=1)</f>
        <v>1</v>
      </c>
    </row>
    <row r="1893" spans="1:5">
      <c r="A1893" t="str">
        <f>检查点拆解!A1893</f>
        <v>Q0272</v>
      </c>
      <c r="B1893" t="str">
        <f>检查点拆解!D1893</f>
        <v>C11</v>
      </c>
      <c r="C1893" s="2">
        <f>--(COUNTIFS($A$2:A1893,A1893,$B$2:B1893,B1893)=1)</f>
        <v>1</v>
      </c>
      <c r="D1893" t="str">
        <f>检查点拆解!F1893</f>
        <v>D04.03.02</v>
      </c>
      <c r="E1893" s="2">
        <f>--(COUNTIFS($A$2:A1893,A1893,$D$2:D1893,D1893)=1)</f>
        <v>1</v>
      </c>
    </row>
    <row r="1894" spans="1:5">
      <c r="A1894" t="str">
        <f>检查点拆解!A1894</f>
        <v>Q0272</v>
      </c>
      <c r="B1894" t="str">
        <f>检查点拆解!D1894</f>
        <v>C25</v>
      </c>
      <c r="C1894" s="2">
        <f>--(COUNTIFS($A$2:A1894,A1894,$B$2:B1894,B1894)=1)</f>
        <v>1</v>
      </c>
      <c r="D1894" t="str">
        <f>检查点拆解!F1894</f>
        <v>D10.01.04</v>
      </c>
      <c r="E1894" s="2">
        <f>--(COUNTIFS($A$2:A1894,A1894,$D$2:D1894,D1894)=1)</f>
        <v>1</v>
      </c>
    </row>
    <row r="1895" spans="1:5">
      <c r="A1895" t="str">
        <f>检查点拆解!A1895</f>
        <v>Q0273</v>
      </c>
      <c r="B1895" t="str">
        <f>检查点拆解!D1895</f>
        <v>C29</v>
      </c>
      <c r="C1895" s="2">
        <f>--(COUNTIFS($A$2:A1895,A1895,$B$2:B1895,B1895)=1)</f>
        <v>1</v>
      </c>
      <c r="D1895" t="str">
        <f>检查点拆解!F1895</f>
        <v>D14.01.01</v>
      </c>
      <c r="E1895" s="2">
        <f>--(COUNTIFS($A$2:A1895,A1895,$D$2:D1895,D1895)=1)</f>
        <v>1</v>
      </c>
    </row>
    <row r="1896" spans="1:5">
      <c r="A1896" t="str">
        <f>检查点拆解!A1896</f>
        <v>Q0273</v>
      </c>
      <c r="B1896" t="str">
        <f>检查点拆解!D1896</f>
        <v>C30</v>
      </c>
      <c r="C1896" s="2">
        <f>--(COUNTIFS($A$2:A1896,A1896,$B$2:B1896,B1896)=1)</f>
        <v>1</v>
      </c>
      <c r="D1896" t="str">
        <f>检查点拆解!F1896</f>
        <v>D15.01.02</v>
      </c>
      <c r="E1896" s="2">
        <f>--(COUNTIFS($A$2:A1896,A1896,$D$2:D1896,D1896)=1)</f>
        <v>1</v>
      </c>
    </row>
    <row r="1897" spans="1:5">
      <c r="A1897" t="str">
        <f>检查点拆解!A1897</f>
        <v>Q0273</v>
      </c>
      <c r="B1897" t="str">
        <f>检查点拆解!D1897</f>
        <v>C29</v>
      </c>
      <c r="C1897" s="2">
        <f>--(COUNTIFS($A$2:A1897,A1897,$B$2:B1897,B1897)=1)</f>
        <v>0</v>
      </c>
      <c r="D1897" t="str">
        <f>检查点拆解!F1897</f>
        <v>D14.02.01</v>
      </c>
      <c r="E1897" s="2">
        <f>--(COUNTIFS($A$2:A1897,A1897,$D$2:D1897,D1897)=1)</f>
        <v>1</v>
      </c>
    </row>
    <row r="1898" spans="1:5">
      <c r="A1898" t="str">
        <f>检查点拆解!A1898</f>
        <v>Q0273</v>
      </c>
      <c r="B1898" t="str">
        <f>检查点拆解!D1898</f>
        <v>C30</v>
      </c>
      <c r="C1898" s="2">
        <f>--(COUNTIFS($A$2:A1898,A1898,$B$2:B1898,B1898)=1)</f>
        <v>0</v>
      </c>
      <c r="D1898" t="str">
        <f>检查点拆解!F1898</f>
        <v>D15.01.03</v>
      </c>
      <c r="E1898" s="2">
        <f>--(COUNTIFS($A$2:A1898,A1898,$D$2:D1898,D1898)=1)</f>
        <v>1</v>
      </c>
    </row>
    <row r="1899" spans="1:5">
      <c r="A1899" t="str">
        <f>检查点拆解!A1899</f>
        <v>Q0273</v>
      </c>
      <c r="B1899" t="str">
        <f>检查点拆解!D1899</f>
        <v>C25</v>
      </c>
      <c r="C1899" s="2">
        <f>--(COUNTIFS($A$2:A1899,A1899,$B$2:B1899,B1899)=1)</f>
        <v>1</v>
      </c>
      <c r="D1899" t="str">
        <f>检查点拆解!F1899</f>
        <v>D10.01.01</v>
      </c>
      <c r="E1899" s="2">
        <f>--(COUNTIFS($A$2:A1899,A1899,$D$2:D1899,D1899)=1)</f>
        <v>1</v>
      </c>
    </row>
    <row r="1900" spans="1:5">
      <c r="A1900" t="str">
        <f>检查点拆解!A1900</f>
        <v>Q0273</v>
      </c>
      <c r="B1900" t="str">
        <f>检查点拆解!D1900</f>
        <v>C30</v>
      </c>
      <c r="C1900" s="2">
        <f>--(COUNTIFS($A$2:A1900,A1900,$B$2:B1900,B1900)=1)</f>
        <v>0</v>
      </c>
      <c r="D1900" t="str">
        <f>检查点拆解!F1900</f>
        <v>D15.01.04</v>
      </c>
      <c r="E1900" s="2">
        <f>--(COUNTIFS($A$2:A1900,A1900,$D$2:D1900,D1900)=1)</f>
        <v>1</v>
      </c>
    </row>
    <row r="1901" spans="1:5">
      <c r="A1901" t="str">
        <f>检查点拆解!A1901</f>
        <v>Q0273</v>
      </c>
      <c r="B1901" t="str">
        <f>检查点拆解!D1901</f>
        <v>C28</v>
      </c>
      <c r="C1901" s="2">
        <f>--(COUNTIFS($A$2:A1901,A1901,$B$2:B1901,B1901)=1)</f>
        <v>1</v>
      </c>
      <c r="D1901" t="str">
        <f>检查点拆解!F1901</f>
        <v>D12.01.02</v>
      </c>
      <c r="E1901" s="2">
        <f>--(COUNTIFS($A$2:A1901,A1901,$D$2:D1901,D1901)=1)</f>
        <v>1</v>
      </c>
    </row>
    <row r="1902" spans="1:5">
      <c r="A1902" t="str">
        <f>检查点拆解!A1902</f>
        <v>Q0273</v>
      </c>
      <c r="B1902" t="str">
        <f>检查点拆解!D1902</f>
        <v>C14</v>
      </c>
      <c r="C1902" s="2">
        <f>--(COUNTIFS($A$2:A1902,A1902,$B$2:B1902,B1902)=1)</f>
        <v>1</v>
      </c>
      <c r="D1902" t="str">
        <f>检查点拆解!F1902</f>
        <v>D05.01.01</v>
      </c>
      <c r="E1902" s="2">
        <f>--(COUNTIFS($A$2:A1902,A1902,$D$2:D1902,D1902)=1)</f>
        <v>1</v>
      </c>
    </row>
    <row r="1903" spans="1:5">
      <c r="A1903" t="str">
        <f>检查点拆解!A1903</f>
        <v>Q0274</v>
      </c>
      <c r="B1903" t="str">
        <f>检查点拆解!D1903</f>
        <v>C27</v>
      </c>
      <c r="C1903" s="2">
        <f>--(COUNTIFS($A$2:A1903,A1903,$B$2:B1903,B1903)=1)</f>
        <v>1</v>
      </c>
      <c r="D1903" t="str">
        <f>检查点拆解!F1903</f>
        <v>D11.02.01</v>
      </c>
      <c r="E1903" s="2">
        <f>--(COUNTIFS($A$2:A1903,A1903,$D$2:D1903,D1903)=1)</f>
        <v>1</v>
      </c>
    </row>
    <row r="1904" spans="1:5">
      <c r="A1904" t="str">
        <f>检查点拆解!A1904</f>
        <v>Q0274</v>
      </c>
      <c r="B1904" t="str">
        <f>检查点拆解!D1904</f>
        <v>C06</v>
      </c>
      <c r="C1904" s="2">
        <f>--(COUNTIFS($A$2:A1904,A1904,$B$2:B1904,B1904)=1)</f>
        <v>1</v>
      </c>
      <c r="D1904" t="str">
        <f>检查点拆解!F1904</f>
        <v>D03.01.02</v>
      </c>
      <c r="E1904" s="2">
        <f>--(COUNTIFS($A$2:A1904,A1904,$D$2:D1904,D1904)=1)</f>
        <v>1</v>
      </c>
    </row>
    <row r="1905" spans="1:5">
      <c r="A1905" t="str">
        <f>检查点拆解!A1905</f>
        <v>Q0274</v>
      </c>
      <c r="B1905" t="str">
        <f>检查点拆解!D1905</f>
        <v>C08</v>
      </c>
      <c r="C1905" s="2">
        <f>--(COUNTIFS($A$2:A1905,A1905,$B$2:B1905,B1905)=1)</f>
        <v>1</v>
      </c>
      <c r="D1905" t="str">
        <f>检查点拆解!F1905</f>
        <v>D04.01.02</v>
      </c>
      <c r="E1905" s="2">
        <f>--(COUNTIFS($A$2:A1905,A1905,$D$2:D1905,D1905)=1)</f>
        <v>1</v>
      </c>
    </row>
    <row r="1906" spans="1:5">
      <c r="A1906" t="str">
        <f>检查点拆解!A1906</f>
        <v>Q0274</v>
      </c>
      <c r="B1906" t="str">
        <f>检查点拆解!D1906</f>
        <v>C26</v>
      </c>
      <c r="C1906" s="2">
        <f>--(COUNTIFS($A$2:A1906,A1906,$B$2:B1906,B1906)=1)</f>
        <v>1</v>
      </c>
      <c r="D1906" t="str">
        <f>检查点拆解!F1906</f>
        <v>D10.02.01</v>
      </c>
      <c r="E1906" s="2">
        <f>--(COUNTIFS($A$2:A1906,A1906,$D$2:D1906,D1906)=1)</f>
        <v>1</v>
      </c>
    </row>
    <row r="1907" spans="1:5">
      <c r="A1907" t="str">
        <f>检查点拆解!A1907</f>
        <v>Q0274</v>
      </c>
      <c r="B1907" t="str">
        <f>检查点拆解!D1907</f>
        <v>C28</v>
      </c>
      <c r="C1907" s="2">
        <f>--(COUNTIFS($A$2:A1907,A1907,$B$2:B1907,B1907)=1)</f>
        <v>1</v>
      </c>
      <c r="D1907" t="str">
        <f>检查点拆解!F1907</f>
        <v>D12.01.01</v>
      </c>
      <c r="E1907" s="2">
        <f>--(COUNTIFS($A$2:A1907,A1907,$D$2:D1907,D1907)=1)</f>
        <v>1</v>
      </c>
    </row>
    <row r="1908" spans="1:5">
      <c r="A1908" t="str">
        <f>检查点拆解!A1908</f>
        <v>Q0274</v>
      </c>
      <c r="B1908" t="str">
        <f>检查点拆解!D1908</f>
        <v>C06</v>
      </c>
      <c r="C1908" s="2">
        <f>--(COUNTIFS($A$2:A1908,A1908,$B$2:B1908,B1908)=1)</f>
        <v>0</v>
      </c>
      <c r="D1908" t="str">
        <f>检查点拆解!F1908</f>
        <v>D03.01.01</v>
      </c>
      <c r="E1908" s="2">
        <f>--(COUNTIFS($A$2:A1908,A1908,$D$2:D1908,D1908)=1)</f>
        <v>1</v>
      </c>
    </row>
    <row r="1909" spans="1:5">
      <c r="A1909" t="str">
        <f>检查点拆解!A1909</f>
        <v>Q0274</v>
      </c>
      <c r="B1909" t="str">
        <f>检查点拆解!D1909</f>
        <v>C17</v>
      </c>
      <c r="C1909" s="2">
        <f>--(COUNTIFS($A$2:A1909,A1909,$B$2:B1909,B1909)=1)</f>
        <v>1</v>
      </c>
      <c r="D1909" t="str">
        <f>检查点拆解!F1909</f>
        <v>D06.03.02</v>
      </c>
      <c r="E1909" s="2">
        <f>--(COUNTIFS($A$2:A1909,A1909,$D$2:D1909,D1909)=1)</f>
        <v>1</v>
      </c>
    </row>
    <row r="1910" spans="1:5">
      <c r="A1910" t="str">
        <f>检查点拆解!A1910</f>
        <v>Q0274</v>
      </c>
      <c r="B1910" t="str">
        <f>检查点拆解!D1910</f>
        <v>C03</v>
      </c>
      <c r="C1910" s="2">
        <f>--(COUNTIFS($A$2:A1910,A1910,$B$2:B1910,B1910)=1)</f>
        <v>1</v>
      </c>
      <c r="D1910" t="str">
        <f>检查点拆解!F1910</f>
        <v>D02.01.01</v>
      </c>
      <c r="E1910" s="2">
        <f>--(COUNTIFS($A$2:A1910,A1910,$D$2:D1910,D1910)=1)</f>
        <v>1</v>
      </c>
    </row>
    <row r="1911" spans="1:5">
      <c r="A1911" t="str">
        <f>检查点拆解!A1911</f>
        <v>Q0274</v>
      </c>
      <c r="B1911" t="str">
        <f>检查点拆解!D1911</f>
        <v>C07</v>
      </c>
      <c r="C1911" s="2">
        <f>--(COUNTIFS($A$2:A1911,A1911,$B$2:B1911,B1911)=1)</f>
        <v>1</v>
      </c>
      <c r="D1911" t="str">
        <f>检查点拆解!F1911</f>
        <v>D03.02.01</v>
      </c>
      <c r="E1911" s="2">
        <f>--(COUNTIFS($A$2:A1911,A1911,$D$2:D1911,D1911)=1)</f>
        <v>1</v>
      </c>
    </row>
    <row r="1912" spans="1:5">
      <c r="A1912" t="str">
        <f>检查点拆解!A1912</f>
        <v>Q0274</v>
      </c>
      <c r="B1912" t="str">
        <f>检查点拆解!D1912</f>
        <v>C05</v>
      </c>
      <c r="C1912" s="2">
        <f>--(COUNTIFS($A$2:A1912,A1912,$B$2:B1912,B1912)=1)</f>
        <v>1</v>
      </c>
      <c r="D1912" t="str">
        <f>检查点拆解!F1912</f>
        <v>D02.03.02</v>
      </c>
      <c r="E1912" s="2">
        <f>--(COUNTIFS($A$2:A1912,A1912,$D$2:D1912,D1912)=1)</f>
        <v>1</v>
      </c>
    </row>
    <row r="1913" spans="1:5">
      <c r="A1913" t="str">
        <f>检查点拆解!A1913</f>
        <v>Q0275</v>
      </c>
      <c r="B1913" t="str">
        <f>检查点拆解!D1913</f>
        <v>C24</v>
      </c>
      <c r="C1913" s="2">
        <f>--(COUNTIFS($A$2:A1913,A1913,$B$2:B1913,B1913)=1)</f>
        <v>1</v>
      </c>
      <c r="D1913" t="str">
        <f>检查点拆解!F1913</f>
        <v>D09.02.02</v>
      </c>
      <c r="E1913" s="2">
        <f>--(COUNTIFS($A$2:A1913,A1913,$D$2:D1913,D1913)=1)</f>
        <v>1</v>
      </c>
    </row>
    <row r="1914" spans="1:5">
      <c r="A1914" t="str">
        <f>检查点拆解!A1914</f>
        <v>Q0275</v>
      </c>
      <c r="B1914" t="str">
        <f>检查点拆解!D1914</f>
        <v>C27</v>
      </c>
      <c r="C1914" s="2">
        <f>--(COUNTIFS($A$2:A1914,A1914,$B$2:B1914,B1914)=1)</f>
        <v>1</v>
      </c>
      <c r="D1914" t="str">
        <f>检查点拆解!F1914</f>
        <v>D11.02.02</v>
      </c>
      <c r="E1914" s="2">
        <f>--(COUNTIFS($A$2:A1914,A1914,$D$2:D1914,D1914)=1)</f>
        <v>1</v>
      </c>
    </row>
    <row r="1915" spans="1:5">
      <c r="A1915" t="str">
        <f>检查点拆解!A1915</f>
        <v>Q0275</v>
      </c>
      <c r="B1915" t="str">
        <f>检查点拆解!D1915</f>
        <v>C27</v>
      </c>
      <c r="C1915" s="2">
        <f>--(COUNTIFS($A$2:A1915,A1915,$B$2:B1915,B1915)=1)</f>
        <v>0</v>
      </c>
      <c r="D1915" t="str">
        <f>检查点拆解!F1915</f>
        <v>D11.01.02</v>
      </c>
      <c r="E1915" s="2">
        <f>--(COUNTIFS($A$2:A1915,A1915,$D$2:D1915,D1915)=1)</f>
        <v>1</v>
      </c>
    </row>
    <row r="1916" spans="1:5">
      <c r="A1916" t="str">
        <f>检查点拆解!A1916</f>
        <v>Q0275</v>
      </c>
      <c r="B1916" t="str">
        <f>检查点拆解!D1916</f>
        <v>C24</v>
      </c>
      <c r="C1916" s="2">
        <f>--(COUNTIFS($A$2:A1916,A1916,$B$2:B1916,B1916)=1)</f>
        <v>0</v>
      </c>
      <c r="D1916" t="str">
        <f>检查点拆解!F1916</f>
        <v>D09.02.03</v>
      </c>
      <c r="E1916" s="2">
        <f>--(COUNTIFS($A$2:A1916,A1916,$D$2:D1916,D1916)=1)</f>
        <v>1</v>
      </c>
    </row>
    <row r="1917" spans="1:5">
      <c r="A1917" t="str">
        <f>检查点拆解!A1917</f>
        <v>Q0276</v>
      </c>
      <c r="B1917" t="str">
        <f>检查点拆解!D1917</f>
        <v>C30</v>
      </c>
      <c r="C1917" s="2">
        <f>--(COUNTIFS($A$2:A1917,A1917,$B$2:B1917,B1917)=1)</f>
        <v>1</v>
      </c>
      <c r="D1917" t="str">
        <f>检查点拆解!F1917</f>
        <v>D15.01.02</v>
      </c>
      <c r="E1917" s="2">
        <f>--(COUNTIFS($A$2:A1917,A1917,$D$2:D1917,D1917)=1)</f>
        <v>1</v>
      </c>
    </row>
    <row r="1918" spans="1:5">
      <c r="A1918" t="str">
        <f>检查点拆解!A1918</f>
        <v>Q0276</v>
      </c>
      <c r="B1918" t="str">
        <f>检查点拆解!D1918</f>
        <v>C27</v>
      </c>
      <c r="C1918" s="2">
        <f>--(COUNTIFS($A$2:A1918,A1918,$B$2:B1918,B1918)=1)</f>
        <v>1</v>
      </c>
      <c r="D1918" t="str">
        <f>检查点拆解!F1918</f>
        <v>D11.02.01</v>
      </c>
      <c r="E1918" s="2">
        <f>--(COUNTIFS($A$2:A1918,A1918,$D$2:D1918,D1918)=1)</f>
        <v>1</v>
      </c>
    </row>
    <row r="1919" spans="1:5">
      <c r="A1919" t="str">
        <f>检查点拆解!A1919</f>
        <v>Q0276</v>
      </c>
      <c r="B1919" t="str">
        <f>检查点拆解!D1919</f>
        <v>C27</v>
      </c>
      <c r="C1919" s="2">
        <f>--(COUNTIFS($A$2:A1919,A1919,$B$2:B1919,B1919)=1)</f>
        <v>0</v>
      </c>
      <c r="D1919" t="str">
        <f>检查点拆解!F1919</f>
        <v>D11.02.03</v>
      </c>
      <c r="E1919" s="2">
        <f>--(COUNTIFS($A$2:A1919,A1919,$D$2:D1919,D1919)=1)</f>
        <v>1</v>
      </c>
    </row>
    <row r="1920" spans="1:5">
      <c r="A1920" t="str">
        <f>检查点拆解!A1920</f>
        <v>Q0276</v>
      </c>
      <c r="B1920" t="str">
        <f>检查点拆解!D1920</f>
        <v>C24</v>
      </c>
      <c r="C1920" s="2">
        <f>--(COUNTIFS($A$2:A1920,A1920,$B$2:B1920,B1920)=1)</f>
        <v>1</v>
      </c>
      <c r="D1920" t="str">
        <f>检查点拆解!F1920</f>
        <v>D09.02.03</v>
      </c>
      <c r="E1920" s="2">
        <f>--(COUNTIFS($A$2:A1920,A1920,$D$2:D1920,D1920)=1)</f>
        <v>1</v>
      </c>
    </row>
    <row r="1921" spans="1:5">
      <c r="A1921" t="str">
        <f>检查点拆解!A1921</f>
        <v>Q0276</v>
      </c>
      <c r="B1921" t="str">
        <f>检查点拆解!D1921</f>
        <v>C17</v>
      </c>
      <c r="C1921" s="2">
        <f>--(COUNTIFS($A$2:A1921,A1921,$B$2:B1921,B1921)=1)</f>
        <v>1</v>
      </c>
      <c r="D1921" t="str">
        <f>检查点拆解!F1921</f>
        <v>D06.01.02</v>
      </c>
      <c r="E1921" s="2">
        <f>--(COUNTIFS($A$2:A1921,A1921,$D$2:D1921,D1921)=1)</f>
        <v>1</v>
      </c>
    </row>
    <row r="1922" spans="1:5">
      <c r="A1922" t="str">
        <f>检查点拆解!A1922</f>
        <v>Q0276</v>
      </c>
      <c r="B1922" t="str">
        <f>检查点拆解!D1922</f>
        <v>C25</v>
      </c>
      <c r="C1922" s="2">
        <f>--(COUNTIFS($A$2:A1922,A1922,$B$2:B1922,B1922)=1)</f>
        <v>1</v>
      </c>
      <c r="D1922" t="str">
        <f>检查点拆解!F1922</f>
        <v>D10.01.01</v>
      </c>
      <c r="E1922" s="2">
        <f>--(COUNTIFS($A$2:A1922,A1922,$D$2:D1922,D1922)=1)</f>
        <v>1</v>
      </c>
    </row>
    <row r="1923" spans="1:5">
      <c r="A1923" t="str">
        <f>检查点拆解!A1923</f>
        <v>Q0277</v>
      </c>
      <c r="B1923" t="str">
        <f>检查点拆解!D1923</f>
        <v>C27</v>
      </c>
      <c r="C1923" s="2">
        <f>--(COUNTIFS($A$2:A1923,A1923,$B$2:B1923,B1923)=1)</f>
        <v>1</v>
      </c>
      <c r="D1923" t="str">
        <f>检查点拆解!F1923</f>
        <v>D11.02.01</v>
      </c>
      <c r="E1923" s="2">
        <f>--(COUNTIFS($A$2:A1923,A1923,$D$2:D1923,D1923)=1)</f>
        <v>1</v>
      </c>
    </row>
    <row r="1924" spans="1:5">
      <c r="A1924" t="str">
        <f>检查点拆解!A1924</f>
        <v>Q0277</v>
      </c>
      <c r="B1924" t="str">
        <f>检查点拆解!D1924</f>
        <v>C15</v>
      </c>
      <c r="C1924" s="2">
        <f>--(COUNTIFS($A$2:A1924,A1924,$B$2:B1924,B1924)=1)</f>
        <v>1</v>
      </c>
      <c r="D1924" t="str">
        <f>检查点拆解!F1924</f>
        <v>D05.02.03</v>
      </c>
      <c r="E1924" s="2">
        <f>--(COUNTIFS($A$2:A1924,A1924,$D$2:D1924,D1924)=1)</f>
        <v>1</v>
      </c>
    </row>
    <row r="1925" spans="1:5">
      <c r="A1925" t="str">
        <f>检查点拆解!A1925</f>
        <v>Q0277</v>
      </c>
      <c r="B1925" t="str">
        <f>检查点拆解!D1925</f>
        <v>C04</v>
      </c>
      <c r="C1925" s="2">
        <f>--(COUNTIFS($A$2:A1925,A1925,$B$2:B1925,B1925)=1)</f>
        <v>1</v>
      </c>
      <c r="D1925" t="str">
        <f>检查点拆解!F1925</f>
        <v>D02.02.01</v>
      </c>
      <c r="E1925" s="2">
        <f>--(COUNTIFS($A$2:A1925,A1925,$D$2:D1925,D1925)=1)</f>
        <v>1</v>
      </c>
    </row>
    <row r="1926" spans="1:5">
      <c r="A1926" t="str">
        <f>检查点拆解!A1926</f>
        <v>Q0278</v>
      </c>
      <c r="B1926" t="str">
        <f>检查点拆解!D1926</f>
        <v>C11</v>
      </c>
      <c r="C1926" s="2">
        <f>--(COUNTIFS($A$2:A1926,A1926,$B$2:B1926,B1926)=1)</f>
        <v>1</v>
      </c>
      <c r="D1926" t="str">
        <f>检查点拆解!F1926</f>
        <v>D04.03.02</v>
      </c>
      <c r="E1926" s="2">
        <f>--(COUNTIFS($A$2:A1926,A1926,$D$2:D1926,D1926)=1)</f>
        <v>1</v>
      </c>
    </row>
    <row r="1927" spans="1:5">
      <c r="A1927" t="str">
        <f>检查点拆解!A1927</f>
        <v>Q0278</v>
      </c>
      <c r="B1927" t="str">
        <f>检查点拆解!D1927</f>
        <v>C25</v>
      </c>
      <c r="C1927" s="2">
        <f>--(COUNTIFS($A$2:A1927,A1927,$B$2:B1927,B1927)=1)</f>
        <v>1</v>
      </c>
      <c r="D1927" t="str">
        <f>检查点拆解!F1927</f>
        <v>D10.01.01</v>
      </c>
      <c r="E1927" s="2">
        <f>--(COUNTIFS($A$2:A1927,A1927,$D$2:D1927,D1927)=1)</f>
        <v>1</v>
      </c>
    </row>
    <row r="1928" spans="1:5">
      <c r="A1928" t="str">
        <f>检查点拆解!A1928</f>
        <v>Q0278</v>
      </c>
      <c r="B1928" t="str">
        <f>检查点拆解!D1928</f>
        <v>C28</v>
      </c>
      <c r="C1928" s="2">
        <f>--(COUNTIFS($A$2:A1928,A1928,$B$2:B1928,B1928)=1)</f>
        <v>1</v>
      </c>
      <c r="D1928" t="str">
        <f>检查点拆解!F1928</f>
        <v>D12.01.02</v>
      </c>
      <c r="E1928" s="2">
        <f>--(COUNTIFS($A$2:A1928,A1928,$D$2:D1928,D1928)=1)</f>
        <v>1</v>
      </c>
    </row>
    <row r="1929" spans="1:5">
      <c r="A1929" t="str">
        <f>检查点拆解!A1929</f>
        <v>Q0278</v>
      </c>
      <c r="B1929" t="str">
        <f>检查点拆解!D1929</f>
        <v>C03</v>
      </c>
      <c r="C1929" s="2">
        <f>--(COUNTIFS($A$2:A1929,A1929,$B$2:B1929,B1929)=1)</f>
        <v>1</v>
      </c>
      <c r="D1929" t="str">
        <f>检查点拆解!F1929</f>
        <v>D02.01.01</v>
      </c>
      <c r="E1929" s="2">
        <f>--(COUNTIFS($A$2:A1929,A1929,$D$2:D1929,D1929)=1)</f>
        <v>1</v>
      </c>
    </row>
    <row r="1930" spans="1:5">
      <c r="A1930" t="str">
        <f>检查点拆解!A1930</f>
        <v>Q0278</v>
      </c>
      <c r="B1930" t="str">
        <f>检查点拆解!D1930</f>
        <v>C05</v>
      </c>
      <c r="C1930" s="2">
        <f>--(COUNTIFS($A$2:A1930,A1930,$B$2:B1930,B1930)=1)</f>
        <v>1</v>
      </c>
      <c r="D1930" t="str">
        <f>检查点拆解!F1930</f>
        <v>D02.03.02</v>
      </c>
      <c r="E1930" s="2">
        <f>--(COUNTIFS($A$2:A1930,A1930,$D$2:D1930,D1930)=1)</f>
        <v>1</v>
      </c>
    </row>
    <row r="1931" spans="1:5">
      <c r="A1931" t="str">
        <f>检查点拆解!A1931</f>
        <v>Q0278</v>
      </c>
      <c r="B1931" t="str">
        <f>检查点拆解!D1931</f>
        <v>C08</v>
      </c>
      <c r="C1931" s="2">
        <f>--(COUNTIFS($A$2:A1931,A1931,$B$2:B1931,B1931)=1)</f>
        <v>1</v>
      </c>
      <c r="D1931" t="str">
        <f>检查点拆解!F1931</f>
        <v>D03.03.01</v>
      </c>
      <c r="E1931" s="2">
        <f>--(COUNTIFS($A$2:A1931,A1931,$D$2:D1931,D1931)=1)</f>
        <v>1</v>
      </c>
    </row>
    <row r="1932" spans="1:5">
      <c r="A1932" t="str">
        <f>检查点拆解!A1932</f>
        <v>Q0279</v>
      </c>
      <c r="B1932" t="str">
        <f>检查点拆解!D1932</f>
        <v>C30</v>
      </c>
      <c r="C1932" s="2">
        <f>--(COUNTIFS($A$2:A1932,A1932,$B$2:B1932,B1932)=1)</f>
        <v>1</v>
      </c>
      <c r="D1932" t="str">
        <f>检查点拆解!F1932</f>
        <v>D15.01.02</v>
      </c>
      <c r="E1932" s="2">
        <f>--(COUNTIFS($A$2:A1932,A1932,$D$2:D1932,D1932)=1)</f>
        <v>1</v>
      </c>
    </row>
    <row r="1933" spans="1:5">
      <c r="A1933" t="str">
        <f>检查点拆解!A1933</f>
        <v>Q0279</v>
      </c>
      <c r="B1933" t="str">
        <f>检查点拆解!D1933</f>
        <v>C24</v>
      </c>
      <c r="C1933" s="2">
        <f>--(COUNTIFS($A$2:A1933,A1933,$B$2:B1933,B1933)=1)</f>
        <v>1</v>
      </c>
      <c r="D1933" t="str">
        <f>检查点拆解!F1933</f>
        <v>D09.02.02</v>
      </c>
      <c r="E1933" s="2">
        <f>--(COUNTIFS($A$2:A1933,A1933,$D$2:D1933,D1933)=1)</f>
        <v>1</v>
      </c>
    </row>
    <row r="1934" spans="1:5">
      <c r="A1934" t="str">
        <f>检查点拆解!A1934</f>
        <v>Q0279</v>
      </c>
      <c r="B1934" t="str">
        <f>检查点拆解!D1934</f>
        <v>C06</v>
      </c>
      <c r="C1934" s="2">
        <f>--(COUNTIFS($A$2:A1934,A1934,$B$2:B1934,B1934)=1)</f>
        <v>1</v>
      </c>
      <c r="D1934" t="str">
        <f>检查点拆解!F1934</f>
        <v>D03.01.03</v>
      </c>
      <c r="E1934" s="2">
        <f>--(COUNTIFS($A$2:A1934,A1934,$D$2:D1934,D1934)=1)</f>
        <v>1</v>
      </c>
    </row>
    <row r="1935" spans="1:5">
      <c r="A1935" t="str">
        <f>检查点拆解!A1935</f>
        <v>Q0279</v>
      </c>
      <c r="B1935" t="str">
        <f>检查点拆解!D1935</f>
        <v>C18</v>
      </c>
      <c r="C1935" s="2">
        <f>--(COUNTIFS($A$2:A1935,A1935,$B$2:B1935,B1935)=1)</f>
        <v>1</v>
      </c>
      <c r="D1935" t="str">
        <f>检查点拆解!F1935</f>
        <v>D07.01.01</v>
      </c>
      <c r="E1935" s="2">
        <f>--(COUNTIFS($A$2:A1935,A1935,$D$2:D1935,D1935)=1)</f>
        <v>1</v>
      </c>
    </row>
    <row r="1936" spans="1:5">
      <c r="A1936" t="str">
        <f>检查点拆解!A1936</f>
        <v>Q0279</v>
      </c>
      <c r="B1936" t="str">
        <f>检查点拆解!D1936</f>
        <v>C24</v>
      </c>
      <c r="C1936" s="2">
        <f>--(COUNTIFS($A$2:A1936,A1936,$B$2:B1936,B1936)=1)</f>
        <v>0</v>
      </c>
      <c r="D1936" t="str">
        <f>检查点拆解!F1936</f>
        <v>D09.02.03</v>
      </c>
      <c r="E1936" s="2">
        <f>--(COUNTIFS($A$2:A1936,A1936,$D$2:D1936,D1936)=1)</f>
        <v>1</v>
      </c>
    </row>
    <row r="1937" spans="1:5">
      <c r="A1937" t="str">
        <f>检查点拆解!A1937</f>
        <v>Q0279</v>
      </c>
      <c r="B1937" t="str">
        <f>检查点拆解!D1937</f>
        <v>C25</v>
      </c>
      <c r="C1937" s="2">
        <f>--(COUNTIFS($A$2:A1937,A1937,$B$2:B1937,B1937)=1)</f>
        <v>1</v>
      </c>
      <c r="D1937" t="str">
        <f>检查点拆解!F1937</f>
        <v>D10.01.01</v>
      </c>
      <c r="E1937" s="2">
        <f>--(COUNTIFS($A$2:A1937,A1937,$D$2:D1937,D1937)=1)</f>
        <v>1</v>
      </c>
    </row>
    <row r="1938" spans="1:5">
      <c r="A1938" t="str">
        <f>检查点拆解!A1938</f>
        <v>Q0280</v>
      </c>
      <c r="B1938" t="str">
        <f>检查点拆解!D1938</f>
        <v>C30</v>
      </c>
      <c r="C1938" s="2">
        <f>--(COUNTIFS($A$2:A1938,A1938,$B$2:B1938,B1938)=1)</f>
        <v>1</v>
      </c>
      <c r="D1938" t="str">
        <f>检查点拆解!F1938</f>
        <v>D15.01.02</v>
      </c>
      <c r="E1938" s="2">
        <f>--(COUNTIFS($A$2:A1938,A1938,$D$2:D1938,D1938)=1)</f>
        <v>1</v>
      </c>
    </row>
    <row r="1939" spans="1:5">
      <c r="A1939" t="str">
        <f>检查点拆解!A1939</f>
        <v>Q0280</v>
      </c>
      <c r="B1939" t="str">
        <f>检查点拆解!D1939</f>
        <v>C12</v>
      </c>
      <c r="C1939" s="2">
        <f>--(COUNTIFS($A$2:A1939,A1939,$B$2:B1939,B1939)=1)</f>
        <v>1</v>
      </c>
      <c r="D1939" t="str">
        <f>检查点拆解!F1939</f>
        <v>D04.03.03</v>
      </c>
      <c r="E1939" s="2">
        <f>--(COUNTIFS($A$2:A1939,A1939,$D$2:D1939,D1939)=1)</f>
        <v>1</v>
      </c>
    </row>
    <row r="1940" spans="1:5">
      <c r="A1940" t="str">
        <f>检查点拆解!A1940</f>
        <v>Q0280</v>
      </c>
      <c r="B1940" t="str">
        <f>检查点拆解!D1940</f>
        <v>C23</v>
      </c>
      <c r="C1940" s="2">
        <f>--(COUNTIFS($A$2:A1940,A1940,$B$2:B1940,B1940)=1)</f>
        <v>1</v>
      </c>
      <c r="D1940" t="str">
        <f>检查点拆解!F1940</f>
        <v>D09.01.02</v>
      </c>
      <c r="E1940" s="2">
        <f>--(COUNTIFS($A$2:A1940,A1940,$D$2:D1940,D1940)=1)</f>
        <v>1</v>
      </c>
    </row>
    <row r="1941" spans="1:5">
      <c r="A1941" t="str">
        <f>检查点拆解!A1941</f>
        <v>Q0280</v>
      </c>
      <c r="B1941" t="str">
        <f>检查点拆解!D1941</f>
        <v>C24</v>
      </c>
      <c r="C1941" s="2">
        <f>--(COUNTIFS($A$2:A1941,A1941,$B$2:B1941,B1941)=1)</f>
        <v>1</v>
      </c>
      <c r="D1941" t="str">
        <f>检查点拆解!F1941</f>
        <v>D09.03.03</v>
      </c>
      <c r="E1941" s="2">
        <f>--(COUNTIFS($A$2:A1941,A1941,$D$2:D1941,D1941)=1)</f>
        <v>1</v>
      </c>
    </row>
    <row r="1942" spans="1:5">
      <c r="A1942" t="str">
        <f>检查点拆解!A1942</f>
        <v>Q0280</v>
      </c>
      <c r="B1942" t="str">
        <f>检查点拆解!D1942</f>
        <v>C24</v>
      </c>
      <c r="C1942" s="2">
        <f>--(COUNTIFS($A$2:A1942,A1942,$B$2:B1942,B1942)=1)</f>
        <v>0</v>
      </c>
      <c r="D1942" t="str">
        <f>检查点拆解!F1942</f>
        <v>D09.02.03</v>
      </c>
      <c r="E1942" s="2">
        <f>--(COUNTIFS($A$2:A1942,A1942,$D$2:D1942,D1942)=1)</f>
        <v>1</v>
      </c>
    </row>
    <row r="1943" spans="1:5">
      <c r="A1943" t="str">
        <f>检查点拆解!A1943</f>
        <v>Q0280</v>
      </c>
      <c r="B1943" t="str">
        <f>检查点拆解!D1943</f>
        <v>C25</v>
      </c>
      <c r="C1943" s="2">
        <f>--(COUNTIFS($A$2:A1943,A1943,$B$2:B1943,B1943)=1)</f>
        <v>1</v>
      </c>
      <c r="D1943" t="str">
        <f>检查点拆解!F1943</f>
        <v>D10.01.01</v>
      </c>
      <c r="E1943" s="2">
        <f>--(COUNTIFS($A$2:A1943,A1943,$D$2:D1943,D1943)=1)</f>
        <v>1</v>
      </c>
    </row>
    <row r="1944" spans="1:5">
      <c r="A1944" t="str">
        <f>检查点拆解!A1944</f>
        <v>Q0281</v>
      </c>
      <c r="B1944" t="str">
        <f>检查点拆解!D1944</f>
        <v>C19</v>
      </c>
      <c r="C1944" s="2">
        <f>--(COUNTIFS($A$2:A1944,A1944,$B$2:B1944,B1944)=1)</f>
        <v>1</v>
      </c>
      <c r="D1944" t="str">
        <f>检查点拆解!F1944</f>
        <v>D07.02.03</v>
      </c>
      <c r="E1944" s="2">
        <f>--(COUNTIFS($A$2:A1944,A1944,$D$2:D1944,D1944)=1)</f>
        <v>1</v>
      </c>
    </row>
    <row r="1945" spans="1:5">
      <c r="A1945" t="str">
        <f>检查点拆解!A1945</f>
        <v>Q0281</v>
      </c>
      <c r="B1945" t="str">
        <f>检查点拆解!D1945</f>
        <v>C27</v>
      </c>
      <c r="C1945" s="2">
        <f>--(COUNTIFS($A$2:A1945,A1945,$B$2:B1945,B1945)=1)</f>
        <v>1</v>
      </c>
      <c r="D1945" t="str">
        <f>检查点拆解!F1945</f>
        <v>D11.01.03</v>
      </c>
      <c r="E1945" s="2">
        <f>--(COUNTIFS($A$2:A1945,A1945,$D$2:D1945,D1945)=1)</f>
        <v>1</v>
      </c>
    </row>
    <row r="1946" spans="1:5">
      <c r="A1946" t="str">
        <f>检查点拆解!A1946</f>
        <v>Q0281</v>
      </c>
      <c r="B1946" t="str">
        <f>检查点拆解!D1946</f>
        <v>C25</v>
      </c>
      <c r="C1946" s="2">
        <f>--(COUNTIFS($A$2:A1946,A1946,$B$2:B1946,B1946)=1)</f>
        <v>1</v>
      </c>
      <c r="D1946" t="str">
        <f>检查点拆解!F1946</f>
        <v>D10.01.01</v>
      </c>
      <c r="E1946" s="2">
        <f>--(COUNTIFS($A$2:A1946,A1946,$D$2:D1946,D1946)=1)</f>
        <v>1</v>
      </c>
    </row>
    <row r="1947" spans="1:5">
      <c r="A1947" t="str">
        <f>检查点拆解!A1947</f>
        <v>Q0281</v>
      </c>
      <c r="B1947" t="str">
        <f>检查点拆解!D1947</f>
        <v>C08</v>
      </c>
      <c r="C1947" s="2">
        <f>--(COUNTIFS($A$2:A1947,A1947,$B$2:B1947,B1947)=1)</f>
        <v>1</v>
      </c>
      <c r="D1947" t="str">
        <f>检查点拆解!F1947</f>
        <v>D04.01.02</v>
      </c>
      <c r="E1947" s="2">
        <f>--(COUNTIFS($A$2:A1947,A1947,$D$2:D1947,D1947)=1)</f>
        <v>1</v>
      </c>
    </row>
    <row r="1948" spans="1:5">
      <c r="A1948" t="str">
        <f>检查点拆解!A1948</f>
        <v>Q0282</v>
      </c>
      <c r="B1948" t="str">
        <f>检查点拆解!D1948</f>
        <v>C27</v>
      </c>
      <c r="C1948" s="2">
        <f>--(COUNTIFS($A$2:A1948,A1948,$B$2:B1948,B1948)=1)</f>
        <v>1</v>
      </c>
      <c r="D1948" t="str">
        <f>检查点拆解!F1948</f>
        <v>D11.01.02</v>
      </c>
      <c r="E1948" s="2">
        <f>--(COUNTIFS($A$2:A1948,A1948,$D$2:D1948,D1948)=1)</f>
        <v>1</v>
      </c>
    </row>
    <row r="1949" spans="1:5">
      <c r="A1949" t="str">
        <f>检查点拆解!A1949</f>
        <v>Q0282</v>
      </c>
      <c r="B1949" t="str">
        <f>检查点拆解!D1949</f>
        <v>C24</v>
      </c>
      <c r="C1949" s="2">
        <f>--(COUNTIFS($A$2:A1949,A1949,$B$2:B1949,B1949)=1)</f>
        <v>1</v>
      </c>
      <c r="D1949" t="str">
        <f>检查点拆解!F1949</f>
        <v>D09.03.03</v>
      </c>
      <c r="E1949" s="2">
        <f>--(COUNTIFS($A$2:A1949,A1949,$D$2:D1949,D1949)=1)</f>
        <v>1</v>
      </c>
    </row>
    <row r="1950" spans="1:5">
      <c r="A1950" t="str">
        <f>检查点拆解!A1950</f>
        <v>Q0282</v>
      </c>
      <c r="B1950" t="str">
        <f>检查点拆解!D1950</f>
        <v>C24</v>
      </c>
      <c r="C1950" s="2">
        <f>--(COUNTIFS($A$2:A1950,A1950,$B$2:B1950,B1950)=1)</f>
        <v>0</v>
      </c>
      <c r="D1950" t="str">
        <f>检查点拆解!F1950</f>
        <v>D09.02.03</v>
      </c>
      <c r="E1950" s="2">
        <f>--(COUNTIFS($A$2:A1950,A1950,$D$2:D1950,D1950)=1)</f>
        <v>1</v>
      </c>
    </row>
    <row r="1951" spans="1:5">
      <c r="A1951" t="str">
        <f>检查点拆解!A1951</f>
        <v>Q0282</v>
      </c>
      <c r="B1951" t="str">
        <f>检查点拆解!D1951</f>
        <v>C28</v>
      </c>
      <c r="C1951" s="2">
        <f>--(COUNTIFS($A$2:A1951,A1951,$B$2:B1951,B1951)=1)</f>
        <v>1</v>
      </c>
      <c r="D1951" t="str">
        <f>检查点拆解!F1951</f>
        <v>D12.02.01</v>
      </c>
      <c r="E1951" s="2">
        <f>--(COUNTIFS($A$2:A1951,A1951,$D$2:D1951,D1951)=1)</f>
        <v>1</v>
      </c>
    </row>
    <row r="1952" spans="1:5">
      <c r="A1952" t="str">
        <f>检查点拆解!A1952</f>
        <v>Q0283</v>
      </c>
      <c r="B1952" t="str">
        <f>检查点拆解!D1952</f>
        <v>C29</v>
      </c>
      <c r="C1952" s="2">
        <f>--(COUNTIFS($A$2:A1952,A1952,$B$2:B1952,B1952)=1)</f>
        <v>1</v>
      </c>
      <c r="D1952" t="str">
        <f>检查点拆解!F1952</f>
        <v>D14.01.01</v>
      </c>
      <c r="E1952" s="2">
        <f>--(COUNTIFS($A$2:A1952,A1952,$D$2:D1952,D1952)=1)</f>
        <v>1</v>
      </c>
    </row>
    <row r="1953" spans="1:5">
      <c r="A1953" t="str">
        <f>检查点拆解!A1953</f>
        <v>Q0283</v>
      </c>
      <c r="B1953" t="str">
        <f>检查点拆解!D1953</f>
        <v>C29</v>
      </c>
      <c r="C1953" s="2">
        <f>--(COUNTIFS($A$2:A1953,A1953,$B$2:B1953,B1953)=1)</f>
        <v>0</v>
      </c>
      <c r="D1953" t="str">
        <f>检查点拆解!F1953</f>
        <v>D14.02.01</v>
      </c>
      <c r="E1953" s="2">
        <f>--(COUNTIFS($A$2:A1953,A1953,$D$2:D1953,D1953)=1)</f>
        <v>1</v>
      </c>
    </row>
    <row r="1954" spans="1:5">
      <c r="A1954" t="str">
        <f>检查点拆解!A1954</f>
        <v>Q0283</v>
      </c>
      <c r="B1954" t="str">
        <f>检查点拆解!D1954</f>
        <v>C25</v>
      </c>
      <c r="C1954" s="2">
        <f>--(COUNTIFS($A$2:A1954,A1954,$B$2:B1954,B1954)=1)</f>
        <v>1</v>
      </c>
      <c r="D1954" t="str">
        <f>检查点拆解!F1954</f>
        <v>D10.01.02</v>
      </c>
      <c r="E1954" s="2">
        <f>--(COUNTIFS($A$2:A1954,A1954,$D$2:D1954,D1954)=1)</f>
        <v>1</v>
      </c>
    </row>
    <row r="1955" spans="1:5">
      <c r="A1955" t="str">
        <f>检查点拆解!A1955</f>
        <v>Q0283</v>
      </c>
      <c r="B1955" t="str">
        <f>检查点拆解!D1955</f>
        <v>C06</v>
      </c>
      <c r="C1955" s="2">
        <f>--(COUNTIFS($A$2:A1955,A1955,$B$2:B1955,B1955)=1)</f>
        <v>1</v>
      </c>
      <c r="D1955" t="str">
        <f>检查点拆解!F1955</f>
        <v>D03.01.02</v>
      </c>
      <c r="E1955" s="2">
        <f>--(COUNTIFS($A$2:A1955,A1955,$D$2:D1955,D1955)=1)</f>
        <v>1</v>
      </c>
    </row>
    <row r="1956" spans="1:5">
      <c r="A1956" t="str">
        <f>检查点拆解!A1956</f>
        <v>Q0283</v>
      </c>
      <c r="B1956" t="str">
        <f>检查点拆解!D1956</f>
        <v>C28</v>
      </c>
      <c r="C1956" s="2">
        <f>--(COUNTIFS($A$2:A1956,A1956,$B$2:B1956,B1956)=1)</f>
        <v>1</v>
      </c>
      <c r="D1956" t="str">
        <f>检查点拆解!F1956</f>
        <v>D12.01.01</v>
      </c>
      <c r="E1956" s="2">
        <f>--(COUNTIFS($A$2:A1956,A1956,$D$2:D1956,D1956)=1)</f>
        <v>1</v>
      </c>
    </row>
    <row r="1957" spans="1:5">
      <c r="A1957" t="str">
        <f>检查点拆解!A1957</f>
        <v>Q0283</v>
      </c>
      <c r="B1957" t="str">
        <f>检查点拆解!D1957</f>
        <v>C03</v>
      </c>
      <c r="C1957" s="2">
        <f>--(COUNTIFS($A$2:A1957,A1957,$B$2:B1957,B1957)=1)</f>
        <v>1</v>
      </c>
      <c r="D1957" t="str">
        <f>检查点拆解!F1957</f>
        <v>D02.01.01</v>
      </c>
      <c r="E1957" s="2">
        <f>--(COUNTIFS($A$2:A1957,A1957,$D$2:D1957,D1957)=1)</f>
        <v>1</v>
      </c>
    </row>
    <row r="1958" spans="1:5">
      <c r="A1958" t="str">
        <f>检查点拆解!A1958</f>
        <v>Q0284</v>
      </c>
      <c r="B1958" t="str">
        <f>检查点拆解!D1958</f>
        <v>C11</v>
      </c>
      <c r="C1958" s="2">
        <f>--(COUNTIFS($A$2:A1958,A1958,$B$2:B1958,B1958)=1)</f>
        <v>1</v>
      </c>
      <c r="D1958" t="str">
        <f>检查点拆解!F1958</f>
        <v>D04.03.02</v>
      </c>
      <c r="E1958" s="2">
        <f>--(COUNTIFS($A$2:A1958,A1958,$D$2:D1958,D1958)=1)</f>
        <v>1</v>
      </c>
    </row>
    <row r="1959" spans="1:5">
      <c r="A1959" t="str">
        <f>检查点拆解!A1959</f>
        <v>Q0284</v>
      </c>
      <c r="B1959" t="str">
        <f>检查点拆解!D1959</f>
        <v>C24</v>
      </c>
      <c r="C1959" s="2">
        <f>--(COUNTIFS($A$2:A1959,A1959,$B$2:B1959,B1959)=1)</f>
        <v>1</v>
      </c>
      <c r="D1959" t="str">
        <f>检查点拆解!F1959</f>
        <v>D09.03.03</v>
      </c>
      <c r="E1959" s="2">
        <f>--(COUNTIFS($A$2:A1959,A1959,$D$2:D1959,D1959)=1)</f>
        <v>1</v>
      </c>
    </row>
    <row r="1960" spans="1:5">
      <c r="A1960" t="str">
        <f>检查点拆解!A1960</f>
        <v>Q0284</v>
      </c>
      <c r="B1960" t="str">
        <f>检查点拆解!D1960</f>
        <v>C25</v>
      </c>
      <c r="C1960" s="2">
        <f>--(COUNTIFS($A$2:A1960,A1960,$B$2:B1960,B1960)=1)</f>
        <v>1</v>
      </c>
      <c r="D1960" t="str">
        <f>检查点拆解!F1960</f>
        <v>D10.01.01</v>
      </c>
      <c r="E1960" s="2">
        <f>--(COUNTIFS($A$2:A1960,A1960,$D$2:D1960,D1960)=1)</f>
        <v>1</v>
      </c>
    </row>
    <row r="1961" spans="1:5">
      <c r="A1961" t="str">
        <f>检查点拆解!A1961</f>
        <v>Q0284</v>
      </c>
      <c r="B1961" t="str">
        <f>检查点拆解!D1961</f>
        <v>C03</v>
      </c>
      <c r="C1961" s="2">
        <f>--(COUNTIFS($A$2:A1961,A1961,$B$2:B1961,B1961)=1)</f>
        <v>1</v>
      </c>
      <c r="D1961" t="str">
        <f>检查点拆解!F1961</f>
        <v>D02.01.01</v>
      </c>
      <c r="E1961" s="2">
        <f>--(COUNTIFS($A$2:A1961,A1961,$D$2:D1961,D1961)=1)</f>
        <v>1</v>
      </c>
    </row>
    <row r="1962" spans="1:5">
      <c r="A1962" t="str">
        <f>检查点拆解!A1962</f>
        <v>Q0284</v>
      </c>
      <c r="B1962" t="str">
        <f>检查点拆解!D1962</f>
        <v>C08</v>
      </c>
      <c r="C1962" s="2">
        <f>--(COUNTIFS($A$2:A1962,A1962,$B$2:B1962,B1962)=1)</f>
        <v>1</v>
      </c>
      <c r="D1962" t="str">
        <f>检查点拆解!F1962</f>
        <v>D03.03.01</v>
      </c>
      <c r="E1962" s="2">
        <f>--(COUNTIFS($A$2:A1962,A1962,$D$2:D1962,D1962)=1)</f>
        <v>1</v>
      </c>
    </row>
    <row r="1963" spans="1:5">
      <c r="A1963" t="str">
        <f>检查点拆解!A1963</f>
        <v>Q0285</v>
      </c>
      <c r="B1963" t="str">
        <f>检查点拆解!D1963</f>
        <v>C18</v>
      </c>
      <c r="C1963" s="2">
        <f>--(COUNTIFS($A$2:A1963,A1963,$B$2:B1963,B1963)=1)</f>
        <v>1</v>
      </c>
      <c r="D1963" t="str">
        <f>检查点拆解!F1963</f>
        <v>D07.01.02</v>
      </c>
      <c r="E1963" s="2">
        <f>--(COUNTIFS($A$2:A1963,A1963,$D$2:D1963,D1963)=1)</f>
        <v>1</v>
      </c>
    </row>
    <row r="1964" spans="1:5">
      <c r="A1964" t="str">
        <f>检查点拆解!A1964</f>
        <v>Q0285</v>
      </c>
      <c r="B1964" t="str">
        <f>检查点拆解!D1964</f>
        <v>C24</v>
      </c>
      <c r="C1964" s="2">
        <f>--(COUNTIFS($A$2:A1964,A1964,$B$2:B1964,B1964)=1)</f>
        <v>1</v>
      </c>
      <c r="D1964" t="str">
        <f>检查点拆解!F1964</f>
        <v>D09.03.03</v>
      </c>
      <c r="E1964" s="2">
        <f>--(COUNTIFS($A$2:A1964,A1964,$D$2:D1964,D1964)=1)</f>
        <v>1</v>
      </c>
    </row>
    <row r="1965" spans="1:5">
      <c r="A1965" t="str">
        <f>检查点拆解!A1965</f>
        <v>Q0285</v>
      </c>
      <c r="B1965" t="str">
        <f>检查点拆解!D1965</f>
        <v>C28</v>
      </c>
      <c r="C1965" s="2">
        <f>--(COUNTIFS($A$2:A1965,A1965,$B$2:B1965,B1965)=1)</f>
        <v>1</v>
      </c>
      <c r="D1965" t="str">
        <f>检查点拆解!F1965</f>
        <v>D13.01.02</v>
      </c>
      <c r="E1965" s="2">
        <f>--(COUNTIFS($A$2:A1965,A1965,$D$2:D1965,D1965)=1)</f>
        <v>1</v>
      </c>
    </row>
    <row r="1966" spans="1:5">
      <c r="A1966" t="str">
        <f>检查点拆解!A1966</f>
        <v>Q0285</v>
      </c>
      <c r="B1966" t="str">
        <f>检查点拆解!D1966</f>
        <v>C23</v>
      </c>
      <c r="C1966" s="2">
        <f>--(COUNTIFS($A$2:A1966,A1966,$B$2:B1966,B1966)=1)</f>
        <v>1</v>
      </c>
      <c r="D1966" t="str">
        <f>检查点拆解!F1966</f>
        <v>D09.01.01</v>
      </c>
      <c r="E1966" s="2">
        <f>--(COUNTIFS($A$2:A1966,A1966,$D$2:D1966,D1966)=1)</f>
        <v>1</v>
      </c>
    </row>
    <row r="1967" spans="1:5">
      <c r="A1967" t="str">
        <f>检查点拆解!A1967</f>
        <v>Q0285</v>
      </c>
      <c r="B1967" t="str">
        <f>检查点拆解!D1967</f>
        <v>C28</v>
      </c>
      <c r="C1967" s="2">
        <f>--(COUNTIFS($A$2:A1967,A1967,$B$2:B1967,B1967)=1)</f>
        <v>0</v>
      </c>
      <c r="D1967" t="str">
        <f>检查点拆解!F1967</f>
        <v>D12.01.02</v>
      </c>
      <c r="E1967" s="2">
        <f>--(COUNTIFS($A$2:A1967,A1967,$D$2:D1967,D1967)=1)</f>
        <v>1</v>
      </c>
    </row>
    <row r="1968" spans="1:5">
      <c r="A1968" t="str">
        <f>检查点拆解!A1968</f>
        <v>Q0286</v>
      </c>
      <c r="B1968" t="str">
        <f>检查点拆解!D1968</f>
        <v>C30</v>
      </c>
      <c r="C1968" s="2">
        <f>--(COUNTIFS($A$2:A1968,A1968,$B$2:B1968,B1968)=1)</f>
        <v>1</v>
      </c>
      <c r="D1968" t="str">
        <f>检查点拆解!F1968</f>
        <v>D15.01.02</v>
      </c>
      <c r="E1968" s="2">
        <f>--(COUNTIFS($A$2:A1968,A1968,$D$2:D1968,D1968)=1)</f>
        <v>1</v>
      </c>
    </row>
    <row r="1969" spans="1:5">
      <c r="A1969" t="str">
        <f>检查点拆解!A1969</f>
        <v>Q0286</v>
      </c>
      <c r="B1969" t="str">
        <f>检查点拆解!D1969</f>
        <v>C15</v>
      </c>
      <c r="C1969" s="2">
        <f>--(COUNTIFS($A$2:A1969,A1969,$B$2:B1969,B1969)=1)</f>
        <v>1</v>
      </c>
      <c r="D1969" t="str">
        <f>检查点拆解!F1969</f>
        <v>D05.02.02</v>
      </c>
      <c r="E1969" s="2">
        <f>--(COUNTIFS($A$2:A1969,A1969,$D$2:D1969,D1969)=1)</f>
        <v>1</v>
      </c>
    </row>
    <row r="1970" spans="1:5">
      <c r="A1970" t="str">
        <f>检查点拆解!A1970</f>
        <v>Q0286</v>
      </c>
      <c r="B1970" t="str">
        <f>检查点拆解!D1970</f>
        <v>C25</v>
      </c>
      <c r="C1970" s="2">
        <f>--(COUNTIFS($A$2:A1970,A1970,$B$2:B1970,B1970)=1)</f>
        <v>1</v>
      </c>
      <c r="D1970" t="str">
        <f>检查点拆解!F1970</f>
        <v>D10.01.01</v>
      </c>
      <c r="E1970" s="2">
        <f>--(COUNTIFS($A$2:A1970,A1970,$D$2:D1970,D1970)=1)</f>
        <v>1</v>
      </c>
    </row>
    <row r="1971" spans="1:5">
      <c r="A1971" t="str">
        <f>检查点拆解!A1971</f>
        <v>Q0286</v>
      </c>
      <c r="B1971" t="str">
        <f>检查点拆解!D1971</f>
        <v>C08</v>
      </c>
      <c r="C1971" s="2">
        <f>--(COUNTIFS($A$2:A1971,A1971,$B$2:B1971,B1971)=1)</f>
        <v>1</v>
      </c>
      <c r="D1971" t="str">
        <f>检查点拆解!F1971</f>
        <v>D04.01.02</v>
      </c>
      <c r="E1971" s="2">
        <f>--(COUNTIFS($A$2:A1971,A1971,$D$2:D1971,D1971)=1)</f>
        <v>1</v>
      </c>
    </row>
    <row r="1972" spans="1:5">
      <c r="A1972" t="str">
        <f>检查点拆解!A1972</f>
        <v>Q0286</v>
      </c>
      <c r="B1972" t="str">
        <f>检查点拆解!D1972</f>
        <v>C28</v>
      </c>
      <c r="C1972" s="2">
        <f>--(COUNTIFS($A$2:A1972,A1972,$B$2:B1972,B1972)=1)</f>
        <v>1</v>
      </c>
      <c r="D1972" t="str">
        <f>检查点拆解!F1972</f>
        <v>D12.01.02</v>
      </c>
      <c r="E1972" s="2">
        <f>--(COUNTIFS($A$2:A1972,A1972,$D$2:D1972,D1972)=1)</f>
        <v>1</v>
      </c>
    </row>
    <row r="1973" spans="1:5">
      <c r="A1973" t="str">
        <f>检查点拆解!A1973</f>
        <v>Q0286</v>
      </c>
      <c r="B1973" t="str">
        <f>检查点拆解!D1973</f>
        <v>C04</v>
      </c>
      <c r="C1973" s="2">
        <f>--(COUNTIFS($A$2:A1973,A1973,$B$2:B1973,B1973)=1)</f>
        <v>1</v>
      </c>
      <c r="D1973" t="str">
        <f>检查点拆解!F1973</f>
        <v>D02.02.03</v>
      </c>
      <c r="E1973" s="2">
        <f>--(COUNTIFS($A$2:A1973,A1973,$D$2:D1973,D1973)=1)</f>
        <v>1</v>
      </c>
    </row>
    <row r="1974" spans="1:5">
      <c r="A1974" t="str">
        <f>检查点拆解!A1974</f>
        <v>Q0287</v>
      </c>
      <c r="B1974" t="str">
        <f>检查点拆解!D1974</f>
        <v>C14</v>
      </c>
      <c r="C1974" s="2">
        <f>--(COUNTIFS($A$2:A1974,A1974,$B$2:B1974,B1974)=1)</f>
        <v>1</v>
      </c>
      <c r="D1974" t="str">
        <f>检查点拆解!F1974</f>
        <v>D08.01.01</v>
      </c>
      <c r="E1974" s="2">
        <f>--(COUNTIFS($A$2:A1974,A1974,$D$2:D1974,D1974)=1)</f>
        <v>1</v>
      </c>
    </row>
    <row r="1975" spans="1:5">
      <c r="A1975" t="str">
        <f>检查点拆解!A1975</f>
        <v>Q0287</v>
      </c>
      <c r="B1975" t="str">
        <f>检查点拆解!D1975</f>
        <v>C27</v>
      </c>
      <c r="C1975" s="2">
        <f>--(COUNTIFS($A$2:A1975,A1975,$B$2:B1975,B1975)=1)</f>
        <v>1</v>
      </c>
      <c r="D1975" t="str">
        <f>检查点拆解!F1975</f>
        <v>D11.02.01</v>
      </c>
      <c r="E1975" s="2">
        <f>--(COUNTIFS($A$2:A1975,A1975,$D$2:D1975,D1975)=1)</f>
        <v>1</v>
      </c>
    </row>
    <row r="1976" spans="1:5">
      <c r="A1976" t="str">
        <f>检查点拆解!A1976</f>
        <v>Q0287</v>
      </c>
      <c r="B1976" t="str">
        <f>检查点拆解!D1976</f>
        <v>C28</v>
      </c>
      <c r="C1976" s="2">
        <f>--(COUNTIFS($A$2:A1976,A1976,$B$2:B1976,B1976)=1)</f>
        <v>1</v>
      </c>
      <c r="D1976" t="str">
        <f>检查点拆解!F1976</f>
        <v>D12.01.01</v>
      </c>
      <c r="E1976" s="2">
        <f>--(COUNTIFS($A$2:A1976,A1976,$D$2:D1976,D1976)=1)</f>
        <v>1</v>
      </c>
    </row>
    <row r="1977" spans="1:5">
      <c r="A1977" t="str">
        <f>检查点拆解!A1977</f>
        <v>Q0287</v>
      </c>
      <c r="B1977" t="str">
        <f>检查点拆解!D1977</f>
        <v>C05</v>
      </c>
      <c r="C1977" s="2">
        <f>--(COUNTIFS($A$2:A1977,A1977,$B$2:B1977,B1977)=1)</f>
        <v>1</v>
      </c>
      <c r="D1977" t="str">
        <f>检查点拆解!F1977</f>
        <v>D02.03.02</v>
      </c>
      <c r="E1977" s="2">
        <f>--(COUNTIFS($A$2:A1977,A1977,$D$2:D1977,D1977)=1)</f>
        <v>1</v>
      </c>
    </row>
    <row r="1978" spans="1:5">
      <c r="A1978" t="str">
        <f>检查点拆解!A1978</f>
        <v>Q0288</v>
      </c>
      <c r="B1978" t="str">
        <f>检查点拆解!D1978</f>
        <v>C06</v>
      </c>
      <c r="C1978" s="2">
        <f>--(COUNTIFS($A$2:A1978,A1978,$B$2:B1978,B1978)=1)</f>
        <v>1</v>
      </c>
      <c r="D1978" t="str">
        <f>检查点拆解!F1978</f>
        <v>D03.01.02</v>
      </c>
      <c r="E1978" s="2">
        <f>--(COUNTIFS($A$2:A1978,A1978,$D$2:D1978,D1978)=1)</f>
        <v>1</v>
      </c>
    </row>
    <row r="1979" spans="1:5">
      <c r="A1979" t="str">
        <f>检查点拆解!A1979</f>
        <v>Q0288</v>
      </c>
      <c r="B1979" t="str">
        <f>检查点拆解!D1979</f>
        <v>C23</v>
      </c>
      <c r="C1979" s="2">
        <f>--(COUNTIFS($A$2:A1979,A1979,$B$2:B1979,B1979)=1)</f>
        <v>1</v>
      </c>
      <c r="D1979" t="str">
        <f>检查点拆解!F1979</f>
        <v>D09.01.01</v>
      </c>
      <c r="E1979" s="2">
        <f>--(COUNTIFS($A$2:A1979,A1979,$D$2:D1979,D1979)=1)</f>
        <v>1</v>
      </c>
    </row>
    <row r="1980" spans="1:5">
      <c r="A1980" t="str">
        <f>检查点拆解!A1980</f>
        <v>Q0288</v>
      </c>
      <c r="B1980" t="str">
        <f>检查点拆解!D1980</f>
        <v>C28</v>
      </c>
      <c r="C1980" s="2">
        <f>--(COUNTIFS($A$2:A1980,A1980,$B$2:B1980,B1980)=1)</f>
        <v>1</v>
      </c>
      <c r="D1980" t="str">
        <f>检查点拆解!F1980</f>
        <v>D12.01.01</v>
      </c>
      <c r="E1980" s="2">
        <f>--(COUNTIFS($A$2:A1980,A1980,$D$2:D1980,D1980)=1)</f>
        <v>1</v>
      </c>
    </row>
    <row r="1981" spans="1:5">
      <c r="A1981" t="str">
        <f>检查点拆解!A1981</f>
        <v>Q0288</v>
      </c>
      <c r="B1981" t="str">
        <f>检查点拆解!D1981</f>
        <v>C06</v>
      </c>
      <c r="C1981" s="2">
        <f>--(COUNTIFS($A$2:A1981,A1981,$B$2:B1981,B1981)=1)</f>
        <v>0</v>
      </c>
      <c r="D1981" t="str">
        <f>检查点拆解!F1981</f>
        <v>D03.01.01</v>
      </c>
      <c r="E1981" s="2">
        <f>--(COUNTIFS($A$2:A1981,A1981,$D$2:D1981,D1981)=1)</f>
        <v>1</v>
      </c>
    </row>
    <row r="1982" spans="1:5">
      <c r="A1982" t="str">
        <f>检查点拆解!A1982</f>
        <v>Q0288</v>
      </c>
      <c r="B1982" t="str">
        <f>检查点拆解!D1982</f>
        <v>C07</v>
      </c>
      <c r="C1982" s="2">
        <f>--(COUNTIFS($A$2:A1982,A1982,$B$2:B1982,B1982)=1)</f>
        <v>1</v>
      </c>
      <c r="D1982" t="str">
        <f>检查点拆解!F1982</f>
        <v>D03.02.02</v>
      </c>
      <c r="E1982" s="2">
        <f>--(COUNTIFS($A$2:A1982,A1982,$D$2:D1982,D1982)=1)</f>
        <v>1</v>
      </c>
    </row>
    <row r="1983" spans="1:5">
      <c r="A1983" t="str">
        <f>检查点拆解!A1983</f>
        <v>Q0288</v>
      </c>
      <c r="B1983" t="str">
        <f>检查点拆解!D1983</f>
        <v>C08</v>
      </c>
      <c r="C1983" s="2">
        <f>--(COUNTIFS($A$2:A1983,A1983,$B$2:B1983,B1983)=1)</f>
        <v>1</v>
      </c>
      <c r="D1983" t="str">
        <f>检查点拆解!F1983</f>
        <v>D04.01.01</v>
      </c>
      <c r="E1983" s="2">
        <f>--(COUNTIFS($A$2:A1983,A1983,$D$2:D1983,D1983)=1)</f>
        <v>1</v>
      </c>
    </row>
    <row r="1984" spans="1:5">
      <c r="A1984" t="str">
        <f>检查点拆解!A1984</f>
        <v>Q0289</v>
      </c>
      <c r="B1984" t="str">
        <f>检查点拆解!D1984</f>
        <v>C30</v>
      </c>
      <c r="C1984" s="2">
        <f>--(COUNTIFS($A$2:A1984,A1984,$B$2:B1984,B1984)=1)</f>
        <v>1</v>
      </c>
      <c r="D1984" t="str">
        <f>检查点拆解!F1984</f>
        <v>D15.01.04</v>
      </c>
      <c r="E1984" s="2">
        <f>--(COUNTIFS($A$2:A1984,A1984,$D$2:D1984,D1984)=1)</f>
        <v>1</v>
      </c>
    </row>
    <row r="1985" spans="1:5">
      <c r="A1985" t="str">
        <f>检查点拆解!A1985</f>
        <v>Q0289</v>
      </c>
      <c r="B1985" t="str">
        <f>检查点拆解!D1985</f>
        <v>C06</v>
      </c>
      <c r="C1985" s="2">
        <f>--(COUNTIFS($A$2:A1985,A1985,$B$2:B1985,B1985)=1)</f>
        <v>1</v>
      </c>
      <c r="D1985" t="str">
        <f>检查点拆解!F1985</f>
        <v>D03.01.02</v>
      </c>
      <c r="E1985" s="2">
        <f>--(COUNTIFS($A$2:A1985,A1985,$D$2:D1985,D1985)=1)</f>
        <v>1</v>
      </c>
    </row>
    <row r="1986" spans="1:5">
      <c r="A1986" t="str">
        <f>检查点拆解!A1986</f>
        <v>Q0289</v>
      </c>
      <c r="B1986" t="str">
        <f>检查点拆解!D1986</f>
        <v>C28</v>
      </c>
      <c r="C1986" s="2">
        <f>--(COUNTIFS($A$2:A1986,A1986,$B$2:B1986,B1986)=1)</f>
        <v>1</v>
      </c>
      <c r="D1986" t="str">
        <f>检查点拆解!F1986</f>
        <v>D12.01.01</v>
      </c>
      <c r="E1986" s="2">
        <f>--(COUNTIFS($A$2:A1986,A1986,$D$2:D1986,D1986)=1)</f>
        <v>1</v>
      </c>
    </row>
    <row r="1987" spans="1:5">
      <c r="A1987" t="str">
        <f>检查点拆解!A1987</f>
        <v>Q0289</v>
      </c>
      <c r="B1987" t="str">
        <f>检查点拆解!D1987</f>
        <v>C28</v>
      </c>
      <c r="C1987" s="2">
        <f>--(COUNTIFS($A$2:A1987,A1987,$B$2:B1987,B1987)=1)</f>
        <v>0</v>
      </c>
      <c r="D1987" t="str">
        <f>检查点拆解!F1987</f>
        <v>D12.01.02</v>
      </c>
      <c r="E1987" s="2">
        <f>--(COUNTIFS($A$2:A1987,A1987,$D$2:D1987,D1987)=1)</f>
        <v>1</v>
      </c>
    </row>
    <row r="1988" spans="1:5">
      <c r="A1988" t="str">
        <f>检查点拆解!A1988</f>
        <v>Q0289</v>
      </c>
      <c r="B1988" t="str">
        <f>检查点拆解!D1988</f>
        <v>C06</v>
      </c>
      <c r="C1988" s="2">
        <f>--(COUNTIFS($A$2:A1988,A1988,$B$2:B1988,B1988)=1)</f>
        <v>0</v>
      </c>
      <c r="D1988" t="str">
        <f>检查点拆解!F1988</f>
        <v>D03.01.01</v>
      </c>
      <c r="E1988" s="2">
        <f>--(COUNTIFS($A$2:A1988,A1988,$D$2:D1988,D1988)=1)</f>
        <v>1</v>
      </c>
    </row>
    <row r="1989" spans="1:5">
      <c r="A1989" t="str">
        <f>检查点拆解!A1989</f>
        <v>Q0290</v>
      </c>
      <c r="B1989" t="str">
        <f>检查点拆解!D1989</f>
        <v>C24</v>
      </c>
      <c r="C1989" s="2">
        <f>--(COUNTIFS($A$2:A1989,A1989,$B$2:B1989,B1989)=1)</f>
        <v>1</v>
      </c>
      <c r="D1989" t="str">
        <f>检查点拆解!F1989</f>
        <v>D09.03.01</v>
      </c>
      <c r="E1989" s="2">
        <f>--(COUNTIFS($A$2:A1989,A1989,$D$2:D1989,D1989)=1)</f>
        <v>1</v>
      </c>
    </row>
    <row r="1990" spans="1:5">
      <c r="A1990" t="str">
        <f>检查点拆解!A1990</f>
        <v>Q0290</v>
      </c>
      <c r="B1990" t="str">
        <f>检查点拆解!D1990</f>
        <v>C11</v>
      </c>
      <c r="C1990" s="2">
        <f>--(COUNTIFS($A$2:A1990,A1990,$B$2:B1990,B1990)=1)</f>
        <v>1</v>
      </c>
      <c r="D1990" t="str">
        <f>检查点拆解!F1990</f>
        <v>D04.03.02</v>
      </c>
      <c r="E1990" s="2">
        <f>--(COUNTIFS($A$2:A1990,A1990,$D$2:D1990,D1990)=1)</f>
        <v>1</v>
      </c>
    </row>
    <row r="1991" spans="1:5">
      <c r="A1991" t="str">
        <f>检查点拆解!A1991</f>
        <v>Q0290</v>
      </c>
      <c r="B1991" t="str">
        <f>检查点拆解!D1991</f>
        <v>C24</v>
      </c>
      <c r="C1991" s="2">
        <f>--(COUNTIFS($A$2:A1991,A1991,$B$2:B1991,B1991)=1)</f>
        <v>0</v>
      </c>
      <c r="D1991" t="str">
        <f>检查点拆解!F1991</f>
        <v>D09.02.02</v>
      </c>
      <c r="E1991" s="2">
        <f>--(COUNTIFS($A$2:A1991,A1991,$D$2:D1991,D1991)=1)</f>
        <v>1</v>
      </c>
    </row>
    <row r="1992" spans="1:5">
      <c r="A1992" t="str">
        <f>检查点拆解!A1992</f>
        <v>Q0290</v>
      </c>
      <c r="B1992" t="str">
        <f>检查点拆解!D1992</f>
        <v>C27</v>
      </c>
      <c r="C1992" s="2">
        <f>--(COUNTIFS($A$2:A1992,A1992,$B$2:B1992,B1992)=1)</f>
        <v>1</v>
      </c>
      <c r="D1992" t="str">
        <f>检查点拆解!F1992</f>
        <v>D11.02.02</v>
      </c>
      <c r="E1992" s="2">
        <f>--(COUNTIFS($A$2:A1992,A1992,$D$2:D1992,D1992)=1)</f>
        <v>1</v>
      </c>
    </row>
    <row r="1993" spans="1:5">
      <c r="A1993" t="str">
        <f>检查点拆解!A1993</f>
        <v>Q0290</v>
      </c>
      <c r="B1993" t="str">
        <f>检查点拆解!D1993</f>
        <v>C27</v>
      </c>
      <c r="C1993" s="2">
        <f>--(COUNTIFS($A$2:A1993,A1993,$B$2:B1993,B1993)=1)</f>
        <v>0</v>
      </c>
      <c r="D1993" t="str">
        <f>检查点拆解!F1993</f>
        <v>D11.01.02</v>
      </c>
      <c r="E1993" s="2">
        <f>--(COUNTIFS($A$2:A1993,A1993,$D$2:D1993,D1993)=1)</f>
        <v>1</v>
      </c>
    </row>
    <row r="1994" spans="1:5">
      <c r="A1994" t="str">
        <f>检查点拆解!A1994</f>
        <v>Q0290</v>
      </c>
      <c r="B1994" t="str">
        <f>检查点拆解!D1994</f>
        <v>C24</v>
      </c>
      <c r="C1994" s="2">
        <f>--(COUNTIFS($A$2:A1994,A1994,$B$2:B1994,B1994)=1)</f>
        <v>0</v>
      </c>
      <c r="D1994" t="str">
        <f>检查点拆解!F1994</f>
        <v>D09.02.03</v>
      </c>
      <c r="E1994" s="2">
        <f>--(COUNTIFS($A$2:A1994,A1994,$D$2:D1994,D1994)=1)</f>
        <v>1</v>
      </c>
    </row>
    <row r="1995" spans="1:5">
      <c r="A1995" t="str">
        <f>检查点拆解!A1995</f>
        <v>Q0290</v>
      </c>
      <c r="B1995" t="str">
        <f>检查点拆解!D1995</f>
        <v>C15</v>
      </c>
      <c r="C1995" s="2">
        <f>--(COUNTIFS($A$2:A1995,A1995,$B$2:B1995,B1995)=1)</f>
        <v>1</v>
      </c>
      <c r="D1995" t="str">
        <f>检查点拆解!F1995</f>
        <v>D05.02.02</v>
      </c>
      <c r="E1995" s="2">
        <f>--(COUNTIFS($A$2:A1995,A1995,$D$2:D1995,D1995)=1)</f>
        <v>1</v>
      </c>
    </row>
    <row r="1996" spans="1:5">
      <c r="A1996" t="str">
        <f>检查点拆解!A1996</f>
        <v>Q0290</v>
      </c>
      <c r="B1996" t="str">
        <f>检查点拆解!D1996</f>
        <v>C16</v>
      </c>
      <c r="C1996" s="2">
        <f>--(COUNTIFS($A$2:A1996,A1996,$B$2:B1996,B1996)=1)</f>
        <v>1</v>
      </c>
      <c r="D1996" t="str">
        <f>检查点拆解!F1996</f>
        <v>D05.02.04</v>
      </c>
      <c r="E1996" s="2">
        <f>--(COUNTIFS($A$2:A1996,A1996,$D$2:D1996,D1996)=1)</f>
        <v>1</v>
      </c>
    </row>
    <row r="1997" spans="1:5">
      <c r="A1997" t="str">
        <f>检查点拆解!A1997</f>
        <v>Q0291</v>
      </c>
      <c r="B1997" t="str">
        <f>检查点拆解!D1997</f>
        <v>C30</v>
      </c>
      <c r="C1997" s="2">
        <f>--(COUNTIFS($A$2:A1997,A1997,$B$2:B1997,B1997)=1)</f>
        <v>1</v>
      </c>
      <c r="D1997" t="str">
        <f>检查点拆解!F1997</f>
        <v>D15.01.02</v>
      </c>
      <c r="E1997" s="2">
        <f>--(COUNTIFS($A$2:A1997,A1997,$D$2:D1997,D1997)=1)</f>
        <v>1</v>
      </c>
    </row>
    <row r="1998" spans="1:5">
      <c r="A1998" t="str">
        <f>检查点拆解!A1998</f>
        <v>Q0291</v>
      </c>
      <c r="B1998" t="str">
        <f>检查点拆解!D1998</f>
        <v>C27</v>
      </c>
      <c r="C1998" s="2">
        <f>--(COUNTIFS($A$2:A1998,A1998,$B$2:B1998,B1998)=1)</f>
        <v>1</v>
      </c>
      <c r="D1998" t="str">
        <f>检查点拆解!F1998</f>
        <v>D11.01.02</v>
      </c>
      <c r="E1998" s="2">
        <f>--(COUNTIFS($A$2:A1998,A1998,$D$2:D1998,D1998)=1)</f>
        <v>1</v>
      </c>
    </row>
    <row r="1999" spans="1:5">
      <c r="A1999" t="str">
        <f>检查点拆解!A1999</f>
        <v>Q0291</v>
      </c>
      <c r="B1999" t="str">
        <f>检查点拆解!D1999</f>
        <v>C28</v>
      </c>
      <c r="C1999" s="2">
        <f>--(COUNTIFS($A$2:A1999,A1999,$B$2:B1999,B1999)=1)</f>
        <v>1</v>
      </c>
      <c r="D1999" t="str">
        <f>检查点拆解!F1999</f>
        <v>D12.01.01</v>
      </c>
      <c r="E1999" s="2">
        <f>--(COUNTIFS($A$2:A1999,A1999,$D$2:D1999,D1999)=1)</f>
        <v>1</v>
      </c>
    </row>
    <row r="2000" spans="1:5">
      <c r="A2000" t="str">
        <f>检查点拆解!A2000</f>
        <v>Q0291</v>
      </c>
      <c r="B2000" t="str">
        <f>检查点拆解!D2000</f>
        <v>C04</v>
      </c>
      <c r="C2000" s="2">
        <f>--(COUNTIFS($A$2:A2000,A2000,$B$2:B2000,B2000)=1)</f>
        <v>1</v>
      </c>
      <c r="D2000" t="str">
        <f>检查点拆解!F2000</f>
        <v>D02.02.01</v>
      </c>
      <c r="E2000" s="2">
        <f>--(COUNTIFS($A$2:A2000,A2000,$D$2:D2000,D2000)=1)</f>
        <v>1</v>
      </c>
    </row>
    <row r="2001" spans="1:5">
      <c r="A2001" t="str">
        <f>检查点拆解!A2001</f>
        <v>Q0292</v>
      </c>
      <c r="B2001" t="str">
        <f>检查点拆解!D2001</f>
        <v>C24</v>
      </c>
      <c r="C2001" s="2">
        <f>--(COUNTIFS($A$2:A2001,A2001,$B$2:B2001,B2001)=1)</f>
        <v>1</v>
      </c>
      <c r="D2001" t="str">
        <f>检查点拆解!F2001</f>
        <v>D09.03.03</v>
      </c>
      <c r="E2001" s="2">
        <f>--(COUNTIFS($A$2:A2001,A2001,$D$2:D2001,D2001)=1)</f>
        <v>1</v>
      </c>
    </row>
    <row r="2002" spans="1:5">
      <c r="A2002" t="str">
        <f>检查点拆解!A2002</f>
        <v>Q0292</v>
      </c>
      <c r="B2002" t="str">
        <f>检查点拆解!D2002</f>
        <v>C28</v>
      </c>
      <c r="C2002" s="2">
        <f>--(COUNTIFS($A$2:A2002,A2002,$B$2:B2002,B2002)=1)</f>
        <v>1</v>
      </c>
      <c r="D2002" t="str">
        <f>检查点拆解!F2002</f>
        <v>D12.02.01</v>
      </c>
      <c r="E2002" s="2">
        <f>--(COUNTIFS($A$2:A2002,A2002,$D$2:D2002,D2002)=1)</f>
        <v>1</v>
      </c>
    </row>
    <row r="2003" spans="1:5">
      <c r="A2003" t="str">
        <f>检查点拆解!A2003</f>
        <v>Q0292</v>
      </c>
      <c r="B2003" t="str">
        <f>检查点拆解!D2003</f>
        <v>C28</v>
      </c>
      <c r="C2003" s="2">
        <f>--(COUNTIFS($A$2:A2003,A2003,$B$2:B2003,B2003)=1)</f>
        <v>0</v>
      </c>
      <c r="D2003" t="str">
        <f>检查点拆解!F2003</f>
        <v>D13.01.01</v>
      </c>
      <c r="E2003" s="2">
        <f>--(COUNTIFS($A$2:A2003,A2003,$D$2:D2003,D2003)=1)</f>
        <v>1</v>
      </c>
    </row>
    <row r="2004" spans="1:5">
      <c r="A2004" t="str">
        <f>检查点拆解!A2004</f>
        <v>Q0293</v>
      </c>
      <c r="B2004" t="str">
        <f>检查点拆解!D2004</f>
        <v>C29</v>
      </c>
      <c r="C2004" s="2">
        <f>--(COUNTIFS($A$2:A2004,A2004,$B$2:B2004,B2004)=1)</f>
        <v>1</v>
      </c>
      <c r="D2004" t="str">
        <f>检查点拆解!F2004</f>
        <v>D14.01.01</v>
      </c>
      <c r="E2004" s="2">
        <f>--(COUNTIFS($A$2:A2004,A2004,$D$2:D2004,D2004)=1)</f>
        <v>1</v>
      </c>
    </row>
    <row r="2005" spans="1:5">
      <c r="A2005" t="str">
        <f>检查点拆解!A2005</f>
        <v>Q0293</v>
      </c>
      <c r="B2005" t="str">
        <f>检查点拆解!D2005</f>
        <v>C30</v>
      </c>
      <c r="C2005" s="2">
        <f>--(COUNTIFS($A$2:A2005,A2005,$B$2:B2005,B2005)=1)</f>
        <v>1</v>
      </c>
      <c r="D2005" t="str">
        <f>检查点拆解!F2005</f>
        <v>D15.01.02</v>
      </c>
      <c r="E2005" s="2">
        <f>--(COUNTIFS($A$2:A2005,A2005,$D$2:D2005,D2005)=1)</f>
        <v>1</v>
      </c>
    </row>
    <row r="2006" spans="1:5">
      <c r="A2006" t="str">
        <f>检查点拆解!A2006</f>
        <v>Q0293</v>
      </c>
      <c r="B2006" t="str">
        <f>检查点拆解!D2006</f>
        <v>C24</v>
      </c>
      <c r="C2006" s="2">
        <f>--(COUNTIFS($A$2:A2006,A2006,$B$2:B2006,B2006)=1)</f>
        <v>1</v>
      </c>
      <c r="D2006" t="str">
        <f>检查点拆解!F2006</f>
        <v>D09.03.03</v>
      </c>
      <c r="E2006" s="2">
        <f>--(COUNTIFS($A$2:A2006,A2006,$D$2:D2006,D2006)=1)</f>
        <v>1</v>
      </c>
    </row>
    <row r="2007" spans="1:5">
      <c r="A2007" t="str">
        <f>检查点拆解!A2007</f>
        <v>Q0293</v>
      </c>
      <c r="B2007" t="str">
        <f>检查点拆解!D2007</f>
        <v>C25</v>
      </c>
      <c r="C2007" s="2">
        <f>--(COUNTIFS($A$2:A2007,A2007,$B$2:B2007,B2007)=1)</f>
        <v>1</v>
      </c>
      <c r="D2007" t="str">
        <f>检查点拆解!F2007</f>
        <v>D10.01.01</v>
      </c>
      <c r="E2007" s="2">
        <f>--(COUNTIFS($A$2:A2007,A2007,$D$2:D2007,D2007)=1)</f>
        <v>1</v>
      </c>
    </row>
    <row r="2008" spans="1:5">
      <c r="A2008" t="str">
        <f>检查点拆解!A2008</f>
        <v>Q0293</v>
      </c>
      <c r="B2008" t="str">
        <f>检查点拆解!D2008</f>
        <v>C28</v>
      </c>
      <c r="C2008" s="2">
        <f>--(COUNTIFS($A$2:A2008,A2008,$B$2:B2008,B2008)=1)</f>
        <v>1</v>
      </c>
      <c r="D2008" t="str">
        <f>检查点拆解!F2008</f>
        <v>D12.02.01</v>
      </c>
      <c r="E2008" s="2">
        <f>--(COUNTIFS($A$2:A2008,A2008,$D$2:D2008,D2008)=1)</f>
        <v>1</v>
      </c>
    </row>
    <row r="2009" spans="1:5">
      <c r="A2009" t="str">
        <f>检查点拆解!A2009</f>
        <v>Q0293</v>
      </c>
      <c r="B2009" t="str">
        <f>检查点拆解!D2009</f>
        <v>C28</v>
      </c>
      <c r="C2009" s="2">
        <f>--(COUNTIFS($A$2:A2009,A2009,$B$2:B2009,B2009)=1)</f>
        <v>0</v>
      </c>
      <c r="D2009" t="str">
        <f>检查点拆解!F2009</f>
        <v>D12.01.02</v>
      </c>
      <c r="E2009" s="2">
        <f>--(COUNTIFS($A$2:A2009,A2009,$D$2:D2009,D2009)=1)</f>
        <v>1</v>
      </c>
    </row>
    <row r="2010" spans="1:5">
      <c r="A2010" t="str">
        <f>检查点拆解!A2010</f>
        <v>Q0294</v>
      </c>
      <c r="B2010" t="str">
        <f>检查点拆解!D2010</f>
        <v>C29</v>
      </c>
      <c r="C2010" s="2">
        <f>--(COUNTIFS($A$2:A2010,A2010,$B$2:B2010,B2010)=1)</f>
        <v>1</v>
      </c>
      <c r="D2010" t="str">
        <f>检查点拆解!F2010</f>
        <v>D14.01.02</v>
      </c>
      <c r="E2010" s="2">
        <f>--(COUNTIFS($A$2:A2010,A2010,$D$2:D2010,D2010)=1)</f>
        <v>1</v>
      </c>
    </row>
    <row r="2011" spans="1:5">
      <c r="A2011" t="str">
        <f>检查点拆解!A2011</f>
        <v>Q0294</v>
      </c>
      <c r="B2011" t="str">
        <f>检查点拆解!D2011</f>
        <v>C29</v>
      </c>
      <c r="C2011" s="2">
        <f>--(COUNTIFS($A$2:A2011,A2011,$B$2:B2011,B2011)=1)</f>
        <v>0</v>
      </c>
      <c r="D2011" t="str">
        <f>检查点拆解!F2011</f>
        <v>D14.02.01</v>
      </c>
      <c r="E2011" s="2">
        <f>--(COUNTIFS($A$2:A2011,A2011,$D$2:D2011,D2011)=1)</f>
        <v>1</v>
      </c>
    </row>
    <row r="2012" spans="1:5">
      <c r="A2012" t="str">
        <f>检查点拆解!A2012</f>
        <v>Q0294</v>
      </c>
      <c r="B2012" t="str">
        <f>检查点拆解!D2012</f>
        <v>C23</v>
      </c>
      <c r="C2012" s="2">
        <f>--(COUNTIFS($A$2:A2012,A2012,$B$2:B2012,B2012)=1)</f>
        <v>1</v>
      </c>
      <c r="D2012" t="str">
        <f>检查点拆解!F2012</f>
        <v>D09.01.03</v>
      </c>
      <c r="E2012" s="2">
        <f>--(COUNTIFS($A$2:A2012,A2012,$D$2:D2012,D2012)=1)</f>
        <v>1</v>
      </c>
    </row>
    <row r="2013" spans="1:5">
      <c r="A2013" t="str">
        <f>检查点拆解!A2013</f>
        <v>Q0294</v>
      </c>
      <c r="B2013" t="str">
        <f>检查点拆解!D2013</f>
        <v>C17</v>
      </c>
      <c r="C2013" s="2">
        <f>--(COUNTIFS($A$2:A2013,A2013,$B$2:B2013,B2013)=1)</f>
        <v>1</v>
      </c>
      <c r="D2013" t="str">
        <f>检查点拆解!F2013</f>
        <v>D06.03.01</v>
      </c>
      <c r="E2013" s="2">
        <f>--(COUNTIFS($A$2:A2013,A2013,$D$2:D2013,D2013)=1)</f>
        <v>1</v>
      </c>
    </row>
    <row r="2014" spans="1:5">
      <c r="A2014" t="str">
        <f>检查点拆解!A2014</f>
        <v>Q0294</v>
      </c>
      <c r="B2014" t="str">
        <f>检查点拆解!D2014</f>
        <v>C25</v>
      </c>
      <c r="C2014" s="2">
        <f>--(COUNTIFS($A$2:A2014,A2014,$B$2:B2014,B2014)=1)</f>
        <v>1</v>
      </c>
      <c r="D2014" t="str">
        <f>检查点拆解!F2014</f>
        <v>D10.01.01</v>
      </c>
      <c r="E2014" s="2">
        <f>--(COUNTIFS($A$2:A2014,A2014,$D$2:D2014,D2014)=1)</f>
        <v>1</v>
      </c>
    </row>
    <row r="2015" spans="1:5">
      <c r="A2015" t="str">
        <f>检查点拆解!A2015</f>
        <v>Q0294</v>
      </c>
      <c r="B2015" t="str">
        <f>检查点拆解!D2015</f>
        <v>C28</v>
      </c>
      <c r="C2015" s="2">
        <f>--(COUNTIFS($A$2:A2015,A2015,$B$2:B2015,B2015)=1)</f>
        <v>1</v>
      </c>
      <c r="D2015" t="str">
        <f>检查点拆解!F2015</f>
        <v>D12.02.01</v>
      </c>
      <c r="E2015" s="2">
        <f>--(COUNTIFS($A$2:A2015,A2015,$D$2:D2015,D2015)=1)</f>
        <v>1</v>
      </c>
    </row>
    <row r="2016" spans="1:5">
      <c r="A2016" t="str">
        <f>检查点拆解!A2016</f>
        <v>Q0294</v>
      </c>
      <c r="B2016" t="str">
        <f>检查点拆解!D2016</f>
        <v>C26</v>
      </c>
      <c r="C2016" s="2">
        <f>--(COUNTIFS($A$2:A2016,A2016,$B$2:B2016,B2016)=1)</f>
        <v>1</v>
      </c>
      <c r="D2016" t="str">
        <f>检查点拆解!F2016</f>
        <v>D10.02.01</v>
      </c>
      <c r="E2016" s="2">
        <f>--(COUNTIFS($A$2:A2016,A2016,$D$2:D2016,D2016)=1)</f>
        <v>1</v>
      </c>
    </row>
    <row r="2017" spans="1:5">
      <c r="A2017" t="str">
        <f>检查点拆解!A2017</f>
        <v>Q0294</v>
      </c>
      <c r="B2017" t="str">
        <f>检查点拆解!D2017</f>
        <v>C04</v>
      </c>
      <c r="C2017" s="2">
        <f>--(COUNTIFS($A$2:A2017,A2017,$B$2:B2017,B2017)=1)</f>
        <v>1</v>
      </c>
      <c r="D2017" t="str">
        <f>检查点拆解!F2017</f>
        <v>D02.02.03</v>
      </c>
      <c r="E2017" s="2">
        <f>--(COUNTIFS($A$2:A2017,A2017,$D$2:D2017,D2017)=1)</f>
        <v>1</v>
      </c>
    </row>
    <row r="2018" spans="1:5">
      <c r="A2018" t="str">
        <f>检查点拆解!A2018</f>
        <v>Q0294</v>
      </c>
      <c r="B2018" t="str">
        <f>检查点拆解!D2018</f>
        <v>C05</v>
      </c>
      <c r="C2018" s="2">
        <f>--(COUNTIFS($A$2:A2018,A2018,$B$2:B2018,B2018)=1)</f>
        <v>1</v>
      </c>
      <c r="D2018" t="str">
        <f>检查点拆解!F2018</f>
        <v>D02.03.01</v>
      </c>
      <c r="E2018" s="2">
        <f>--(COUNTIFS($A$2:A2018,A2018,$D$2:D2018,D2018)=1)</f>
        <v>1</v>
      </c>
    </row>
    <row r="2019" spans="1:5">
      <c r="A2019" t="str">
        <f>检查点拆解!A2019</f>
        <v>Q0295</v>
      </c>
      <c r="B2019" t="str">
        <f>检查点拆解!D2019</f>
        <v>C30</v>
      </c>
      <c r="C2019" s="2">
        <f>--(COUNTIFS($A$2:A2019,A2019,$B$2:B2019,B2019)=1)</f>
        <v>1</v>
      </c>
      <c r="D2019" t="str">
        <f>检查点拆解!F2019</f>
        <v>D15.01.02</v>
      </c>
      <c r="E2019" s="2">
        <f>--(COUNTIFS($A$2:A2019,A2019,$D$2:D2019,D2019)=1)</f>
        <v>1</v>
      </c>
    </row>
    <row r="2020" spans="1:5">
      <c r="A2020" t="str">
        <f>检查点拆解!A2020</f>
        <v>Q0295</v>
      </c>
      <c r="B2020" t="str">
        <f>检查点拆解!D2020</f>
        <v>C29</v>
      </c>
      <c r="C2020" s="2">
        <f>--(COUNTIFS($A$2:A2020,A2020,$B$2:B2020,B2020)=1)</f>
        <v>1</v>
      </c>
      <c r="D2020" t="str">
        <f>检查点拆解!F2020</f>
        <v>D14.02.01</v>
      </c>
      <c r="E2020" s="2">
        <f>--(COUNTIFS($A$2:A2020,A2020,$D$2:D2020,D2020)=1)</f>
        <v>1</v>
      </c>
    </row>
    <row r="2021" spans="1:5">
      <c r="A2021" t="str">
        <f>检查点拆解!A2021</f>
        <v>Q0295</v>
      </c>
      <c r="B2021" t="str">
        <f>检查点拆解!D2021</f>
        <v>C06</v>
      </c>
      <c r="C2021" s="2">
        <f>--(COUNTIFS($A$2:A2021,A2021,$B$2:B2021,B2021)=1)</f>
        <v>1</v>
      </c>
      <c r="D2021" t="str">
        <f>检查点拆解!F2021</f>
        <v>D03.01.02</v>
      </c>
      <c r="E2021" s="2">
        <f>--(COUNTIFS($A$2:A2021,A2021,$D$2:D2021,D2021)=1)</f>
        <v>1</v>
      </c>
    </row>
    <row r="2022" spans="1:5">
      <c r="A2022" t="str">
        <f>检查点拆解!A2022</f>
        <v>Q0295</v>
      </c>
      <c r="B2022" t="str">
        <f>检查点拆解!D2022</f>
        <v>C28</v>
      </c>
      <c r="C2022" s="2">
        <f>--(COUNTIFS($A$2:A2022,A2022,$B$2:B2022,B2022)=1)</f>
        <v>1</v>
      </c>
      <c r="D2022" t="str">
        <f>检查点拆解!F2022</f>
        <v>D12.01.01</v>
      </c>
      <c r="E2022" s="2">
        <f>--(COUNTIFS($A$2:A2022,A2022,$D$2:D2022,D2022)=1)</f>
        <v>1</v>
      </c>
    </row>
    <row r="2023" spans="1:5">
      <c r="A2023" t="str">
        <f>检查点拆解!A2023</f>
        <v>Q0295</v>
      </c>
      <c r="B2023" t="str">
        <f>检查点拆解!D2023</f>
        <v>C06</v>
      </c>
      <c r="C2023" s="2">
        <f>--(COUNTIFS($A$2:A2023,A2023,$B$2:B2023,B2023)=1)</f>
        <v>0</v>
      </c>
      <c r="D2023" t="str">
        <f>检查点拆解!F2023</f>
        <v>D03.01.01</v>
      </c>
      <c r="E2023" s="2">
        <f>--(COUNTIFS($A$2:A2023,A2023,$D$2:D2023,D2023)=1)</f>
        <v>1</v>
      </c>
    </row>
    <row r="2024" spans="1:5">
      <c r="A2024" t="str">
        <f>检查点拆解!A2024</f>
        <v>Q0295</v>
      </c>
      <c r="B2024" t="str">
        <f>检查点拆解!D2024</f>
        <v>C28</v>
      </c>
      <c r="C2024" s="2">
        <f>--(COUNTIFS($A$2:A2024,A2024,$B$2:B2024,B2024)=1)</f>
        <v>0</v>
      </c>
      <c r="D2024" t="str">
        <f>检查点拆解!F2024</f>
        <v>D13.01.01</v>
      </c>
      <c r="E2024" s="2">
        <f>--(COUNTIFS($A$2:A2024,A2024,$D$2:D2024,D2024)=1)</f>
        <v>1</v>
      </c>
    </row>
    <row r="2025" spans="1:5">
      <c r="A2025" t="str">
        <f>检查点拆解!A2025</f>
        <v>Q0296</v>
      </c>
      <c r="B2025" t="str">
        <f>检查点拆解!D2025</f>
        <v>C18</v>
      </c>
      <c r="C2025" s="2">
        <f>--(COUNTIFS($A$2:A2025,A2025,$B$2:B2025,B2025)=1)</f>
        <v>1</v>
      </c>
      <c r="D2025" t="str">
        <f>检查点拆解!F2025</f>
        <v>D07.01.02</v>
      </c>
      <c r="E2025" s="2">
        <f>--(COUNTIFS($A$2:A2025,A2025,$D$2:D2025,D2025)=1)</f>
        <v>1</v>
      </c>
    </row>
    <row r="2026" spans="1:5">
      <c r="A2026" t="str">
        <f>检查点拆解!A2026</f>
        <v>Q0296</v>
      </c>
      <c r="B2026" t="str">
        <f>检查点拆解!D2026</f>
        <v>C27</v>
      </c>
      <c r="C2026" s="2">
        <f>--(COUNTIFS($A$2:A2026,A2026,$B$2:B2026,B2026)=1)</f>
        <v>1</v>
      </c>
      <c r="D2026" t="str">
        <f>检查点拆解!F2026</f>
        <v>D11.01.02</v>
      </c>
      <c r="E2026" s="2">
        <f>--(COUNTIFS($A$2:A2026,A2026,$D$2:D2026,D2026)=1)</f>
        <v>1</v>
      </c>
    </row>
    <row r="2027" spans="1:5">
      <c r="A2027" t="str">
        <f>检查点拆解!A2027</f>
        <v>Q0296</v>
      </c>
      <c r="B2027" t="str">
        <f>检查点拆解!D2027</f>
        <v>C25</v>
      </c>
      <c r="C2027" s="2">
        <f>--(COUNTIFS($A$2:A2027,A2027,$B$2:B2027,B2027)=1)</f>
        <v>1</v>
      </c>
      <c r="D2027" t="str">
        <f>检查点拆解!F2027</f>
        <v>D10.01.01</v>
      </c>
      <c r="E2027" s="2">
        <f>--(COUNTIFS($A$2:A2027,A2027,$D$2:D2027,D2027)=1)</f>
        <v>1</v>
      </c>
    </row>
    <row r="2028" spans="1:5">
      <c r="A2028" t="str">
        <f>检查点拆解!A2028</f>
        <v>Q0296</v>
      </c>
      <c r="B2028" t="str">
        <f>检查点拆解!D2028</f>
        <v>C26</v>
      </c>
      <c r="C2028" s="2">
        <f>--(COUNTIFS($A$2:A2028,A2028,$B$2:B2028,B2028)=1)</f>
        <v>1</v>
      </c>
      <c r="D2028" t="str">
        <f>检查点拆解!F2028</f>
        <v>D10.02.01</v>
      </c>
      <c r="E2028" s="2">
        <f>--(COUNTIFS($A$2:A2028,A2028,$D$2:D2028,D2028)=1)</f>
        <v>1</v>
      </c>
    </row>
    <row r="2029" spans="1:5">
      <c r="A2029" t="str">
        <f>检查点拆解!A2029</f>
        <v>Q0296</v>
      </c>
      <c r="B2029" t="str">
        <f>检查点拆解!D2029</f>
        <v>C28</v>
      </c>
      <c r="C2029" s="2">
        <f>--(COUNTIFS($A$2:A2029,A2029,$B$2:B2029,B2029)=1)</f>
        <v>1</v>
      </c>
      <c r="D2029" t="str">
        <f>检查点拆解!F2029</f>
        <v>D13.01.01</v>
      </c>
      <c r="E2029" s="2">
        <f>--(COUNTIFS($A$2:A2029,A2029,$D$2:D2029,D2029)=1)</f>
        <v>1</v>
      </c>
    </row>
    <row r="2030" spans="1:5">
      <c r="A2030" t="str">
        <f>检查点拆解!A2030</f>
        <v>Q0296</v>
      </c>
      <c r="B2030" t="str">
        <f>检查点拆解!D2030</f>
        <v>C05</v>
      </c>
      <c r="C2030" s="2">
        <f>--(COUNTIFS($A$2:A2030,A2030,$B$2:B2030,B2030)=1)</f>
        <v>1</v>
      </c>
      <c r="D2030" t="str">
        <f>检查点拆解!F2030</f>
        <v>D02.03.01</v>
      </c>
      <c r="E2030" s="2">
        <f>--(COUNTIFS($A$2:A2030,A2030,$D$2:D2030,D2030)=1)</f>
        <v>1</v>
      </c>
    </row>
    <row r="2031" spans="1:5">
      <c r="A2031" t="str">
        <f>检查点拆解!A2031</f>
        <v>Q0297</v>
      </c>
      <c r="B2031" t="str">
        <f>检查点拆解!D2031</f>
        <v>C27</v>
      </c>
      <c r="C2031" s="2">
        <f>--(COUNTIFS($A$2:A2031,A2031,$B$2:B2031,B2031)=1)</f>
        <v>1</v>
      </c>
      <c r="D2031" t="str">
        <f>检查点拆解!F2031</f>
        <v>D11.02.01</v>
      </c>
      <c r="E2031" s="2">
        <f>--(COUNTIFS($A$2:A2031,A2031,$D$2:D2031,D2031)=1)</f>
        <v>1</v>
      </c>
    </row>
    <row r="2032" spans="1:5">
      <c r="A2032" t="str">
        <f>检查点拆解!A2032</f>
        <v>Q0297</v>
      </c>
      <c r="B2032" t="str">
        <f>检查点拆解!D2032</f>
        <v>C27</v>
      </c>
      <c r="C2032" s="2">
        <f>--(COUNTIFS($A$2:A2032,A2032,$B$2:B2032,B2032)=1)</f>
        <v>0</v>
      </c>
      <c r="D2032" t="str">
        <f>检查点拆解!F2032</f>
        <v>D11.02.03</v>
      </c>
      <c r="E2032" s="2">
        <f>--(COUNTIFS($A$2:A2032,A2032,$D$2:D2032,D2032)=1)</f>
        <v>1</v>
      </c>
    </row>
    <row r="2033" spans="1:5">
      <c r="A2033" t="str">
        <f>检查点拆解!A2033</f>
        <v>Q0297</v>
      </c>
      <c r="B2033" t="str">
        <f>检查点拆解!D2033</f>
        <v>C18</v>
      </c>
      <c r="C2033" s="2">
        <f>--(COUNTIFS($A$2:A2033,A2033,$B$2:B2033,B2033)=1)</f>
        <v>1</v>
      </c>
      <c r="D2033" t="str">
        <f>检查点拆解!F2033</f>
        <v>D07.01.01</v>
      </c>
      <c r="E2033" s="2">
        <f>--(COUNTIFS($A$2:A2033,A2033,$D$2:D2033,D2033)=1)</f>
        <v>1</v>
      </c>
    </row>
    <row r="2034" spans="1:5">
      <c r="A2034" t="str">
        <f>检查点拆解!A2034</f>
        <v>Q0297</v>
      </c>
      <c r="B2034" t="str">
        <f>检查点拆解!D2034</f>
        <v>C25</v>
      </c>
      <c r="C2034" s="2">
        <f>--(COUNTIFS($A$2:A2034,A2034,$B$2:B2034,B2034)=1)</f>
        <v>1</v>
      </c>
      <c r="D2034" t="str">
        <f>检查点拆解!F2034</f>
        <v>D10.01.01</v>
      </c>
      <c r="E2034" s="2">
        <f>--(COUNTIFS($A$2:A2034,A2034,$D$2:D2034,D2034)=1)</f>
        <v>1</v>
      </c>
    </row>
    <row r="2035" spans="1:5">
      <c r="A2035" t="str">
        <f>检查点拆解!A2035</f>
        <v>Q0298</v>
      </c>
      <c r="B2035" t="str">
        <f>检查点拆解!D2035</f>
        <v>C30</v>
      </c>
      <c r="C2035" s="2">
        <f>--(COUNTIFS($A$2:A2035,A2035,$B$2:B2035,B2035)=1)</f>
        <v>1</v>
      </c>
      <c r="D2035" t="str">
        <f>检查点拆解!F2035</f>
        <v>D15.01.02</v>
      </c>
      <c r="E2035" s="2">
        <f>--(COUNTIFS($A$2:A2035,A2035,$D$2:D2035,D2035)=1)</f>
        <v>1</v>
      </c>
    </row>
    <row r="2036" spans="1:5">
      <c r="A2036" t="str">
        <f>检查点拆解!A2036</f>
        <v>Q0298</v>
      </c>
      <c r="B2036" t="str">
        <f>检查点拆解!D2036</f>
        <v>C11</v>
      </c>
      <c r="C2036" s="2">
        <f>--(COUNTIFS($A$2:A2036,A2036,$B$2:B2036,B2036)=1)</f>
        <v>1</v>
      </c>
      <c r="D2036" t="str">
        <f>检查点拆解!F2036</f>
        <v>D04.03.02</v>
      </c>
      <c r="E2036" s="2">
        <f>--(COUNTIFS($A$2:A2036,A2036,$D$2:D2036,D2036)=1)</f>
        <v>1</v>
      </c>
    </row>
    <row r="2037" spans="1:5">
      <c r="A2037" t="str">
        <f>检查点拆解!A2037</f>
        <v>Q0298</v>
      </c>
      <c r="B2037" t="str">
        <f>检查点拆解!D2037</f>
        <v>C27</v>
      </c>
      <c r="C2037" s="2">
        <f>--(COUNTIFS($A$2:A2037,A2037,$B$2:B2037,B2037)=1)</f>
        <v>1</v>
      </c>
      <c r="D2037" t="str">
        <f>检查点拆解!F2037</f>
        <v>D11.01.02</v>
      </c>
      <c r="E2037" s="2">
        <f>--(COUNTIFS($A$2:A2037,A2037,$D$2:D2037,D2037)=1)</f>
        <v>1</v>
      </c>
    </row>
    <row r="2038" spans="1:5">
      <c r="A2038" t="str">
        <f>检查点拆解!A2038</f>
        <v>Q0298</v>
      </c>
      <c r="B2038" t="str">
        <f>检查点拆解!D2038</f>
        <v>C06</v>
      </c>
      <c r="C2038" s="2">
        <f>--(COUNTIFS($A$2:A2038,A2038,$B$2:B2038,B2038)=1)</f>
        <v>1</v>
      </c>
      <c r="D2038" t="str">
        <f>检查点拆解!F2038</f>
        <v>D03.01.03</v>
      </c>
      <c r="E2038" s="2">
        <f>--(COUNTIFS($A$2:A2038,A2038,$D$2:D2038,D2038)=1)</f>
        <v>1</v>
      </c>
    </row>
    <row r="2039" spans="1:5">
      <c r="A2039" t="str">
        <f>检查点拆解!A2039</f>
        <v>Q0298</v>
      </c>
      <c r="B2039" t="str">
        <f>检查点拆解!D2039</f>
        <v>C25</v>
      </c>
      <c r="C2039" s="2">
        <f>--(COUNTIFS($A$2:A2039,A2039,$B$2:B2039,B2039)=1)</f>
        <v>1</v>
      </c>
      <c r="D2039" t="str">
        <f>检查点拆解!F2039</f>
        <v>D10.01.01</v>
      </c>
      <c r="E2039" s="2">
        <f>--(COUNTIFS($A$2:A2039,A2039,$D$2:D2039,D2039)=1)</f>
        <v>1</v>
      </c>
    </row>
    <row r="2040" spans="1:5">
      <c r="A2040" t="str">
        <f>检查点拆解!A2040</f>
        <v>Q0298</v>
      </c>
      <c r="B2040" t="str">
        <f>检查点拆解!D2040</f>
        <v>C30</v>
      </c>
      <c r="C2040" s="2">
        <f>--(COUNTIFS($A$2:A2040,A2040,$B$2:B2040,B2040)=1)</f>
        <v>0</v>
      </c>
      <c r="D2040" t="str">
        <f>检查点拆解!F2040</f>
        <v>D15.01.04</v>
      </c>
      <c r="E2040" s="2">
        <f>--(COUNTIFS($A$2:A2040,A2040,$D$2:D2040,D2040)=1)</f>
        <v>1</v>
      </c>
    </row>
    <row r="2041" spans="1:5">
      <c r="A2041" t="str">
        <f>检查点拆解!A2041</f>
        <v>Q0299</v>
      </c>
      <c r="B2041" t="str">
        <f>检查点拆解!D2041</f>
        <v>C30</v>
      </c>
      <c r="C2041" s="2">
        <f>--(COUNTIFS($A$2:A2041,A2041,$B$2:B2041,B2041)=1)</f>
        <v>1</v>
      </c>
      <c r="D2041" t="str">
        <f>检查点拆解!F2041</f>
        <v>D15.01.02</v>
      </c>
      <c r="E2041" s="2">
        <f>--(COUNTIFS($A$2:A2041,A2041,$D$2:D2041,D2041)=1)</f>
        <v>1</v>
      </c>
    </row>
    <row r="2042" spans="1:5">
      <c r="A2042" t="str">
        <f>检查点拆解!A2042</f>
        <v>Q0299</v>
      </c>
      <c r="B2042" t="str">
        <f>检查点拆解!D2042</f>
        <v>C11</v>
      </c>
      <c r="C2042" s="2">
        <f>--(COUNTIFS($A$2:A2042,A2042,$B$2:B2042,B2042)=1)</f>
        <v>1</v>
      </c>
      <c r="D2042" t="str">
        <f>检查点拆解!F2042</f>
        <v>D04.03.02</v>
      </c>
      <c r="E2042" s="2">
        <f>--(COUNTIFS($A$2:A2042,A2042,$D$2:D2042,D2042)=1)</f>
        <v>1</v>
      </c>
    </row>
    <row r="2043" spans="1:5">
      <c r="A2043" t="str">
        <f>检查点拆解!A2043</f>
        <v>Q0299</v>
      </c>
      <c r="B2043" t="str">
        <f>检查点拆解!D2043</f>
        <v>C25</v>
      </c>
      <c r="C2043" s="2">
        <f>--(COUNTIFS($A$2:A2043,A2043,$B$2:B2043,B2043)=1)</f>
        <v>1</v>
      </c>
      <c r="D2043" t="str">
        <f>检查点拆解!F2043</f>
        <v>D10.01.01</v>
      </c>
      <c r="E2043" s="2">
        <f>--(COUNTIFS($A$2:A2043,A2043,$D$2:D2043,D2043)=1)</f>
        <v>1</v>
      </c>
    </row>
    <row r="2044" spans="1:5">
      <c r="A2044" t="str">
        <f>检查点拆解!A2044</f>
        <v>Q0299</v>
      </c>
      <c r="B2044" t="str">
        <f>检查点拆解!D2044</f>
        <v>C30</v>
      </c>
      <c r="C2044" s="2">
        <f>--(COUNTIFS($A$2:A2044,A2044,$B$2:B2044,B2044)=1)</f>
        <v>0</v>
      </c>
      <c r="D2044" t="str">
        <f>检查点拆解!F2044</f>
        <v>D15.01.04</v>
      </c>
      <c r="E2044" s="2">
        <f>--(COUNTIFS($A$2:A2044,A2044,$D$2:D2044,D2044)=1)</f>
        <v>1</v>
      </c>
    </row>
    <row r="2045" spans="1:5">
      <c r="A2045" t="str">
        <f>检查点拆解!A2045</f>
        <v>Q0299</v>
      </c>
      <c r="B2045" t="str">
        <f>检查点拆解!D2045</f>
        <v>C06</v>
      </c>
      <c r="C2045" s="2">
        <f>--(COUNTIFS($A$2:A2045,A2045,$B$2:B2045,B2045)=1)</f>
        <v>1</v>
      </c>
      <c r="D2045" t="str">
        <f>检查点拆解!F2045</f>
        <v>D03.01.02</v>
      </c>
      <c r="E2045" s="2">
        <f>--(COUNTIFS($A$2:A2045,A2045,$D$2:D2045,D2045)=1)</f>
        <v>1</v>
      </c>
    </row>
    <row r="2046" spans="1:5">
      <c r="A2046" t="str">
        <f>检查点拆解!A2046</f>
        <v>Q0299</v>
      </c>
      <c r="B2046" t="str">
        <f>检查点拆解!D2046</f>
        <v>C13</v>
      </c>
      <c r="C2046" s="2">
        <f>--(COUNTIFS($A$2:A2046,A2046,$B$2:B2046,B2046)=1)</f>
        <v>1</v>
      </c>
      <c r="D2046" t="str">
        <f>检查点拆解!F2046</f>
        <v>D04.04.01</v>
      </c>
      <c r="E2046" s="2">
        <f>--(COUNTIFS($A$2:A2046,A2046,$D$2:D2046,D2046)=1)</f>
        <v>1</v>
      </c>
    </row>
    <row r="2047" spans="1:5">
      <c r="A2047" t="str">
        <f>检查点拆解!A2047</f>
        <v>Q0300</v>
      </c>
      <c r="B2047" t="str">
        <f>检查点拆解!D2047</f>
        <v>C30</v>
      </c>
      <c r="C2047" s="2">
        <f>--(COUNTIFS($A$2:A2047,A2047,$B$2:B2047,B2047)=1)</f>
        <v>1</v>
      </c>
      <c r="D2047" t="str">
        <f>检查点拆解!F2047</f>
        <v>D15.01.02</v>
      </c>
      <c r="E2047" s="2">
        <f>--(COUNTIFS($A$2:A2047,A2047,$D$2:D2047,D2047)=1)</f>
        <v>1</v>
      </c>
    </row>
    <row r="2048" spans="1:5">
      <c r="A2048" t="str">
        <f>检查点拆解!A2048</f>
        <v>Q0300</v>
      </c>
      <c r="B2048" t="str">
        <f>检查点拆解!D2048</f>
        <v>C27</v>
      </c>
      <c r="C2048" s="2">
        <f>--(COUNTIFS($A$2:A2048,A2048,$B$2:B2048,B2048)=1)</f>
        <v>1</v>
      </c>
      <c r="D2048" t="str">
        <f>检查点拆解!F2048</f>
        <v>D11.02.03</v>
      </c>
      <c r="E2048" s="2">
        <f>--(COUNTIFS($A$2:A2048,A2048,$D$2:D2048,D2048)=1)</f>
        <v>1</v>
      </c>
    </row>
    <row r="2049" spans="1:5">
      <c r="A2049" t="str">
        <f>检查点拆解!A2049</f>
        <v>Q0300</v>
      </c>
      <c r="B2049" t="str">
        <f>检查点拆解!D2049</f>
        <v>C05</v>
      </c>
      <c r="C2049" s="2">
        <f>--(COUNTIFS($A$2:A2049,A2049,$B$2:B2049,B2049)=1)</f>
        <v>1</v>
      </c>
      <c r="D2049" t="str">
        <f>检查点拆解!F2049</f>
        <v>D02.03.03</v>
      </c>
      <c r="E2049" s="2">
        <f>--(COUNTIFS($A$2:A2049,A2049,$D$2:D2049,D2049)=1)</f>
        <v>1</v>
      </c>
    </row>
    <row r="2050" spans="1:5">
      <c r="A2050" t="str">
        <f>检查点拆解!A2050</f>
        <v>Q0300</v>
      </c>
      <c r="B2050" t="str">
        <f>检查点拆解!D2050</f>
        <v>C03</v>
      </c>
      <c r="C2050" s="2">
        <f>--(COUNTIFS($A$2:A2050,A2050,$B$2:B2050,B2050)=1)</f>
        <v>1</v>
      </c>
      <c r="D2050" t="str">
        <f>检查点拆解!F2050</f>
        <v>D02.01.01</v>
      </c>
      <c r="E2050" s="2">
        <f>--(COUNTIFS($A$2:A2050,A2050,$D$2:D2050,D2050)=1)</f>
        <v>1</v>
      </c>
    </row>
    <row r="2051" spans="1:5">
      <c r="A2051" t="str">
        <f>检查点拆解!A2051</f>
        <v>Q0300</v>
      </c>
      <c r="B2051" t="str">
        <f>检查点拆解!D2051</f>
        <v>C08</v>
      </c>
      <c r="C2051" s="2">
        <f>--(COUNTIFS($A$2:A2051,A2051,$B$2:B2051,B2051)=1)</f>
        <v>1</v>
      </c>
      <c r="D2051" t="str">
        <f>检查点拆解!F2051</f>
        <v>D03.03.01</v>
      </c>
      <c r="E2051" s="2">
        <f>--(COUNTIFS($A$2:A2051,A2051,$D$2:D2051,D2051)=1)</f>
        <v>1</v>
      </c>
    </row>
    <row r="2052" spans="1:5">
      <c r="A2052" t="str">
        <f>检查点拆解!A2052</f>
        <v>Q0301</v>
      </c>
      <c r="B2052" t="str">
        <f>检查点拆解!D2052</f>
        <v>C27</v>
      </c>
      <c r="C2052" s="2">
        <f>--(COUNTIFS($A$2:A2052,A2052,$B$2:B2052,B2052)=1)</f>
        <v>1</v>
      </c>
      <c r="D2052" t="str">
        <f>检查点拆解!F2052</f>
        <v>D11.02.01</v>
      </c>
      <c r="E2052" s="2">
        <f>--(COUNTIFS($A$2:A2052,A2052,$D$2:D2052,D2052)=1)</f>
        <v>1</v>
      </c>
    </row>
    <row r="2053" spans="1:5">
      <c r="A2053" t="str">
        <f>检查点拆解!A2053</f>
        <v>Q0301</v>
      </c>
      <c r="B2053" t="str">
        <f>检查点拆解!D2053</f>
        <v>C26</v>
      </c>
      <c r="C2053" s="2">
        <f>--(COUNTIFS($A$2:A2053,A2053,$B$2:B2053,B2053)=1)</f>
        <v>1</v>
      </c>
      <c r="D2053" t="str">
        <f>检查点拆解!F2053</f>
        <v>D10.02.01</v>
      </c>
      <c r="E2053" s="2">
        <f>--(COUNTIFS($A$2:A2053,A2053,$D$2:D2053,D2053)=1)</f>
        <v>1</v>
      </c>
    </row>
    <row r="2054" spans="1:5">
      <c r="A2054" t="str">
        <f>检查点拆解!A2054</f>
        <v>Q0301</v>
      </c>
      <c r="B2054" t="str">
        <f>检查点拆解!D2054</f>
        <v>C04</v>
      </c>
      <c r="C2054" s="2">
        <f>--(COUNTIFS($A$2:A2054,A2054,$B$2:B2054,B2054)=1)</f>
        <v>1</v>
      </c>
      <c r="D2054" t="str">
        <f>检查点拆解!F2054</f>
        <v>D02.02.01</v>
      </c>
      <c r="E2054" s="2">
        <f>--(COUNTIFS($A$2:A2054,A2054,$D$2:D2054,D2054)=1)</f>
        <v>1</v>
      </c>
    </row>
    <row r="2055" spans="1:5">
      <c r="A2055" t="str">
        <f>检查点拆解!A2055</f>
        <v>Q0301</v>
      </c>
      <c r="B2055" t="str">
        <f>检查点拆解!D2055</f>
        <v>C28</v>
      </c>
      <c r="C2055" s="2">
        <f>--(COUNTIFS($A$2:A2055,A2055,$B$2:B2055,B2055)=1)</f>
        <v>1</v>
      </c>
      <c r="D2055" t="str">
        <f>检查点拆解!F2055</f>
        <v>D13.01.01</v>
      </c>
      <c r="E2055" s="2">
        <f>--(COUNTIFS($A$2:A2055,A2055,$D$2:D2055,D2055)=1)</f>
        <v>1</v>
      </c>
    </row>
    <row r="2056" spans="1:5">
      <c r="A2056" t="str">
        <f>检查点拆解!A2056</f>
        <v>Q0302</v>
      </c>
      <c r="B2056" t="str">
        <f>检查点拆解!D2056</f>
        <v>C30</v>
      </c>
      <c r="C2056" s="2">
        <f>--(COUNTIFS($A$2:A2056,A2056,$B$2:B2056,B2056)=1)</f>
        <v>1</v>
      </c>
      <c r="D2056" t="str">
        <f>检查点拆解!F2056</f>
        <v>D15.01.02</v>
      </c>
      <c r="E2056" s="2">
        <f>--(COUNTIFS($A$2:A2056,A2056,$D$2:D2056,D2056)=1)</f>
        <v>1</v>
      </c>
    </row>
    <row r="2057" spans="1:5">
      <c r="A2057" t="str">
        <f>检查点拆解!A2057</f>
        <v>Q0302</v>
      </c>
      <c r="B2057" t="str">
        <f>检查点拆解!D2057</f>
        <v>C25</v>
      </c>
      <c r="C2057" s="2">
        <f>--(COUNTIFS($A$2:A2057,A2057,$B$2:B2057,B2057)=1)</f>
        <v>1</v>
      </c>
      <c r="D2057" t="str">
        <f>检查点拆解!F2057</f>
        <v>D10.01.01</v>
      </c>
      <c r="E2057" s="2">
        <f>--(COUNTIFS($A$2:A2057,A2057,$D$2:D2057,D2057)=1)</f>
        <v>1</v>
      </c>
    </row>
    <row r="2058" spans="1:5">
      <c r="A2058" t="str">
        <f>检查点拆解!A2058</f>
        <v>Q0302</v>
      </c>
      <c r="B2058" t="str">
        <f>检查点拆解!D2058</f>
        <v>C28</v>
      </c>
      <c r="C2058" s="2">
        <f>--(COUNTIFS($A$2:A2058,A2058,$B$2:B2058,B2058)=1)</f>
        <v>1</v>
      </c>
      <c r="D2058" t="str">
        <f>检查点拆解!F2058</f>
        <v>D12.01.01</v>
      </c>
      <c r="E2058" s="2">
        <f>--(COUNTIFS($A$2:A2058,A2058,$D$2:D2058,D2058)=1)</f>
        <v>1</v>
      </c>
    </row>
    <row r="2059" spans="1:5">
      <c r="A2059" t="str">
        <f>检查点拆解!A2059</f>
        <v>Q0302</v>
      </c>
      <c r="B2059" t="str">
        <f>检查点拆解!D2059</f>
        <v>C04</v>
      </c>
      <c r="C2059" s="2">
        <f>--(COUNTIFS($A$2:A2059,A2059,$B$2:B2059,B2059)=1)</f>
        <v>1</v>
      </c>
      <c r="D2059" t="str">
        <f>检查点拆解!F2059</f>
        <v>D02.02.01</v>
      </c>
      <c r="E2059" s="2">
        <f>--(COUNTIFS($A$2:A2059,A2059,$D$2:D2059,D2059)=1)</f>
        <v>1</v>
      </c>
    </row>
    <row r="2060" spans="1:5">
      <c r="A2060" t="str">
        <f>检查点拆解!A2060</f>
        <v>Q0303</v>
      </c>
      <c r="B2060" t="str">
        <f>检查点拆解!D2060</f>
        <v>C27</v>
      </c>
      <c r="C2060" s="2">
        <f>--(COUNTIFS($A$2:A2060,A2060,$B$2:B2060,B2060)=1)</f>
        <v>1</v>
      </c>
      <c r="D2060" t="str">
        <f>检查点拆解!F2060</f>
        <v>D11.01.02</v>
      </c>
      <c r="E2060" s="2">
        <f>--(COUNTIFS($A$2:A2060,A2060,$D$2:D2060,D2060)=1)</f>
        <v>1</v>
      </c>
    </row>
    <row r="2061" spans="1:5">
      <c r="A2061" t="str">
        <f>检查点拆解!A2061</f>
        <v>Q0303</v>
      </c>
      <c r="B2061" t="str">
        <f>检查点拆解!D2061</f>
        <v>C24</v>
      </c>
      <c r="C2061" s="2">
        <f>--(COUNTIFS($A$2:A2061,A2061,$B$2:B2061,B2061)=1)</f>
        <v>1</v>
      </c>
      <c r="D2061" t="str">
        <f>检查点拆解!F2061</f>
        <v>D09.02.03</v>
      </c>
      <c r="E2061" s="2">
        <f>--(COUNTIFS($A$2:A2061,A2061,$D$2:D2061,D2061)=1)</f>
        <v>1</v>
      </c>
    </row>
    <row r="2062" spans="1:5">
      <c r="A2062" t="str">
        <f>检查点拆解!A2062</f>
        <v>Q0303</v>
      </c>
      <c r="B2062" t="str">
        <f>检查点拆解!D2062</f>
        <v>C25</v>
      </c>
      <c r="C2062" s="2">
        <f>--(COUNTIFS($A$2:A2062,A2062,$B$2:B2062,B2062)=1)</f>
        <v>1</v>
      </c>
      <c r="D2062" t="str">
        <f>检查点拆解!F2062</f>
        <v>D10.01.01</v>
      </c>
      <c r="E2062" s="2">
        <f>--(COUNTIFS($A$2:A2062,A2062,$D$2:D2062,D2062)=1)</f>
        <v>1</v>
      </c>
    </row>
    <row r="2063" spans="1:5">
      <c r="A2063" t="str">
        <f>检查点拆解!A2063</f>
        <v>Q0303</v>
      </c>
      <c r="B2063" t="str">
        <f>检查点拆解!D2063</f>
        <v>C28</v>
      </c>
      <c r="C2063" s="2">
        <f>--(COUNTIFS($A$2:A2063,A2063,$B$2:B2063,B2063)=1)</f>
        <v>1</v>
      </c>
      <c r="D2063" t="str">
        <f>检查点拆解!F2063</f>
        <v>D12.01.02</v>
      </c>
      <c r="E2063" s="2">
        <f>--(COUNTIFS($A$2:A2063,A2063,$D$2:D2063,D2063)=1)</f>
        <v>1</v>
      </c>
    </row>
    <row r="2064" spans="1:5">
      <c r="A2064" t="str">
        <f>检查点拆解!A2064</f>
        <v>Q0303</v>
      </c>
      <c r="B2064" t="str">
        <f>检查点拆解!D2064</f>
        <v>C05</v>
      </c>
      <c r="C2064" s="2">
        <f>--(COUNTIFS($A$2:A2064,A2064,$B$2:B2064,B2064)=1)</f>
        <v>1</v>
      </c>
      <c r="D2064" t="str">
        <f>检查点拆解!F2064</f>
        <v>D02.03.02</v>
      </c>
      <c r="E2064" s="2">
        <f>--(COUNTIFS($A$2:A2064,A2064,$D$2:D2064,D2064)=1)</f>
        <v>1</v>
      </c>
    </row>
    <row r="2065" spans="1:5">
      <c r="A2065" t="str">
        <f>检查点拆解!A2065</f>
        <v>Q0304</v>
      </c>
      <c r="B2065" t="str">
        <f>检查点拆解!D2065</f>
        <v>C24</v>
      </c>
      <c r="C2065" s="2">
        <f>--(COUNTIFS($A$2:A2065,A2065,$B$2:B2065,B2065)=1)</f>
        <v>1</v>
      </c>
      <c r="D2065" t="str">
        <f>检查点拆解!F2065</f>
        <v>D09.02.02</v>
      </c>
      <c r="E2065" s="2">
        <f>--(COUNTIFS($A$2:A2065,A2065,$D$2:D2065,D2065)=1)</f>
        <v>1</v>
      </c>
    </row>
    <row r="2066" spans="1:5">
      <c r="A2066" t="str">
        <f>检查点拆解!A2066</f>
        <v>Q0304</v>
      </c>
      <c r="B2066" t="str">
        <f>检查点拆解!D2066</f>
        <v>C25</v>
      </c>
      <c r="C2066" s="2">
        <f>--(COUNTIFS($A$2:A2066,A2066,$B$2:B2066,B2066)=1)</f>
        <v>1</v>
      </c>
      <c r="D2066" t="str">
        <f>检查点拆解!F2066</f>
        <v>D10.01.01</v>
      </c>
      <c r="E2066" s="2">
        <f>--(COUNTIFS($A$2:A2066,A2066,$D$2:D2066,D2066)=1)</f>
        <v>1</v>
      </c>
    </row>
    <row r="2067" spans="1:5">
      <c r="A2067" t="str">
        <f>检查点拆解!A2067</f>
        <v>Q0304</v>
      </c>
      <c r="B2067" t="str">
        <f>检查点拆解!D2067</f>
        <v>C28</v>
      </c>
      <c r="C2067" s="2">
        <f>--(COUNTIFS($A$2:A2067,A2067,$B$2:B2067,B2067)=1)</f>
        <v>1</v>
      </c>
      <c r="D2067" t="str">
        <f>检查点拆解!F2067</f>
        <v>D12.02.01</v>
      </c>
      <c r="E2067" s="2">
        <f>--(COUNTIFS($A$2:A2067,A2067,$D$2:D2067,D2067)=1)</f>
        <v>1</v>
      </c>
    </row>
    <row r="2068" spans="1:5">
      <c r="A2068" t="str">
        <f>检查点拆解!A2068</f>
        <v>Q0304</v>
      </c>
      <c r="B2068" t="str">
        <f>检查点拆解!D2068</f>
        <v>C26</v>
      </c>
      <c r="C2068" s="2">
        <f>--(COUNTIFS($A$2:A2068,A2068,$B$2:B2068,B2068)=1)</f>
        <v>1</v>
      </c>
      <c r="D2068" t="str">
        <f>检查点拆解!F2068</f>
        <v>D10.02.01</v>
      </c>
      <c r="E2068" s="2">
        <f>--(COUNTIFS($A$2:A2068,A2068,$D$2:D2068,D2068)=1)</f>
        <v>1</v>
      </c>
    </row>
    <row r="2069" spans="1:5">
      <c r="A2069" t="str">
        <f>检查点拆解!A2069</f>
        <v>Q0304</v>
      </c>
      <c r="B2069" t="str">
        <f>检查点拆解!D2069</f>
        <v>C28</v>
      </c>
      <c r="C2069" s="2">
        <f>--(COUNTIFS($A$2:A2069,A2069,$B$2:B2069,B2069)=1)</f>
        <v>0</v>
      </c>
      <c r="D2069" t="str">
        <f>检查点拆解!F2069</f>
        <v>D12.01.01</v>
      </c>
      <c r="E2069" s="2">
        <f>--(COUNTIFS($A$2:A2069,A2069,$D$2:D2069,D2069)=1)</f>
        <v>1</v>
      </c>
    </row>
    <row r="2070" spans="1:5">
      <c r="A2070" t="str">
        <f>检查点拆解!A2070</f>
        <v>Q0304</v>
      </c>
      <c r="B2070" t="str">
        <f>检查点拆解!D2070</f>
        <v>C28</v>
      </c>
      <c r="C2070" s="2">
        <f>--(COUNTIFS($A$2:A2070,A2070,$B$2:B2070,B2070)=1)</f>
        <v>0</v>
      </c>
      <c r="D2070" t="str">
        <f>检查点拆解!F2070</f>
        <v>D12.01.02</v>
      </c>
      <c r="E2070" s="2">
        <f>--(COUNTIFS($A$2:A2070,A2070,$D$2:D2070,D2070)=1)</f>
        <v>1</v>
      </c>
    </row>
    <row r="2071" spans="1:5">
      <c r="A2071" t="str">
        <f>检查点拆解!A2071</f>
        <v>Q0304</v>
      </c>
      <c r="B2071" t="str">
        <f>检查点拆解!D2071</f>
        <v>C28</v>
      </c>
      <c r="C2071" s="2">
        <f>--(COUNTIFS($A$2:A2071,A2071,$B$2:B2071,B2071)=1)</f>
        <v>0</v>
      </c>
      <c r="D2071" t="str">
        <f>检查点拆解!F2071</f>
        <v>D13.01.01</v>
      </c>
      <c r="E2071" s="2">
        <f>--(COUNTIFS($A$2:A2071,A2071,$D$2:D2071,D2071)=1)</f>
        <v>1</v>
      </c>
    </row>
    <row r="2072" spans="1:5">
      <c r="A2072" t="str">
        <f>检查点拆解!A2072</f>
        <v>Q0304</v>
      </c>
      <c r="B2072" t="str">
        <f>检查点拆解!D2072</f>
        <v>C05</v>
      </c>
      <c r="C2072" s="2">
        <f>--(COUNTIFS($A$2:A2072,A2072,$B$2:B2072,B2072)=1)</f>
        <v>1</v>
      </c>
      <c r="D2072" t="str">
        <f>检查点拆解!F2072</f>
        <v>D02.03.01</v>
      </c>
      <c r="E2072" s="2">
        <f>--(COUNTIFS($A$2:A2072,A2072,$D$2:D2072,D2072)=1)</f>
        <v>1</v>
      </c>
    </row>
    <row r="2073" spans="1:5">
      <c r="A2073" t="str">
        <f>检查点拆解!A2073</f>
        <v>Q0305</v>
      </c>
      <c r="B2073" t="str">
        <f>检查点拆解!D2073</f>
        <v>C19</v>
      </c>
      <c r="C2073" s="2">
        <f>--(COUNTIFS($A$2:A2073,A2073,$B$2:B2073,B2073)=1)</f>
        <v>1</v>
      </c>
      <c r="D2073" t="str">
        <f>检查点拆解!F2073</f>
        <v>D07.02.02</v>
      </c>
      <c r="E2073" s="2">
        <f>--(COUNTIFS($A$2:A2073,A2073,$D$2:D2073,D2073)=1)</f>
        <v>1</v>
      </c>
    </row>
    <row r="2074" spans="1:5">
      <c r="A2074" t="str">
        <f>检查点拆解!A2074</f>
        <v>Q0305</v>
      </c>
      <c r="B2074" t="str">
        <f>检查点拆解!D2074</f>
        <v>C06</v>
      </c>
      <c r="C2074" s="2">
        <f>--(COUNTIFS($A$2:A2074,A2074,$B$2:B2074,B2074)=1)</f>
        <v>1</v>
      </c>
      <c r="D2074" t="str">
        <f>检查点拆解!F2074</f>
        <v>D03.01.03</v>
      </c>
      <c r="E2074" s="2">
        <f>--(COUNTIFS($A$2:A2074,A2074,$D$2:D2074,D2074)=1)</f>
        <v>1</v>
      </c>
    </row>
    <row r="2075" spans="1:5">
      <c r="A2075" t="str">
        <f>检查点拆解!A2075</f>
        <v>Q0306</v>
      </c>
      <c r="B2075" t="str">
        <f>检查点拆解!D2075</f>
        <v>C11</v>
      </c>
      <c r="C2075" s="2">
        <f>--(COUNTIFS($A$2:A2075,A2075,$B$2:B2075,B2075)=1)</f>
        <v>1</v>
      </c>
      <c r="D2075" t="str">
        <f>检查点拆解!F2075</f>
        <v>D04.03.02</v>
      </c>
      <c r="E2075" s="2">
        <f>--(COUNTIFS($A$2:A2075,A2075,$D$2:D2075,D2075)=1)</f>
        <v>1</v>
      </c>
    </row>
    <row r="2076" spans="1:5">
      <c r="A2076" t="str">
        <f>检查点拆解!A2076</f>
        <v>Q0306</v>
      </c>
      <c r="B2076" t="str">
        <f>检查点拆解!D2076</f>
        <v>C30</v>
      </c>
      <c r="C2076" s="2">
        <f>--(COUNTIFS($A$2:A2076,A2076,$B$2:B2076,B2076)=1)</f>
        <v>1</v>
      </c>
      <c r="D2076" t="str">
        <f>检查点拆解!F2076</f>
        <v>D15.02.01</v>
      </c>
      <c r="E2076" s="2">
        <f>--(COUNTIFS($A$2:A2076,A2076,$D$2:D2076,D2076)=1)</f>
        <v>1</v>
      </c>
    </row>
    <row r="2077" spans="1:5">
      <c r="A2077" t="str">
        <f>检查点拆解!A2077</f>
        <v>Q0306</v>
      </c>
      <c r="B2077" t="str">
        <f>检查点拆解!D2077</f>
        <v>C24</v>
      </c>
      <c r="C2077" s="2">
        <f>--(COUNTIFS($A$2:A2077,A2077,$B$2:B2077,B2077)=1)</f>
        <v>1</v>
      </c>
      <c r="D2077" t="str">
        <f>检查点拆解!F2077</f>
        <v>D09.03.03</v>
      </c>
      <c r="E2077" s="2">
        <f>--(COUNTIFS($A$2:A2077,A2077,$D$2:D2077,D2077)=1)</f>
        <v>1</v>
      </c>
    </row>
    <row r="2078" spans="1:5">
      <c r="A2078" t="str">
        <f>检查点拆解!A2078</f>
        <v>Q0306</v>
      </c>
      <c r="B2078" t="str">
        <f>检查点拆解!D2078</f>
        <v>C21</v>
      </c>
      <c r="C2078" s="2">
        <f>--(COUNTIFS($A$2:A2078,A2078,$B$2:B2078,B2078)=1)</f>
        <v>1</v>
      </c>
      <c r="D2078" t="str">
        <f>检查点拆解!F2078</f>
        <v>D07.03.01</v>
      </c>
      <c r="E2078" s="2">
        <f>--(COUNTIFS($A$2:A2078,A2078,$D$2:D2078,D2078)=1)</f>
        <v>1</v>
      </c>
    </row>
    <row r="2079" spans="1:5">
      <c r="A2079" t="str">
        <f>检查点拆解!A2079</f>
        <v>Q0306</v>
      </c>
      <c r="B2079" t="str">
        <f>检查点拆解!D2079</f>
        <v>C25</v>
      </c>
      <c r="C2079" s="2">
        <f>--(COUNTIFS($A$2:A2079,A2079,$B$2:B2079,B2079)=1)</f>
        <v>1</v>
      </c>
      <c r="D2079" t="str">
        <f>检查点拆解!F2079</f>
        <v>D10.01.01</v>
      </c>
      <c r="E2079" s="2">
        <f>--(COUNTIFS($A$2:A2079,A2079,$D$2:D2079,D2079)=1)</f>
        <v>1</v>
      </c>
    </row>
    <row r="2080" spans="1:5">
      <c r="A2080" t="str">
        <f>检查点拆解!A2080</f>
        <v>Q0306</v>
      </c>
      <c r="B2080" t="str">
        <f>检查点拆解!D2080</f>
        <v>C09</v>
      </c>
      <c r="C2080" s="2">
        <f>--(COUNTIFS($A$2:A2080,A2080,$B$2:B2080,B2080)=1)</f>
        <v>1</v>
      </c>
      <c r="D2080" t="str">
        <f>检查点拆解!F2080</f>
        <v>D04.02.02</v>
      </c>
      <c r="E2080" s="2">
        <f>--(COUNTIFS($A$2:A2080,A2080,$D$2:D2080,D2080)=1)</f>
        <v>1</v>
      </c>
    </row>
    <row r="2081" spans="1:5">
      <c r="A2081" t="str">
        <f>检查点拆解!A2081</f>
        <v>Q0306</v>
      </c>
      <c r="B2081" t="str">
        <f>检查点拆解!D2081</f>
        <v>C17</v>
      </c>
      <c r="C2081" s="2">
        <f>--(COUNTIFS($A$2:A2081,A2081,$B$2:B2081,B2081)=1)</f>
        <v>1</v>
      </c>
      <c r="D2081" t="str">
        <f>检查点拆解!F2081</f>
        <v>D06.01.01</v>
      </c>
      <c r="E2081" s="2">
        <f>--(COUNTIFS($A$2:A2081,A2081,$D$2:D2081,D2081)=1)</f>
        <v>1</v>
      </c>
    </row>
    <row r="2082" spans="1:5">
      <c r="A2082" t="str">
        <f>检查点拆解!A2082</f>
        <v>Q0306</v>
      </c>
      <c r="B2082" t="str">
        <f>检查点拆解!D2082</f>
        <v>C30</v>
      </c>
      <c r="C2082" s="2">
        <f>--(COUNTIFS($A$2:A2082,A2082,$B$2:B2082,B2082)=1)</f>
        <v>0</v>
      </c>
      <c r="D2082" t="str">
        <f>检查点拆解!F2082</f>
        <v>D15.01.04</v>
      </c>
      <c r="E2082" s="2">
        <f>--(COUNTIFS($A$2:A2082,A2082,$D$2:D2082,D2082)=1)</f>
        <v>1</v>
      </c>
    </row>
    <row r="2083" spans="1:5">
      <c r="A2083" t="str">
        <f>检查点拆解!A2083</f>
        <v>Q0306</v>
      </c>
      <c r="B2083" t="str">
        <f>检查点拆解!D2083</f>
        <v>C08</v>
      </c>
      <c r="C2083" s="2">
        <f>--(COUNTIFS($A$2:A2083,A2083,$B$2:B2083,B2083)=1)</f>
        <v>1</v>
      </c>
      <c r="D2083" t="str">
        <f>检查点拆解!F2083</f>
        <v>D04.01.03</v>
      </c>
      <c r="E2083" s="2">
        <f>--(COUNTIFS($A$2:A2083,A2083,$D$2:D2083,D2083)=1)</f>
        <v>1</v>
      </c>
    </row>
    <row r="2084" spans="1:5">
      <c r="A2084" t="str">
        <f>检查点拆解!A2084</f>
        <v>Q0306</v>
      </c>
      <c r="B2084" t="str">
        <f>检查点拆解!D2084</f>
        <v>C26</v>
      </c>
      <c r="C2084" s="2">
        <f>--(COUNTIFS($A$2:A2084,A2084,$B$2:B2084,B2084)=1)</f>
        <v>1</v>
      </c>
      <c r="D2084" t="str">
        <f>检查点拆解!F2084</f>
        <v>D10.02.01</v>
      </c>
      <c r="E2084" s="2">
        <f>--(COUNTIFS($A$2:A2084,A2084,$D$2:D2084,D2084)=1)</f>
        <v>1</v>
      </c>
    </row>
    <row r="2085" spans="1:5">
      <c r="A2085" t="str">
        <f>检查点拆解!A2085</f>
        <v>Q0306</v>
      </c>
      <c r="B2085" t="str">
        <f>检查点拆解!D2085</f>
        <v>C04</v>
      </c>
      <c r="C2085" s="2">
        <f>--(COUNTIFS($A$2:A2085,A2085,$B$2:B2085,B2085)=1)</f>
        <v>1</v>
      </c>
      <c r="D2085" t="str">
        <f>检查点拆解!F2085</f>
        <v>D02.02.01</v>
      </c>
      <c r="E2085" s="2">
        <f>--(COUNTIFS($A$2:A2085,A2085,$D$2:D2085,D2085)=1)</f>
        <v>1</v>
      </c>
    </row>
    <row r="2086" spans="1:5">
      <c r="A2086" t="str">
        <f>检查点拆解!A2086</f>
        <v>Q0306</v>
      </c>
      <c r="B2086" t="str">
        <f>检查点拆解!D2086</f>
        <v>C06</v>
      </c>
      <c r="C2086" s="2">
        <f>--(COUNTIFS($A$2:A2086,A2086,$B$2:B2086,B2086)=1)</f>
        <v>1</v>
      </c>
      <c r="D2086" t="str">
        <f>检查点拆解!F2086</f>
        <v>D03.01.01</v>
      </c>
      <c r="E2086" s="2">
        <f>--(COUNTIFS($A$2:A2086,A2086,$D$2:D2086,D2086)=1)</f>
        <v>1</v>
      </c>
    </row>
    <row r="2087" spans="1:5">
      <c r="A2087" t="str">
        <f>检查点拆解!A2087</f>
        <v>Q0307</v>
      </c>
      <c r="B2087" t="str">
        <f>检查点拆解!D2087</f>
        <v>C30</v>
      </c>
      <c r="C2087" s="2">
        <f>--(COUNTIFS($A$2:A2087,A2087,$B$2:B2087,B2087)=1)</f>
        <v>1</v>
      </c>
      <c r="D2087" t="str">
        <f>检查点拆解!F2087</f>
        <v>D15.01.02</v>
      </c>
      <c r="E2087" s="2">
        <f>--(COUNTIFS($A$2:A2087,A2087,$D$2:D2087,D2087)=1)</f>
        <v>1</v>
      </c>
    </row>
    <row r="2088" spans="1:5">
      <c r="A2088" t="str">
        <f>检查点拆解!A2088</f>
        <v>Q0307</v>
      </c>
      <c r="B2088" t="str">
        <f>检查点拆解!D2088</f>
        <v>C27</v>
      </c>
      <c r="C2088" s="2">
        <f>--(COUNTIFS($A$2:A2088,A2088,$B$2:B2088,B2088)=1)</f>
        <v>1</v>
      </c>
      <c r="D2088" t="str">
        <f>检查点拆解!F2088</f>
        <v>D11.02.01</v>
      </c>
      <c r="E2088" s="2">
        <f>--(COUNTIFS($A$2:A2088,A2088,$D$2:D2088,D2088)=1)</f>
        <v>1</v>
      </c>
    </row>
    <row r="2089" spans="1:5">
      <c r="A2089" t="str">
        <f>检查点拆解!A2089</f>
        <v>Q0307</v>
      </c>
      <c r="B2089" t="str">
        <f>检查点拆解!D2089</f>
        <v>C30</v>
      </c>
      <c r="C2089" s="2">
        <f>--(COUNTIFS($A$2:A2089,A2089,$B$2:B2089,B2089)=1)</f>
        <v>0</v>
      </c>
      <c r="D2089" t="str">
        <f>检查点拆解!F2089</f>
        <v>D15.01.03</v>
      </c>
      <c r="E2089" s="2">
        <f>--(COUNTIFS($A$2:A2089,A2089,$D$2:D2089,D2089)=1)</f>
        <v>1</v>
      </c>
    </row>
    <row r="2090" spans="1:5">
      <c r="A2090" t="str">
        <f>检查点拆解!A2090</f>
        <v>Q0307</v>
      </c>
      <c r="B2090" t="str">
        <f>检查点拆解!D2090</f>
        <v>C24</v>
      </c>
      <c r="C2090" s="2">
        <f>--(COUNTIFS($A$2:A2090,A2090,$B$2:B2090,B2090)=1)</f>
        <v>1</v>
      </c>
      <c r="D2090" t="str">
        <f>检查点拆解!F2090</f>
        <v>D09.02.03</v>
      </c>
      <c r="E2090" s="2">
        <f>--(COUNTIFS($A$2:A2090,A2090,$D$2:D2090,D2090)=1)</f>
        <v>1</v>
      </c>
    </row>
    <row r="2091" spans="1:5">
      <c r="A2091" t="str">
        <f>检查点拆解!A2091</f>
        <v>Q0307</v>
      </c>
      <c r="B2091" t="str">
        <f>检查点拆解!D2091</f>
        <v>C28</v>
      </c>
      <c r="C2091" s="2">
        <f>--(COUNTIFS($A$2:A2091,A2091,$B$2:B2091,B2091)=1)</f>
        <v>1</v>
      </c>
      <c r="D2091" t="str">
        <f>检查点拆解!F2091</f>
        <v>D12.01.02</v>
      </c>
      <c r="E2091" s="2">
        <f>--(COUNTIFS($A$2:A2091,A2091,$D$2:D2091,D2091)=1)</f>
        <v>1</v>
      </c>
    </row>
    <row r="2092" spans="1:5">
      <c r="A2092" t="str">
        <f>检查点拆解!A2092</f>
        <v>Q0307</v>
      </c>
      <c r="B2092" t="str">
        <f>检查点拆解!D2092</f>
        <v>C05</v>
      </c>
      <c r="C2092" s="2">
        <f>--(COUNTIFS($A$2:A2092,A2092,$B$2:B2092,B2092)=1)</f>
        <v>1</v>
      </c>
      <c r="D2092" t="str">
        <f>检查点拆解!F2092</f>
        <v>D02.03.01</v>
      </c>
      <c r="E2092" s="2">
        <f>--(COUNTIFS($A$2:A2092,A2092,$D$2:D2092,D2092)=1)</f>
        <v>1</v>
      </c>
    </row>
    <row r="2093" spans="1:5">
      <c r="A2093" t="str">
        <f>检查点拆解!A2093</f>
        <v>Q0308</v>
      </c>
      <c r="B2093" t="str">
        <f>检查点拆解!D2093</f>
        <v>C24</v>
      </c>
      <c r="C2093" s="2">
        <f>--(COUNTIFS($A$2:A2093,A2093,$B$2:B2093,B2093)=1)</f>
        <v>1</v>
      </c>
      <c r="D2093" t="str">
        <f>检查点拆解!F2093</f>
        <v>D09.02.02</v>
      </c>
      <c r="E2093" s="2">
        <f>--(COUNTIFS($A$2:A2093,A2093,$D$2:D2093,D2093)=1)</f>
        <v>1</v>
      </c>
    </row>
    <row r="2094" spans="1:5">
      <c r="A2094" t="str">
        <f>检查点拆解!A2094</f>
        <v>Q0308</v>
      </c>
      <c r="B2094" t="str">
        <f>检查点拆解!D2094</f>
        <v>C27</v>
      </c>
      <c r="C2094" s="2">
        <f>--(COUNTIFS($A$2:A2094,A2094,$B$2:B2094,B2094)=1)</f>
        <v>1</v>
      </c>
      <c r="D2094" t="str">
        <f>检查点拆解!F2094</f>
        <v>D11.02.01</v>
      </c>
      <c r="E2094" s="2">
        <f>--(COUNTIFS($A$2:A2094,A2094,$D$2:D2094,D2094)=1)</f>
        <v>1</v>
      </c>
    </row>
    <row r="2095" spans="1:5">
      <c r="A2095" t="str">
        <f>检查点拆解!A2095</f>
        <v>Q0308</v>
      </c>
      <c r="B2095" t="str">
        <f>检查点拆解!D2095</f>
        <v>C27</v>
      </c>
      <c r="C2095" s="2">
        <f>--(COUNTIFS($A$2:A2095,A2095,$B$2:B2095,B2095)=1)</f>
        <v>0</v>
      </c>
      <c r="D2095" t="str">
        <f>检查点拆解!F2095</f>
        <v>D11.02.03</v>
      </c>
      <c r="E2095" s="2">
        <f>--(COUNTIFS($A$2:A2095,A2095,$D$2:D2095,D2095)=1)</f>
        <v>1</v>
      </c>
    </row>
    <row r="2096" spans="1:5">
      <c r="A2096" t="str">
        <f>检查点拆解!A2096</f>
        <v>Q0308</v>
      </c>
      <c r="B2096" t="str">
        <f>检查点拆解!D2096</f>
        <v>C28</v>
      </c>
      <c r="C2096" s="2">
        <f>--(COUNTIFS($A$2:A2096,A2096,$B$2:B2096,B2096)=1)</f>
        <v>1</v>
      </c>
      <c r="D2096" t="str">
        <f>检查点拆解!F2096</f>
        <v>D12.02.01</v>
      </c>
      <c r="E2096" s="2">
        <f>--(COUNTIFS($A$2:A2096,A2096,$D$2:D2096,D2096)=1)</f>
        <v>1</v>
      </c>
    </row>
    <row r="2097" spans="1:5">
      <c r="A2097" t="str">
        <f>检查点拆解!A2097</f>
        <v>Q0308</v>
      </c>
      <c r="B2097" t="str">
        <f>检查点拆解!D2097</f>
        <v>C28</v>
      </c>
      <c r="C2097" s="2">
        <f>--(COUNTIFS($A$2:A2097,A2097,$B$2:B2097,B2097)=1)</f>
        <v>0</v>
      </c>
      <c r="D2097" t="str">
        <f>检查点拆解!F2097</f>
        <v>D12.01.01</v>
      </c>
      <c r="E2097" s="2">
        <f>--(COUNTIFS($A$2:A2097,A2097,$D$2:D2097,D2097)=1)</f>
        <v>1</v>
      </c>
    </row>
    <row r="2098" spans="1:5">
      <c r="A2098" t="str">
        <f>检查点拆解!A2098</f>
        <v>Q0308</v>
      </c>
      <c r="B2098" t="str">
        <f>检查点拆解!D2098</f>
        <v>C28</v>
      </c>
      <c r="C2098" s="2">
        <f>--(COUNTIFS($A$2:A2098,A2098,$B$2:B2098,B2098)=1)</f>
        <v>0</v>
      </c>
      <c r="D2098" t="str">
        <f>检查点拆解!F2098</f>
        <v>D12.01.02</v>
      </c>
      <c r="E2098" s="2">
        <f>--(COUNTIFS($A$2:A2098,A2098,$D$2:D2098,D2098)=1)</f>
        <v>1</v>
      </c>
    </row>
    <row r="2099" spans="1:5">
      <c r="A2099" t="str">
        <f>检查点拆解!A2099</f>
        <v>Q0308</v>
      </c>
      <c r="B2099" t="str">
        <f>检查点拆解!D2099</f>
        <v>C17</v>
      </c>
      <c r="C2099" s="2">
        <f>--(COUNTIFS($A$2:A2099,A2099,$B$2:B2099,B2099)=1)</f>
        <v>1</v>
      </c>
      <c r="D2099" t="str">
        <f>检查点拆解!F2099</f>
        <v>D06.03.02</v>
      </c>
      <c r="E2099" s="2">
        <f>--(COUNTIFS($A$2:A2099,A2099,$D$2:D2099,D2099)=1)</f>
        <v>1</v>
      </c>
    </row>
    <row r="2100" spans="1:5">
      <c r="A2100" t="str">
        <f>检查点拆解!A2100</f>
        <v>Q0308</v>
      </c>
      <c r="B2100" t="str">
        <f>检查点拆解!D2100</f>
        <v>C04</v>
      </c>
      <c r="C2100" s="2">
        <f>--(COUNTIFS($A$2:A2100,A2100,$B$2:B2100,B2100)=1)</f>
        <v>1</v>
      </c>
      <c r="D2100" t="str">
        <f>检查点拆解!F2100</f>
        <v>D02.02.03</v>
      </c>
      <c r="E2100" s="2">
        <f>--(COUNTIFS($A$2:A2100,A2100,$D$2:D2100,D2100)=1)</f>
        <v>1</v>
      </c>
    </row>
    <row r="2101" spans="1:5">
      <c r="A2101" t="str">
        <f>检查点拆解!A2101</f>
        <v>Q0309</v>
      </c>
      <c r="B2101" t="str">
        <f>检查点拆解!D2101</f>
        <v>C27</v>
      </c>
      <c r="C2101" s="2">
        <f>--(COUNTIFS($A$2:A2101,A2101,$B$2:B2101,B2101)=1)</f>
        <v>1</v>
      </c>
      <c r="D2101" t="str">
        <f>检查点拆解!F2101</f>
        <v>D11.02.03</v>
      </c>
      <c r="E2101" s="2">
        <f>--(COUNTIFS($A$2:A2101,A2101,$D$2:D2101,D2101)=1)</f>
        <v>1</v>
      </c>
    </row>
    <row r="2102" spans="1:5">
      <c r="A2102" t="str">
        <f>检查点拆解!A2102</f>
        <v>Q0309</v>
      </c>
      <c r="B2102" t="str">
        <f>检查点拆解!D2102</f>
        <v>C28</v>
      </c>
      <c r="C2102" s="2">
        <f>--(COUNTIFS($A$2:A2102,A2102,$B$2:B2102,B2102)=1)</f>
        <v>1</v>
      </c>
      <c r="D2102" t="str">
        <f>检查点拆解!F2102</f>
        <v>D13.02.02</v>
      </c>
      <c r="E2102" s="2">
        <f>--(COUNTIFS($A$2:A2102,A2102,$D$2:D2102,D2102)=1)</f>
        <v>1</v>
      </c>
    </row>
    <row r="2103" spans="1:5">
      <c r="A2103" t="str">
        <f>检查点拆解!A2103</f>
        <v>Q0309</v>
      </c>
      <c r="B2103" t="str">
        <f>检查点拆解!D2103</f>
        <v>C14</v>
      </c>
      <c r="C2103" s="2">
        <f>--(COUNTIFS($A$2:A2103,A2103,$B$2:B2103,B2103)=1)</f>
        <v>1</v>
      </c>
      <c r="D2103" t="str">
        <f>检查点拆解!F2103</f>
        <v>D05.01.03</v>
      </c>
      <c r="E2103" s="2">
        <f>--(COUNTIFS($A$2:A2103,A2103,$D$2:D2103,D2103)=1)</f>
        <v>1</v>
      </c>
    </row>
    <row r="2104" spans="1:5">
      <c r="A2104" t="str">
        <f>检查点拆解!A2104</f>
        <v>Q0309</v>
      </c>
      <c r="B2104" t="str">
        <f>检查点拆解!D2104</f>
        <v>C05</v>
      </c>
      <c r="C2104" s="2">
        <f>--(COUNTIFS($A$2:A2104,A2104,$B$2:B2104,B2104)=1)</f>
        <v>1</v>
      </c>
      <c r="D2104" t="str">
        <f>检查点拆解!F2104</f>
        <v>D02.03.03</v>
      </c>
      <c r="E2104" s="2">
        <f>--(COUNTIFS($A$2:A2104,A2104,$D$2:D2104,D2104)=1)</f>
        <v>1</v>
      </c>
    </row>
    <row r="2105" spans="1:5">
      <c r="A2105" t="str">
        <f>检查点拆解!A2105</f>
        <v>Q0310</v>
      </c>
      <c r="B2105" t="str">
        <f>检查点拆解!D2105</f>
        <v>C27</v>
      </c>
      <c r="C2105" s="2">
        <f>--(COUNTIFS($A$2:A2105,A2105,$B$2:B2105,B2105)=1)</f>
        <v>1</v>
      </c>
      <c r="D2105" t="str">
        <f>检查点拆解!F2105</f>
        <v>D11.02.03</v>
      </c>
      <c r="E2105" s="2">
        <f>--(COUNTIFS($A$2:A2105,A2105,$D$2:D2105,D2105)=1)</f>
        <v>1</v>
      </c>
    </row>
    <row r="2106" spans="1:5">
      <c r="A2106" t="str">
        <f>检查点拆解!A2106</f>
        <v>Q0310</v>
      </c>
      <c r="B2106" t="str">
        <f>检查点拆解!D2106</f>
        <v>C03</v>
      </c>
      <c r="C2106" s="2">
        <f>--(COUNTIFS($A$2:A2106,A2106,$B$2:B2106,B2106)=1)</f>
        <v>1</v>
      </c>
      <c r="D2106" t="str">
        <f>检查点拆解!F2106</f>
        <v>D02.01.01</v>
      </c>
      <c r="E2106" s="2">
        <f>--(COUNTIFS($A$2:A2106,A2106,$D$2:D2106,D2106)=1)</f>
        <v>1</v>
      </c>
    </row>
    <row r="2107" spans="1:5">
      <c r="A2107" t="str">
        <f>检查点拆解!A2107</f>
        <v>Q0310</v>
      </c>
      <c r="B2107" t="str">
        <f>检查点拆解!D2107</f>
        <v>C08</v>
      </c>
      <c r="C2107" s="2">
        <f>--(COUNTIFS($A$2:A2107,A2107,$B$2:B2107,B2107)=1)</f>
        <v>1</v>
      </c>
      <c r="D2107" t="str">
        <f>检查点拆解!F2107</f>
        <v>D03.03.01</v>
      </c>
      <c r="E2107" s="2">
        <f>--(COUNTIFS($A$2:A2107,A2107,$D$2:D2107,D2107)=1)</f>
        <v>1</v>
      </c>
    </row>
    <row r="2108" spans="1:5">
      <c r="A2108" t="str">
        <f>检查点拆解!A2108</f>
        <v>Q0311</v>
      </c>
      <c r="B2108" t="str">
        <f>检查点拆解!D2108</f>
        <v>C11</v>
      </c>
      <c r="C2108" s="2">
        <f>--(COUNTIFS($A$2:A2108,A2108,$B$2:B2108,B2108)=1)</f>
        <v>1</v>
      </c>
      <c r="D2108" t="str">
        <f>检查点拆解!F2108</f>
        <v>D04.03.02</v>
      </c>
      <c r="E2108" s="2">
        <f>--(COUNTIFS($A$2:A2108,A2108,$D$2:D2108,D2108)=1)</f>
        <v>1</v>
      </c>
    </row>
    <row r="2109" spans="1:5">
      <c r="A2109" t="str">
        <f>检查点拆解!A2109</f>
        <v>Q0311</v>
      </c>
      <c r="B2109" t="str">
        <f>检查点拆解!D2109</f>
        <v>C23</v>
      </c>
      <c r="C2109" s="2">
        <f>--(COUNTIFS($A$2:A2109,A2109,$B$2:B2109,B2109)=1)</f>
        <v>1</v>
      </c>
      <c r="D2109" t="str">
        <f>检查点拆解!F2109</f>
        <v>D09.01.03</v>
      </c>
      <c r="E2109" s="2">
        <f>--(COUNTIFS($A$2:A2109,A2109,$D$2:D2109,D2109)=1)</f>
        <v>1</v>
      </c>
    </row>
    <row r="2110" spans="1:5">
      <c r="A2110" t="str">
        <f>检查点拆解!A2110</f>
        <v>Q0311</v>
      </c>
      <c r="B2110" t="str">
        <f>检查点拆解!D2110</f>
        <v>C17</v>
      </c>
      <c r="C2110" s="2">
        <f>--(COUNTIFS($A$2:A2110,A2110,$B$2:B2110,B2110)=1)</f>
        <v>1</v>
      </c>
      <c r="D2110" t="str">
        <f>检查点拆解!F2110</f>
        <v>D06.03.01</v>
      </c>
      <c r="E2110" s="2">
        <f>--(COUNTIFS($A$2:A2110,A2110,$D$2:D2110,D2110)=1)</f>
        <v>1</v>
      </c>
    </row>
    <row r="2111" spans="1:5">
      <c r="A2111" t="str">
        <f>检查点拆解!A2111</f>
        <v>Q0311</v>
      </c>
      <c r="B2111" t="str">
        <f>检查点拆解!D2111</f>
        <v>C28</v>
      </c>
      <c r="C2111" s="2">
        <f>--(COUNTIFS($A$2:A2111,A2111,$B$2:B2111,B2111)=1)</f>
        <v>1</v>
      </c>
      <c r="D2111" t="str">
        <f>检查点拆解!F2111</f>
        <v>D12.02.01</v>
      </c>
      <c r="E2111" s="2">
        <f>--(COUNTIFS($A$2:A2111,A2111,$D$2:D2111,D2111)=1)</f>
        <v>1</v>
      </c>
    </row>
    <row r="2112" spans="1:5">
      <c r="A2112" t="str">
        <f>检查点拆解!A2112</f>
        <v>Q0311</v>
      </c>
      <c r="B2112" t="str">
        <f>检查点拆解!D2112</f>
        <v>C04</v>
      </c>
      <c r="C2112" s="2">
        <f>--(COUNTIFS($A$2:A2112,A2112,$B$2:B2112,B2112)=1)</f>
        <v>1</v>
      </c>
      <c r="D2112" t="str">
        <f>检查点拆解!F2112</f>
        <v>D02.02.03</v>
      </c>
      <c r="E2112" s="2">
        <f>--(COUNTIFS($A$2:A2112,A2112,$D$2:D2112,D2112)=1)</f>
        <v>1</v>
      </c>
    </row>
    <row r="2113" spans="1:5">
      <c r="A2113" t="str">
        <f>检查点拆解!A2113</f>
        <v>Q0311</v>
      </c>
      <c r="B2113" t="str">
        <f>检查点拆解!D2113</f>
        <v>C28</v>
      </c>
      <c r="C2113" s="2">
        <f>--(COUNTIFS($A$2:A2113,A2113,$B$2:B2113,B2113)=1)</f>
        <v>0</v>
      </c>
      <c r="D2113" t="str">
        <f>检查点拆解!F2113</f>
        <v>D13.01.01</v>
      </c>
      <c r="E2113" s="2">
        <f>--(COUNTIFS($A$2:A2113,A2113,$D$2:D2113,D2113)=1)</f>
        <v>1</v>
      </c>
    </row>
    <row r="2114" spans="1:5">
      <c r="A2114" t="str">
        <f>检查点拆解!A2114</f>
        <v>Q0312</v>
      </c>
      <c r="B2114" t="str">
        <f>检查点拆解!D2114</f>
        <v>C11</v>
      </c>
      <c r="C2114" s="2">
        <f>--(COUNTIFS($A$2:A2114,A2114,$B$2:B2114,B2114)=1)</f>
        <v>1</v>
      </c>
      <c r="D2114" t="str">
        <f>检查点拆解!F2114</f>
        <v>D04.03.02</v>
      </c>
      <c r="E2114" s="2">
        <f>--(COUNTIFS($A$2:A2114,A2114,$D$2:D2114,D2114)=1)</f>
        <v>1</v>
      </c>
    </row>
    <row r="2115" spans="1:5">
      <c r="A2115" t="str">
        <f>检查点拆解!A2115</f>
        <v>Q0312</v>
      </c>
      <c r="B2115" t="str">
        <f>检查点拆解!D2115</f>
        <v>C27</v>
      </c>
      <c r="C2115" s="2">
        <f>--(COUNTIFS($A$2:A2115,A2115,$B$2:B2115,B2115)=1)</f>
        <v>1</v>
      </c>
      <c r="D2115" t="str">
        <f>检查点拆解!F2115</f>
        <v>D11.02.02</v>
      </c>
      <c r="E2115" s="2">
        <f>--(COUNTIFS($A$2:A2115,A2115,$D$2:D2115,D2115)=1)</f>
        <v>1</v>
      </c>
    </row>
    <row r="2116" spans="1:5">
      <c r="A2116" t="str">
        <f>检查点拆解!A2116</f>
        <v>Q0312</v>
      </c>
      <c r="B2116" t="str">
        <f>检查点拆解!D2116</f>
        <v>C25</v>
      </c>
      <c r="C2116" s="2">
        <f>--(COUNTIFS($A$2:A2116,A2116,$B$2:B2116,B2116)=1)</f>
        <v>1</v>
      </c>
      <c r="D2116" t="str">
        <f>检查点拆解!F2116</f>
        <v>D10.01.04</v>
      </c>
      <c r="E2116" s="2">
        <f>--(COUNTIFS($A$2:A2116,A2116,$D$2:D2116,D2116)=1)</f>
        <v>1</v>
      </c>
    </row>
    <row r="2117" spans="1:5">
      <c r="A2117" t="str">
        <f>检查点拆解!A2117</f>
        <v>Q0312</v>
      </c>
      <c r="B2117" t="str">
        <f>检查点拆解!D2117</f>
        <v>C26</v>
      </c>
      <c r="C2117" s="2">
        <f>--(COUNTIFS($A$2:A2117,A2117,$B$2:B2117,B2117)=1)</f>
        <v>1</v>
      </c>
      <c r="D2117" t="str">
        <f>检查点拆解!F2117</f>
        <v>D10.02.02</v>
      </c>
      <c r="E2117" s="2">
        <f>--(COUNTIFS($A$2:A2117,A2117,$D$2:D2117,D2117)=1)</f>
        <v>1</v>
      </c>
    </row>
    <row r="2118" spans="1:5">
      <c r="A2118" t="str">
        <f>检查点拆解!A2118</f>
        <v>Q0313</v>
      </c>
      <c r="B2118" t="str">
        <f>检查点拆解!D2118</f>
        <v>C24</v>
      </c>
      <c r="C2118" s="2">
        <f>--(COUNTIFS($A$2:A2118,A2118,$B$2:B2118,B2118)=1)</f>
        <v>1</v>
      </c>
      <c r="D2118" t="str">
        <f>检查点拆解!F2118</f>
        <v>D09.03.03</v>
      </c>
      <c r="E2118" s="2">
        <f>--(COUNTIFS($A$2:A2118,A2118,$D$2:D2118,D2118)=1)</f>
        <v>1</v>
      </c>
    </row>
    <row r="2119" spans="1:5">
      <c r="A2119" t="str">
        <f>检查点拆解!A2119</f>
        <v>Q0313</v>
      </c>
      <c r="B2119" t="str">
        <f>检查点拆解!D2119</f>
        <v>C27</v>
      </c>
      <c r="C2119" s="2">
        <f>--(COUNTIFS($A$2:A2119,A2119,$B$2:B2119,B2119)=1)</f>
        <v>1</v>
      </c>
      <c r="D2119" t="str">
        <f>检查点拆解!F2119</f>
        <v>D11.01.01</v>
      </c>
      <c r="E2119" s="2">
        <f>--(COUNTIFS($A$2:A2119,A2119,$D$2:D2119,D2119)=1)</f>
        <v>1</v>
      </c>
    </row>
    <row r="2120" spans="1:5">
      <c r="A2120" t="str">
        <f>检查点拆解!A2120</f>
        <v>Q0313</v>
      </c>
      <c r="B2120" t="str">
        <f>检查点拆解!D2120</f>
        <v>C23</v>
      </c>
      <c r="C2120" s="2">
        <f>--(COUNTIFS($A$2:A2120,A2120,$B$2:B2120,B2120)=1)</f>
        <v>1</v>
      </c>
      <c r="D2120" t="str">
        <f>检查点拆解!F2120</f>
        <v>D09.01.01</v>
      </c>
      <c r="E2120" s="2">
        <f>--(COUNTIFS($A$2:A2120,A2120,$D$2:D2120,D2120)=1)</f>
        <v>1</v>
      </c>
    </row>
    <row r="2121" spans="1:5">
      <c r="A2121" t="str">
        <f>检查点拆解!A2121</f>
        <v>Q0313</v>
      </c>
      <c r="B2121" t="str">
        <f>检查点拆解!D2121</f>
        <v>C28</v>
      </c>
      <c r="C2121" s="2">
        <f>--(COUNTIFS($A$2:A2121,A2121,$B$2:B2121,B2121)=1)</f>
        <v>1</v>
      </c>
      <c r="D2121" t="str">
        <f>检查点拆解!F2121</f>
        <v>D12.02.01</v>
      </c>
      <c r="E2121" s="2">
        <f>--(COUNTIFS($A$2:A2121,A2121,$D$2:D2121,D2121)=1)</f>
        <v>1</v>
      </c>
    </row>
    <row r="2122" spans="1:5">
      <c r="A2122" t="str">
        <f>检查点拆解!A2122</f>
        <v>Q0313</v>
      </c>
      <c r="B2122" t="str">
        <f>检查点拆解!D2122</f>
        <v>C26</v>
      </c>
      <c r="C2122" s="2">
        <f>--(COUNTIFS($A$2:A2122,A2122,$B$2:B2122,B2122)=1)</f>
        <v>1</v>
      </c>
      <c r="D2122" t="str">
        <f>检查点拆解!F2122</f>
        <v>D10.02.01</v>
      </c>
      <c r="E2122" s="2">
        <f>--(COUNTIFS($A$2:A2122,A2122,$D$2:D2122,D2122)=1)</f>
        <v>1</v>
      </c>
    </row>
    <row r="2123" spans="1:5">
      <c r="A2123" t="str">
        <f>检查点拆解!A2123</f>
        <v>Q0313</v>
      </c>
      <c r="B2123" t="str">
        <f>检查点拆解!D2123</f>
        <v>C17</v>
      </c>
      <c r="C2123" s="2">
        <f>--(COUNTIFS($A$2:A2123,A2123,$B$2:B2123,B2123)=1)</f>
        <v>1</v>
      </c>
      <c r="D2123" t="str">
        <f>检查点拆解!F2123</f>
        <v>D06.03.02</v>
      </c>
      <c r="E2123" s="2">
        <f>--(COUNTIFS($A$2:A2123,A2123,$D$2:D2123,D2123)=1)</f>
        <v>1</v>
      </c>
    </row>
    <row r="2124" spans="1:5">
      <c r="A2124" t="str">
        <f>检查点拆解!A2124</f>
        <v>Q0313</v>
      </c>
      <c r="B2124" t="str">
        <f>检查点拆解!D2124</f>
        <v>C14</v>
      </c>
      <c r="C2124" s="2">
        <f>--(COUNTIFS($A$2:A2124,A2124,$B$2:B2124,B2124)=1)</f>
        <v>1</v>
      </c>
      <c r="D2124" t="str">
        <f>检查点拆解!F2124</f>
        <v>D05.01.01</v>
      </c>
      <c r="E2124" s="2">
        <f>--(COUNTIFS($A$2:A2124,A2124,$D$2:D2124,D2124)=1)</f>
        <v>1</v>
      </c>
    </row>
    <row r="2125" spans="1:5">
      <c r="A2125" t="str">
        <f>检查点拆解!A2125</f>
        <v>Q0313</v>
      </c>
      <c r="B2125" t="str">
        <f>检查点拆解!D2125</f>
        <v>C04</v>
      </c>
      <c r="C2125" s="2">
        <f>--(COUNTIFS($A$2:A2125,A2125,$B$2:B2125,B2125)=1)</f>
        <v>1</v>
      </c>
      <c r="D2125" t="str">
        <f>检查点拆解!F2125</f>
        <v>D02.02.02</v>
      </c>
      <c r="E2125" s="2">
        <f>--(COUNTIFS($A$2:A2125,A2125,$D$2:D2125,D2125)=1)</f>
        <v>1</v>
      </c>
    </row>
    <row r="2126" spans="1:5">
      <c r="A2126" t="str">
        <f>检查点拆解!A2126</f>
        <v>Q0313</v>
      </c>
      <c r="B2126" t="str">
        <f>检查点拆解!D2126</f>
        <v>C05</v>
      </c>
      <c r="C2126" s="2">
        <f>--(COUNTIFS($A$2:A2126,A2126,$B$2:B2126,B2126)=1)</f>
        <v>1</v>
      </c>
      <c r="D2126" t="str">
        <f>检查点拆解!F2126</f>
        <v>D02.03.02</v>
      </c>
      <c r="E2126" s="2">
        <f>--(COUNTIFS($A$2:A2126,A2126,$D$2:D2126,D2126)=1)</f>
        <v>1</v>
      </c>
    </row>
    <row r="2127" spans="1:5">
      <c r="A2127" t="str">
        <f>检查点拆解!A2127</f>
        <v>Q0314</v>
      </c>
      <c r="B2127" t="str">
        <f>检查点拆解!D2127</f>
        <v>C27</v>
      </c>
      <c r="C2127" s="2">
        <f>--(COUNTIFS($A$2:A2127,A2127,$B$2:B2127,B2127)=1)</f>
        <v>1</v>
      </c>
      <c r="D2127" t="str">
        <f>检查点拆解!F2127</f>
        <v>D11.01.01</v>
      </c>
      <c r="E2127" s="2">
        <f>--(COUNTIFS($A$2:A2127,A2127,$D$2:D2127,D2127)=1)</f>
        <v>1</v>
      </c>
    </row>
    <row r="2128" spans="1:5">
      <c r="A2128" t="str">
        <f>检查点拆解!A2128</f>
        <v>Q0314</v>
      </c>
      <c r="B2128" t="str">
        <f>检查点拆解!D2128</f>
        <v>C25</v>
      </c>
      <c r="C2128" s="2">
        <f>--(COUNTIFS($A$2:A2128,A2128,$B$2:B2128,B2128)=1)</f>
        <v>1</v>
      </c>
      <c r="D2128" t="str">
        <f>检查点拆解!F2128</f>
        <v>D10.01.01</v>
      </c>
      <c r="E2128" s="2">
        <f>--(COUNTIFS($A$2:A2128,A2128,$D$2:D2128,D2128)=1)</f>
        <v>1</v>
      </c>
    </row>
    <row r="2129" spans="1:5">
      <c r="A2129" t="str">
        <f>检查点拆解!A2129</f>
        <v>Q0314</v>
      </c>
      <c r="B2129" t="str">
        <f>检查点拆解!D2129</f>
        <v>C26</v>
      </c>
      <c r="C2129" s="2">
        <f>--(COUNTIFS($A$2:A2129,A2129,$B$2:B2129,B2129)=1)</f>
        <v>1</v>
      </c>
      <c r="D2129" t="str">
        <f>检查点拆解!F2129</f>
        <v>D10.02.01</v>
      </c>
      <c r="E2129" s="2">
        <f>--(COUNTIFS($A$2:A2129,A2129,$D$2:D2129,D2129)=1)</f>
        <v>1</v>
      </c>
    </row>
    <row r="2130" spans="1:5">
      <c r="A2130" t="str">
        <f>检查点拆解!A2130</f>
        <v>Q0314</v>
      </c>
      <c r="B2130" t="str">
        <f>检查点拆解!D2130</f>
        <v>C28</v>
      </c>
      <c r="C2130" s="2">
        <f>--(COUNTIFS($A$2:A2130,A2130,$B$2:B2130,B2130)=1)</f>
        <v>1</v>
      </c>
      <c r="D2130" t="str">
        <f>检查点拆解!F2130</f>
        <v>D12.01.02</v>
      </c>
      <c r="E2130" s="2">
        <f>--(COUNTIFS($A$2:A2130,A2130,$D$2:D2130,D2130)=1)</f>
        <v>1</v>
      </c>
    </row>
    <row r="2131" spans="1:5">
      <c r="A2131" t="str">
        <f>检查点拆解!A2131</f>
        <v>Q0314</v>
      </c>
      <c r="B2131" t="str">
        <f>检查点拆解!D2131</f>
        <v>C17</v>
      </c>
      <c r="C2131" s="2">
        <f>--(COUNTIFS($A$2:A2131,A2131,$B$2:B2131,B2131)=1)</f>
        <v>1</v>
      </c>
      <c r="D2131" t="str">
        <f>检查点拆解!F2131</f>
        <v>D06.03.02</v>
      </c>
      <c r="E2131" s="2">
        <f>--(COUNTIFS($A$2:A2131,A2131,$D$2:D2131,D2131)=1)</f>
        <v>1</v>
      </c>
    </row>
    <row r="2132" spans="1:5">
      <c r="A2132" t="str">
        <f>检查点拆解!A2132</f>
        <v>Q0314</v>
      </c>
      <c r="B2132" t="str">
        <f>检查点拆解!D2132</f>
        <v>C28</v>
      </c>
      <c r="C2132" s="2">
        <f>--(COUNTIFS($A$2:A2132,A2132,$B$2:B2132,B2132)=1)</f>
        <v>0</v>
      </c>
      <c r="D2132" t="str">
        <f>检查点拆解!F2132</f>
        <v>D13.01.01</v>
      </c>
      <c r="E2132" s="2">
        <f>--(COUNTIFS($A$2:A2132,A2132,$D$2:D2132,D2132)=1)</f>
        <v>1</v>
      </c>
    </row>
    <row r="2133" spans="1:5">
      <c r="A2133" t="str">
        <f>检查点拆解!A2133</f>
        <v>Q0314</v>
      </c>
      <c r="B2133" t="str">
        <f>检查点拆解!D2133</f>
        <v>C05</v>
      </c>
      <c r="C2133" s="2">
        <f>--(COUNTIFS($A$2:A2133,A2133,$B$2:B2133,B2133)=1)</f>
        <v>1</v>
      </c>
      <c r="D2133" t="str">
        <f>检查点拆解!F2133</f>
        <v>D02.03.02</v>
      </c>
      <c r="E2133" s="2">
        <f>--(COUNTIFS($A$2:A2133,A2133,$D$2:D2133,D2133)=1)</f>
        <v>1</v>
      </c>
    </row>
    <row r="2134" spans="1:5">
      <c r="A2134" t="str">
        <f>检查点拆解!A2134</f>
        <v>Q0315</v>
      </c>
      <c r="B2134" t="str">
        <f>检查点拆解!D2134</f>
        <v>C24</v>
      </c>
      <c r="C2134" s="2">
        <f>--(COUNTIFS($A$2:A2134,A2134,$B$2:B2134,B2134)=1)</f>
        <v>1</v>
      </c>
      <c r="D2134" t="str">
        <f>检查点拆解!F2134</f>
        <v>D09.02.02</v>
      </c>
      <c r="E2134" s="2">
        <f>--(COUNTIFS($A$2:A2134,A2134,$D$2:D2134,D2134)=1)</f>
        <v>1</v>
      </c>
    </row>
    <row r="2135" spans="1:5">
      <c r="A2135" t="str">
        <f>检查点拆解!A2135</f>
        <v>Q0315</v>
      </c>
      <c r="B2135" t="str">
        <f>检查点拆解!D2135</f>
        <v>C27</v>
      </c>
      <c r="C2135" s="2">
        <f>--(COUNTIFS($A$2:A2135,A2135,$B$2:B2135,B2135)=1)</f>
        <v>1</v>
      </c>
      <c r="D2135" t="str">
        <f>检查点拆解!F2135</f>
        <v>D11.02.02</v>
      </c>
      <c r="E2135" s="2">
        <f>--(COUNTIFS($A$2:A2135,A2135,$D$2:D2135,D2135)=1)</f>
        <v>1</v>
      </c>
    </row>
    <row r="2136" spans="1:5">
      <c r="A2136" t="str">
        <f>检查点拆解!A2136</f>
        <v>Q0315</v>
      </c>
      <c r="B2136" t="str">
        <f>检查点拆解!D2136</f>
        <v>C27</v>
      </c>
      <c r="C2136" s="2">
        <f>--(COUNTIFS($A$2:A2136,A2136,$B$2:B2136,B2136)=1)</f>
        <v>0</v>
      </c>
      <c r="D2136" t="str">
        <f>检查点拆解!F2136</f>
        <v>D11.01.01</v>
      </c>
      <c r="E2136" s="2">
        <f>--(COUNTIFS($A$2:A2136,A2136,$D$2:D2136,D2136)=1)</f>
        <v>1</v>
      </c>
    </row>
    <row r="2137" spans="1:5">
      <c r="A2137" t="str">
        <f>检查点拆解!A2137</f>
        <v>Q0315</v>
      </c>
      <c r="B2137" t="str">
        <f>检查点拆解!D2137</f>
        <v>C26</v>
      </c>
      <c r="C2137" s="2">
        <f>--(COUNTIFS($A$2:A2137,A2137,$B$2:B2137,B2137)=1)</f>
        <v>1</v>
      </c>
      <c r="D2137" t="str">
        <f>检查点拆解!F2137</f>
        <v>D10.02.01</v>
      </c>
      <c r="E2137" s="2">
        <f>--(COUNTIFS($A$2:A2137,A2137,$D$2:D2137,D2137)=1)</f>
        <v>1</v>
      </c>
    </row>
    <row r="2138" spans="1:5">
      <c r="A2138" t="str">
        <f>检查点拆解!A2138</f>
        <v>Q0315</v>
      </c>
      <c r="B2138" t="str">
        <f>检查点拆解!D2138</f>
        <v>C28</v>
      </c>
      <c r="C2138" s="2">
        <f>--(COUNTIFS($A$2:A2138,A2138,$B$2:B2138,B2138)=1)</f>
        <v>1</v>
      </c>
      <c r="D2138" t="str">
        <f>检查点拆解!F2138</f>
        <v>D12.01.01</v>
      </c>
      <c r="E2138" s="2">
        <f>--(COUNTIFS($A$2:A2138,A2138,$D$2:D2138,D2138)=1)</f>
        <v>1</v>
      </c>
    </row>
    <row r="2139" spans="1:5">
      <c r="A2139" t="str">
        <f>检查点拆解!A2139</f>
        <v>Q0315</v>
      </c>
      <c r="B2139" t="str">
        <f>检查点拆解!D2139</f>
        <v>C04</v>
      </c>
      <c r="C2139" s="2">
        <f>--(COUNTIFS($A$2:A2139,A2139,$B$2:B2139,B2139)=1)</f>
        <v>1</v>
      </c>
      <c r="D2139" t="str">
        <f>检查点拆解!F2139</f>
        <v>D02.02.03</v>
      </c>
      <c r="E2139" s="2">
        <f>--(COUNTIFS($A$2:A2139,A2139,$D$2:D2139,D2139)=1)</f>
        <v>1</v>
      </c>
    </row>
    <row r="2140" spans="1:5">
      <c r="A2140" t="str">
        <f>检查点拆解!A2140</f>
        <v>Q0315</v>
      </c>
      <c r="B2140" t="str">
        <f>检查点拆解!D2140</f>
        <v>C28</v>
      </c>
      <c r="C2140" s="2">
        <f>--(COUNTIFS($A$2:A2140,A2140,$B$2:B2140,B2140)=1)</f>
        <v>0</v>
      </c>
      <c r="D2140" t="str">
        <f>检查点拆解!F2140</f>
        <v>D13.01.01</v>
      </c>
      <c r="E2140" s="2">
        <f>--(COUNTIFS($A$2:A2140,A2140,$D$2:D2140,D2140)=1)</f>
        <v>1</v>
      </c>
    </row>
    <row r="2141" spans="1:5">
      <c r="A2141" t="str">
        <f>检查点拆解!A2141</f>
        <v>Q0315</v>
      </c>
      <c r="B2141" t="str">
        <f>检查点拆解!D2141</f>
        <v>C05</v>
      </c>
      <c r="C2141" s="2">
        <f>--(COUNTIFS($A$2:A2141,A2141,$B$2:B2141,B2141)=1)</f>
        <v>1</v>
      </c>
      <c r="D2141" t="str">
        <f>检查点拆解!F2141</f>
        <v>D02.03.01</v>
      </c>
      <c r="E2141" s="2">
        <f>--(COUNTIFS($A$2:A2141,A2141,$D$2:D2141,D2141)=1)</f>
        <v>1</v>
      </c>
    </row>
    <row r="2142" spans="1:5">
      <c r="A2142" t="str">
        <f>检查点拆解!A2142</f>
        <v>Q0316</v>
      </c>
      <c r="B2142" t="str">
        <f>检查点拆解!D2142</f>
        <v>C27</v>
      </c>
      <c r="C2142" s="2">
        <f>--(COUNTIFS($A$2:A2142,A2142,$B$2:B2142,B2142)=1)</f>
        <v>1</v>
      </c>
      <c r="D2142" t="str">
        <f>检查点拆解!F2142</f>
        <v>D11.02.01</v>
      </c>
      <c r="E2142" s="2">
        <f>--(COUNTIFS($A$2:A2142,A2142,$D$2:D2142,D2142)=1)</f>
        <v>1</v>
      </c>
    </row>
    <row r="2143" spans="1:5">
      <c r="A2143" t="str">
        <f>检查点拆解!A2143</f>
        <v>Q0316</v>
      </c>
      <c r="B2143" t="str">
        <f>检查点拆解!D2143</f>
        <v>C17</v>
      </c>
      <c r="C2143" s="2">
        <f>--(COUNTIFS($A$2:A2143,A2143,$B$2:B2143,B2143)=1)</f>
        <v>1</v>
      </c>
      <c r="D2143" t="str">
        <f>检查点拆解!F2143</f>
        <v>D06.03.01</v>
      </c>
      <c r="E2143" s="2">
        <f>--(COUNTIFS($A$2:A2143,A2143,$D$2:D2143,D2143)=1)</f>
        <v>1</v>
      </c>
    </row>
    <row r="2144" spans="1:5">
      <c r="A2144" t="str">
        <f>检查点拆解!A2144</f>
        <v>Q0316</v>
      </c>
      <c r="B2144" t="str">
        <f>检查点拆解!D2144</f>
        <v>C25</v>
      </c>
      <c r="C2144" s="2">
        <f>--(COUNTIFS($A$2:A2144,A2144,$B$2:B2144,B2144)=1)</f>
        <v>1</v>
      </c>
      <c r="D2144" t="str">
        <f>检查点拆解!F2144</f>
        <v>D10.01.01</v>
      </c>
      <c r="E2144" s="2">
        <f>--(COUNTIFS($A$2:A2144,A2144,$D$2:D2144,D2144)=1)</f>
        <v>1</v>
      </c>
    </row>
    <row r="2145" spans="1:5">
      <c r="A2145" t="str">
        <f>检查点拆解!A2145</f>
        <v>Q0316</v>
      </c>
      <c r="B2145" t="str">
        <f>检查点拆解!D2145</f>
        <v>C28</v>
      </c>
      <c r="C2145" s="2">
        <f>--(COUNTIFS($A$2:A2145,A2145,$B$2:B2145,B2145)=1)</f>
        <v>1</v>
      </c>
      <c r="D2145" t="str">
        <f>检查点拆解!F2145</f>
        <v>D13.01.02</v>
      </c>
      <c r="E2145" s="2">
        <f>--(COUNTIFS($A$2:A2145,A2145,$D$2:D2145,D2145)=1)</f>
        <v>1</v>
      </c>
    </row>
    <row r="2146" spans="1:5">
      <c r="A2146" t="str">
        <f>检查点拆解!A2146</f>
        <v>Q0316</v>
      </c>
      <c r="B2146" t="str">
        <f>检查点拆解!D2146</f>
        <v>C28</v>
      </c>
      <c r="C2146" s="2">
        <f>--(COUNTIFS($A$2:A2146,A2146,$B$2:B2146,B2146)=1)</f>
        <v>0</v>
      </c>
      <c r="D2146" t="str">
        <f>检查点拆解!F2146</f>
        <v>D12.02.02</v>
      </c>
      <c r="E2146" s="2">
        <f>--(COUNTIFS($A$2:A2146,A2146,$D$2:D2146,D2146)=1)</f>
        <v>1</v>
      </c>
    </row>
    <row r="2147" spans="1:5">
      <c r="A2147" t="str">
        <f>检查点拆解!A2147</f>
        <v>Q0316</v>
      </c>
      <c r="B2147" t="str">
        <f>检查点拆解!D2147</f>
        <v>C26</v>
      </c>
      <c r="C2147" s="2">
        <f>--(COUNTIFS($A$2:A2147,A2147,$B$2:B2147,B2147)=1)</f>
        <v>1</v>
      </c>
      <c r="D2147" t="str">
        <f>检查点拆解!F2147</f>
        <v>D10.02.01</v>
      </c>
      <c r="E2147" s="2">
        <f>--(COUNTIFS($A$2:A2147,A2147,$D$2:D2147,D2147)=1)</f>
        <v>1</v>
      </c>
    </row>
    <row r="2148" spans="1:5">
      <c r="A2148" t="str">
        <f>检查点拆解!A2148</f>
        <v>Q0316</v>
      </c>
      <c r="B2148" t="str">
        <f>检查点拆解!D2148</f>
        <v>C04</v>
      </c>
      <c r="C2148" s="2">
        <f>--(COUNTIFS($A$2:A2148,A2148,$B$2:B2148,B2148)=1)</f>
        <v>1</v>
      </c>
      <c r="D2148" t="str">
        <f>检查点拆解!F2148</f>
        <v>D02.02.03</v>
      </c>
      <c r="E2148" s="2">
        <f>--(COUNTIFS($A$2:A2148,A2148,$D$2:D2148,D2148)=1)</f>
        <v>1</v>
      </c>
    </row>
    <row r="2149" spans="1:5">
      <c r="A2149" t="str">
        <f>检查点拆解!A2149</f>
        <v>Q0317</v>
      </c>
      <c r="B2149" t="str">
        <f>检查点拆解!D2149</f>
        <v>C24</v>
      </c>
      <c r="C2149" s="2">
        <f>--(COUNTIFS($A$2:A2149,A2149,$B$2:B2149,B2149)=1)</f>
        <v>1</v>
      </c>
      <c r="D2149" t="str">
        <f>检查点拆解!F2149</f>
        <v>D09.03.03</v>
      </c>
      <c r="E2149" s="2">
        <f>--(COUNTIFS($A$2:A2149,A2149,$D$2:D2149,D2149)=1)</f>
        <v>1</v>
      </c>
    </row>
    <row r="2150" spans="1:5">
      <c r="A2150" t="str">
        <f>检查点拆解!A2150</f>
        <v>Q0317</v>
      </c>
      <c r="B2150" t="str">
        <f>检查点拆解!D2150</f>
        <v>C26</v>
      </c>
      <c r="C2150" s="2">
        <f>--(COUNTIFS($A$2:A2150,A2150,$B$2:B2150,B2150)=1)</f>
        <v>1</v>
      </c>
      <c r="D2150" t="str">
        <f>检查点拆解!F2150</f>
        <v>D10.02.01</v>
      </c>
      <c r="E2150" s="2">
        <f>--(COUNTIFS($A$2:A2150,A2150,$D$2:D2150,D2150)=1)</f>
        <v>1</v>
      </c>
    </row>
    <row r="2151" spans="1:5">
      <c r="A2151" t="str">
        <f>检查点拆解!A2151</f>
        <v>Q0317</v>
      </c>
      <c r="B2151" t="str">
        <f>检查点拆解!D2151</f>
        <v>C28</v>
      </c>
      <c r="C2151" s="2">
        <f>--(COUNTIFS($A$2:A2151,A2151,$B$2:B2151,B2151)=1)</f>
        <v>1</v>
      </c>
      <c r="D2151" t="str">
        <f>检查点拆解!F2151</f>
        <v>D12.01.01</v>
      </c>
      <c r="E2151" s="2">
        <f>--(COUNTIFS($A$2:A2151,A2151,$D$2:D2151,D2151)=1)</f>
        <v>1</v>
      </c>
    </row>
    <row r="2152" spans="1:5">
      <c r="A2152" t="str">
        <f>检查点拆解!A2152</f>
        <v>Q0317</v>
      </c>
      <c r="B2152" t="str">
        <f>检查点拆解!D2152</f>
        <v>C28</v>
      </c>
      <c r="C2152" s="2">
        <f>--(COUNTIFS($A$2:A2152,A2152,$B$2:B2152,B2152)=1)</f>
        <v>0</v>
      </c>
      <c r="D2152" t="str">
        <f>检查点拆解!F2152</f>
        <v>D12.01.02</v>
      </c>
      <c r="E2152" s="2">
        <f>--(COUNTIFS($A$2:A2152,A2152,$D$2:D2152,D2152)=1)</f>
        <v>1</v>
      </c>
    </row>
    <row r="2153" spans="1:5">
      <c r="A2153" t="str">
        <f>检查点拆解!A2153</f>
        <v>Q0317</v>
      </c>
      <c r="B2153" t="str">
        <f>检查点拆解!D2153</f>
        <v>C04</v>
      </c>
      <c r="C2153" s="2">
        <f>--(COUNTIFS($A$2:A2153,A2153,$B$2:B2153,B2153)=1)</f>
        <v>1</v>
      </c>
      <c r="D2153" t="str">
        <f>检查点拆解!F2153</f>
        <v>D02.02.03</v>
      </c>
      <c r="E2153" s="2">
        <f>--(COUNTIFS($A$2:A2153,A2153,$D$2:D2153,D2153)=1)</f>
        <v>1</v>
      </c>
    </row>
    <row r="2154" spans="1:5">
      <c r="A2154" t="str">
        <f>检查点拆解!A2154</f>
        <v>Q0318</v>
      </c>
      <c r="B2154" t="str">
        <f>检查点拆解!D2154</f>
        <v>C30</v>
      </c>
      <c r="C2154" s="2">
        <f>--(COUNTIFS($A$2:A2154,A2154,$B$2:B2154,B2154)=1)</f>
        <v>1</v>
      </c>
      <c r="D2154" t="str">
        <f>检查点拆解!F2154</f>
        <v>D15.02.01</v>
      </c>
      <c r="E2154" s="2">
        <f>--(COUNTIFS($A$2:A2154,A2154,$D$2:D2154,D2154)=1)</f>
        <v>1</v>
      </c>
    </row>
    <row r="2155" spans="1:5">
      <c r="A2155" t="str">
        <f>检查点拆解!A2155</f>
        <v>Q0318</v>
      </c>
      <c r="B2155" t="str">
        <f>检查点拆解!D2155</f>
        <v>C17</v>
      </c>
      <c r="C2155" s="2">
        <f>--(COUNTIFS($A$2:A2155,A2155,$B$2:B2155,B2155)=1)</f>
        <v>1</v>
      </c>
      <c r="D2155" t="str">
        <f>检查点拆解!F2155</f>
        <v>D06.03.01</v>
      </c>
      <c r="E2155" s="2">
        <f>--(COUNTIFS($A$2:A2155,A2155,$D$2:D2155,D2155)=1)</f>
        <v>1</v>
      </c>
    </row>
    <row r="2156" spans="1:5">
      <c r="A2156" t="str">
        <f>检查点拆解!A2156</f>
        <v>Q0318</v>
      </c>
      <c r="B2156" t="str">
        <f>检查点拆解!D2156</f>
        <v>C27</v>
      </c>
      <c r="C2156" s="2">
        <f>--(COUNTIFS($A$2:A2156,A2156,$B$2:B2156,B2156)=1)</f>
        <v>1</v>
      </c>
      <c r="D2156" t="str">
        <f>检查点拆解!F2156</f>
        <v>D11.02.03</v>
      </c>
      <c r="E2156" s="2">
        <f>--(COUNTIFS($A$2:A2156,A2156,$D$2:D2156,D2156)=1)</f>
        <v>1</v>
      </c>
    </row>
    <row r="2157" spans="1:5">
      <c r="A2157" t="str">
        <f>检查点拆解!A2157</f>
        <v>Q0318</v>
      </c>
      <c r="B2157" t="str">
        <f>检查点拆解!D2157</f>
        <v>C26</v>
      </c>
      <c r="C2157" s="2">
        <f>--(COUNTIFS($A$2:A2157,A2157,$B$2:B2157,B2157)=1)</f>
        <v>1</v>
      </c>
      <c r="D2157" t="str">
        <f>检查点拆解!F2157</f>
        <v>D10.02.01</v>
      </c>
      <c r="E2157" s="2">
        <f>--(COUNTIFS($A$2:A2157,A2157,$D$2:D2157,D2157)=1)</f>
        <v>1</v>
      </c>
    </row>
    <row r="2158" spans="1:5">
      <c r="A2158" t="str">
        <f>检查点拆解!A2158</f>
        <v>Q0318</v>
      </c>
      <c r="B2158" t="str">
        <f>检查点拆解!D2158</f>
        <v>C04</v>
      </c>
      <c r="C2158" s="2">
        <f>--(COUNTIFS($A$2:A2158,A2158,$B$2:B2158,B2158)=1)</f>
        <v>1</v>
      </c>
      <c r="D2158" t="str">
        <f>检查点拆解!F2158</f>
        <v>D02.02.03</v>
      </c>
      <c r="E2158" s="2">
        <f>--(COUNTIFS($A$2:A2158,A2158,$D$2:D2158,D2158)=1)</f>
        <v>1</v>
      </c>
    </row>
    <row r="2159" spans="1:5">
      <c r="A2159" t="str">
        <f>检查点拆解!A2159</f>
        <v>Q0318</v>
      </c>
      <c r="B2159" t="str">
        <f>检查点拆解!D2159</f>
        <v>C14</v>
      </c>
      <c r="C2159" s="2">
        <f>--(COUNTIFS($A$2:A2159,A2159,$B$2:B2159,B2159)=1)</f>
        <v>1</v>
      </c>
      <c r="D2159" t="str">
        <f>检查点拆解!F2159</f>
        <v>D05.01.01</v>
      </c>
      <c r="E2159" s="2">
        <f>--(COUNTIFS($A$2:A2159,A2159,$D$2:D2159,D2159)=1)</f>
        <v>1</v>
      </c>
    </row>
    <row r="2160" spans="1:5">
      <c r="A2160" t="str">
        <f>检查点拆解!A2160</f>
        <v>Q0318</v>
      </c>
      <c r="B2160" t="str">
        <f>检查点拆解!D2160</f>
        <v>C05</v>
      </c>
      <c r="C2160" s="2">
        <f>--(COUNTIFS($A$2:A2160,A2160,$B$2:B2160,B2160)=1)</f>
        <v>1</v>
      </c>
      <c r="D2160" t="str">
        <f>检查点拆解!F2160</f>
        <v>D02.03.02</v>
      </c>
      <c r="E2160" s="2">
        <f>--(COUNTIFS($A$2:A2160,A2160,$D$2:D2160,D2160)=1)</f>
        <v>1</v>
      </c>
    </row>
    <row r="2161" spans="1:5">
      <c r="A2161" t="str">
        <f>检查点拆解!A2161</f>
        <v>Q0319</v>
      </c>
      <c r="B2161" t="str">
        <f>检查点拆解!D2161</f>
        <v>C18</v>
      </c>
      <c r="C2161" s="2">
        <f>--(COUNTIFS($A$2:A2161,A2161,$B$2:B2161,B2161)=1)</f>
        <v>1</v>
      </c>
      <c r="D2161" t="str">
        <f>检查点拆解!F2161</f>
        <v>D07.01.03</v>
      </c>
      <c r="E2161" s="2">
        <f>--(COUNTIFS($A$2:A2161,A2161,$D$2:D2161,D2161)=1)</f>
        <v>1</v>
      </c>
    </row>
    <row r="2162" spans="1:5">
      <c r="A2162" t="str">
        <f>检查点拆解!A2162</f>
        <v>Q0319</v>
      </c>
      <c r="B2162" t="str">
        <f>检查点拆解!D2162</f>
        <v>C24</v>
      </c>
      <c r="C2162" s="2">
        <f>--(COUNTIFS($A$2:A2162,A2162,$B$2:B2162,B2162)=1)</f>
        <v>1</v>
      </c>
      <c r="D2162" t="str">
        <f>检查点拆解!F2162</f>
        <v>D09.02.02</v>
      </c>
      <c r="E2162" s="2">
        <f>--(COUNTIFS($A$2:A2162,A2162,$D$2:D2162,D2162)=1)</f>
        <v>1</v>
      </c>
    </row>
    <row r="2163" spans="1:5">
      <c r="A2163" t="str">
        <f>检查点拆解!A2163</f>
        <v>Q0319</v>
      </c>
      <c r="B2163" t="str">
        <f>检查点拆解!D2163</f>
        <v>C25</v>
      </c>
      <c r="C2163" s="2">
        <f>--(COUNTIFS($A$2:A2163,A2163,$B$2:B2163,B2163)=1)</f>
        <v>1</v>
      </c>
      <c r="D2163" t="str">
        <f>检查点拆解!F2163</f>
        <v>D10.01.01</v>
      </c>
      <c r="E2163" s="2">
        <f>--(COUNTIFS($A$2:A2163,A2163,$D$2:D2163,D2163)=1)</f>
        <v>1</v>
      </c>
    </row>
    <row r="2164" spans="1:5">
      <c r="A2164" t="str">
        <f>检查点拆解!A2164</f>
        <v>Q0319</v>
      </c>
      <c r="B2164" t="str">
        <f>检查点拆解!D2164</f>
        <v>C28</v>
      </c>
      <c r="C2164" s="2">
        <f>--(COUNTIFS($A$2:A2164,A2164,$B$2:B2164,B2164)=1)</f>
        <v>1</v>
      </c>
      <c r="D2164" t="str">
        <f>检查点拆解!F2164</f>
        <v>D12.01.01</v>
      </c>
      <c r="E2164" s="2">
        <f>--(COUNTIFS($A$2:A2164,A2164,$D$2:D2164,D2164)=1)</f>
        <v>1</v>
      </c>
    </row>
    <row r="2165" spans="1:5">
      <c r="A2165" t="str">
        <f>检查点拆解!A2165</f>
        <v>Q0320</v>
      </c>
      <c r="B2165" t="str">
        <f>检查点拆解!D2165</f>
        <v>C26</v>
      </c>
      <c r="C2165" s="2">
        <f>--(COUNTIFS($A$2:A2165,A2165,$B$2:B2165,B2165)=1)</f>
        <v>1</v>
      </c>
      <c r="D2165" t="str">
        <f>检查点拆解!F2165</f>
        <v>D10.02.01</v>
      </c>
      <c r="E2165" s="2">
        <f>--(COUNTIFS($A$2:A2165,A2165,$D$2:D2165,D2165)=1)</f>
        <v>1</v>
      </c>
    </row>
    <row r="2166" spans="1:5">
      <c r="A2166" t="str">
        <f>检查点拆解!A2166</f>
        <v>Q0320</v>
      </c>
      <c r="B2166" t="str">
        <f>检查点拆解!D2166</f>
        <v>C28</v>
      </c>
      <c r="C2166" s="2">
        <f>--(COUNTIFS($A$2:A2166,A2166,$B$2:B2166,B2166)=1)</f>
        <v>1</v>
      </c>
      <c r="D2166" t="str">
        <f>检查点拆解!F2166</f>
        <v>D12.01.01</v>
      </c>
      <c r="E2166" s="2">
        <f>--(COUNTIFS($A$2:A2166,A2166,$D$2:D2166,D2166)=1)</f>
        <v>1</v>
      </c>
    </row>
    <row r="2167" spans="1:5">
      <c r="A2167" t="str">
        <f>检查点拆解!A2167</f>
        <v>Q0320</v>
      </c>
      <c r="B2167" t="str">
        <f>检查点拆解!D2167</f>
        <v>C28</v>
      </c>
      <c r="C2167" s="2">
        <f>--(COUNTIFS($A$2:A2167,A2167,$B$2:B2167,B2167)=1)</f>
        <v>0</v>
      </c>
      <c r="D2167" t="str">
        <f>检查点拆解!F2167</f>
        <v>D12.01.02</v>
      </c>
      <c r="E2167" s="2">
        <f>--(COUNTIFS($A$2:A2167,A2167,$D$2:D2167,D2167)=1)</f>
        <v>1</v>
      </c>
    </row>
    <row r="2168" spans="1:5">
      <c r="A2168" t="str">
        <f>检查点拆解!A2168</f>
        <v>Q0320</v>
      </c>
      <c r="B2168" t="str">
        <f>检查点拆解!D2168</f>
        <v>C04</v>
      </c>
      <c r="C2168" s="2">
        <f>--(COUNTIFS($A$2:A2168,A2168,$B$2:B2168,B2168)=1)</f>
        <v>1</v>
      </c>
      <c r="D2168" t="str">
        <f>检查点拆解!F2168</f>
        <v>D02.02.03</v>
      </c>
      <c r="E2168" s="2">
        <f>--(COUNTIFS($A$2:A2168,A2168,$D$2:D2168,D2168)=1)</f>
        <v>1</v>
      </c>
    </row>
    <row r="2169" spans="1:5">
      <c r="A2169" t="str">
        <f>检查点拆解!A2169</f>
        <v>Q0321</v>
      </c>
      <c r="B2169" t="str">
        <f>检查点拆解!D2169</f>
        <v>C24</v>
      </c>
      <c r="C2169" s="2">
        <f>--(COUNTIFS($A$2:A2169,A2169,$B$2:B2169,B2169)=1)</f>
        <v>1</v>
      </c>
      <c r="D2169" t="str">
        <f>检查点拆解!F2169</f>
        <v>D09.02.03</v>
      </c>
      <c r="E2169" s="2">
        <f>--(COUNTIFS($A$2:A2169,A2169,$D$2:D2169,D2169)=1)</f>
        <v>1</v>
      </c>
    </row>
    <row r="2170" spans="1:5">
      <c r="A2170" t="str">
        <f>检查点拆解!A2170</f>
        <v>Q0321</v>
      </c>
      <c r="B2170" t="str">
        <f>检查点拆解!D2170</f>
        <v>C01</v>
      </c>
      <c r="C2170" s="2">
        <f>--(COUNTIFS($A$2:A2170,A2170,$B$2:B2170,B2170)=1)</f>
        <v>1</v>
      </c>
      <c r="D2170" t="str">
        <f>检查点拆解!F2170</f>
        <v>D01.01.01</v>
      </c>
      <c r="E2170" s="2">
        <f>--(COUNTIFS($A$2:A2170,A2170,$D$2:D2170,D2170)=1)</f>
        <v>1</v>
      </c>
    </row>
    <row r="2171" spans="1:5">
      <c r="A2171" t="str">
        <f>检查点拆解!A2171</f>
        <v>Q0322</v>
      </c>
      <c r="B2171" t="str">
        <f>检查点拆解!D2171</f>
        <v>C17</v>
      </c>
      <c r="C2171" s="2">
        <f>--(COUNTIFS($A$2:A2171,A2171,$B$2:B2171,B2171)=1)</f>
        <v>1</v>
      </c>
      <c r="D2171" t="str">
        <f>检查点拆解!F2171</f>
        <v>D06.03.02</v>
      </c>
      <c r="E2171" s="2">
        <f>--(COUNTIFS($A$2:A2171,A2171,$D$2:D2171,D2171)=1)</f>
        <v>1</v>
      </c>
    </row>
    <row r="2172" spans="1:5">
      <c r="A2172" t="str">
        <f>检查点拆解!A2172</f>
        <v>Q0322</v>
      </c>
      <c r="B2172" t="str">
        <f>检查点拆解!D2172</f>
        <v>C05</v>
      </c>
      <c r="C2172" s="2">
        <f>--(COUNTIFS($A$2:A2172,A2172,$B$2:B2172,B2172)=1)</f>
        <v>1</v>
      </c>
      <c r="D2172" t="str">
        <f>检查点拆解!F2172</f>
        <v>D02.03.01</v>
      </c>
      <c r="E2172" s="2">
        <f>--(COUNTIFS($A$2:A2172,A2172,$D$2:D2172,D2172)=1)</f>
        <v>1</v>
      </c>
    </row>
    <row r="2173" spans="1:5">
      <c r="A2173" t="str">
        <f>检查点拆解!A2173</f>
        <v>Q0323</v>
      </c>
      <c r="B2173" t="str">
        <f>检查点拆解!D2173</f>
        <v>C27</v>
      </c>
      <c r="C2173" s="2">
        <f>--(COUNTIFS($A$2:A2173,A2173,$B$2:B2173,B2173)=1)</f>
        <v>1</v>
      </c>
      <c r="D2173" t="str">
        <f>检查点拆解!F2173</f>
        <v>D11.01.02</v>
      </c>
      <c r="E2173" s="2">
        <f>--(COUNTIFS($A$2:A2173,A2173,$D$2:D2173,D2173)=1)</f>
        <v>1</v>
      </c>
    </row>
    <row r="2174" spans="1:5">
      <c r="A2174" t="str">
        <f>检查点拆解!A2174</f>
        <v>Q0323</v>
      </c>
      <c r="B2174" t="str">
        <f>检查点拆解!D2174</f>
        <v>C24</v>
      </c>
      <c r="C2174" s="2">
        <f>--(COUNTIFS($A$2:A2174,A2174,$B$2:B2174,B2174)=1)</f>
        <v>1</v>
      </c>
      <c r="D2174" t="str">
        <f>检查点拆解!F2174</f>
        <v>D09.02.01</v>
      </c>
      <c r="E2174" s="2">
        <f>--(COUNTIFS($A$2:A2174,A2174,$D$2:D2174,D2174)=1)</f>
        <v>1</v>
      </c>
    </row>
    <row r="2175" spans="1:5">
      <c r="A2175" t="str">
        <f>检查点拆解!A2175</f>
        <v>Q0323</v>
      </c>
      <c r="B2175" t="str">
        <f>检查点拆解!D2175</f>
        <v>C25</v>
      </c>
      <c r="C2175" s="2">
        <f>--(COUNTIFS($A$2:A2175,A2175,$B$2:B2175,B2175)=1)</f>
        <v>1</v>
      </c>
      <c r="D2175" t="str">
        <f>检查点拆解!F2175</f>
        <v>D10.01.01</v>
      </c>
      <c r="E2175" s="2">
        <f>--(COUNTIFS($A$2:A2175,A2175,$D$2:D2175,D2175)=1)</f>
        <v>1</v>
      </c>
    </row>
    <row r="2176" spans="1:5">
      <c r="A2176" t="str">
        <f>检查点拆解!A2176</f>
        <v>Q0323</v>
      </c>
      <c r="B2176" t="str">
        <f>检查点拆解!D2176</f>
        <v>C30</v>
      </c>
      <c r="C2176" s="2">
        <f>--(COUNTIFS($A$2:A2176,A2176,$B$2:B2176,B2176)=1)</f>
        <v>1</v>
      </c>
      <c r="D2176" t="str">
        <f>检查点拆解!F2176</f>
        <v>D15.01.04</v>
      </c>
      <c r="E2176" s="2">
        <f>--(COUNTIFS($A$2:A2176,A2176,$D$2:D2176,D2176)=1)</f>
        <v>1</v>
      </c>
    </row>
    <row r="2177" spans="1:5">
      <c r="A2177" t="str">
        <f>检查点拆解!A2177</f>
        <v>Q0323</v>
      </c>
      <c r="B2177" t="str">
        <f>检查点拆解!D2177</f>
        <v>C23</v>
      </c>
      <c r="C2177" s="2">
        <f>--(COUNTIFS($A$2:A2177,A2177,$B$2:B2177,B2177)=1)</f>
        <v>1</v>
      </c>
      <c r="D2177" t="str">
        <f>检查点拆解!F2177</f>
        <v>D09.01.01</v>
      </c>
      <c r="E2177" s="2">
        <f>--(COUNTIFS($A$2:A2177,A2177,$D$2:D2177,D2177)=1)</f>
        <v>1</v>
      </c>
    </row>
    <row r="2178" spans="1:5">
      <c r="A2178" t="str">
        <f>检查点拆解!A2178</f>
        <v>Q0323</v>
      </c>
      <c r="B2178" t="str">
        <f>检查点拆解!D2178</f>
        <v>C28</v>
      </c>
      <c r="C2178" s="2">
        <f>--(COUNTIFS($A$2:A2178,A2178,$B$2:B2178,B2178)=1)</f>
        <v>1</v>
      </c>
      <c r="D2178" t="str">
        <f>检查点拆解!F2178</f>
        <v>D12.02.02</v>
      </c>
      <c r="E2178" s="2">
        <f>--(COUNTIFS($A$2:A2178,A2178,$D$2:D2178,D2178)=1)</f>
        <v>1</v>
      </c>
    </row>
    <row r="2179" spans="1:5">
      <c r="A2179" t="str">
        <f>检查点拆解!A2179</f>
        <v>Q0323</v>
      </c>
      <c r="B2179" t="str">
        <f>检查点拆解!D2179</f>
        <v>C26</v>
      </c>
      <c r="C2179" s="2">
        <f>--(COUNTIFS($A$2:A2179,A2179,$B$2:B2179,B2179)=1)</f>
        <v>1</v>
      </c>
      <c r="D2179" t="str">
        <f>检查点拆解!F2179</f>
        <v>D10.02.01</v>
      </c>
      <c r="E2179" s="2">
        <f>--(COUNTIFS($A$2:A2179,A2179,$D$2:D2179,D2179)=1)</f>
        <v>1</v>
      </c>
    </row>
    <row r="2180" spans="1:5">
      <c r="A2180" t="str">
        <f>检查点拆解!A2180</f>
        <v>Q0323</v>
      </c>
      <c r="B2180" t="str">
        <f>检查点拆解!D2180</f>
        <v>C28</v>
      </c>
      <c r="C2180" s="2">
        <f>--(COUNTIFS($A$2:A2180,A2180,$B$2:B2180,B2180)=1)</f>
        <v>0</v>
      </c>
      <c r="D2180" t="str">
        <f>检查点拆解!F2180</f>
        <v>D12.01.01</v>
      </c>
      <c r="E2180" s="2">
        <f>--(COUNTIFS($A$2:A2180,A2180,$D$2:D2180,D2180)=1)</f>
        <v>1</v>
      </c>
    </row>
    <row r="2181" spans="1:5">
      <c r="A2181" t="str">
        <f>检查点拆解!A2181</f>
        <v>Q0323</v>
      </c>
      <c r="B2181" t="str">
        <f>检查点拆解!D2181</f>
        <v>C28</v>
      </c>
      <c r="C2181" s="2">
        <f>--(COUNTIFS($A$2:A2181,A2181,$B$2:B2181,B2181)=1)</f>
        <v>0</v>
      </c>
      <c r="D2181" t="str">
        <f>检查点拆解!F2181</f>
        <v>D12.01.02</v>
      </c>
      <c r="E2181" s="2">
        <f>--(COUNTIFS($A$2:A2181,A2181,$D$2:D2181,D2181)=1)</f>
        <v>1</v>
      </c>
    </row>
    <row r="2182" spans="1:5">
      <c r="A2182" t="str">
        <f>检查点拆解!A2182</f>
        <v>Q0323</v>
      </c>
      <c r="B2182" t="str">
        <f>检查点拆解!D2182</f>
        <v>C05</v>
      </c>
      <c r="C2182" s="2">
        <f>--(COUNTIFS($A$2:A2182,A2182,$B$2:B2182,B2182)=1)</f>
        <v>1</v>
      </c>
      <c r="D2182" t="str">
        <f>检查点拆解!F2182</f>
        <v>D02.03.01</v>
      </c>
      <c r="E2182" s="2">
        <f>--(COUNTIFS($A$2:A2182,A2182,$D$2:D2182,D2182)=1)</f>
        <v>1</v>
      </c>
    </row>
    <row r="2183" spans="1:5">
      <c r="A2183" t="str">
        <f>检查点拆解!A2183</f>
        <v>Q0324</v>
      </c>
      <c r="B2183" t="str">
        <f>检查点拆解!D2183</f>
        <v>C29</v>
      </c>
      <c r="C2183" s="2">
        <f>--(COUNTIFS($A$2:A2183,A2183,$B$2:B2183,B2183)=1)</f>
        <v>1</v>
      </c>
      <c r="D2183" t="str">
        <f>检查点拆解!F2183</f>
        <v>D14.02.01</v>
      </c>
      <c r="E2183" s="2">
        <f>--(COUNTIFS($A$2:A2183,A2183,$D$2:D2183,D2183)=1)</f>
        <v>1</v>
      </c>
    </row>
    <row r="2184" spans="1:5">
      <c r="A2184" t="str">
        <f>检查点拆解!A2184</f>
        <v>Q0324</v>
      </c>
      <c r="B2184" t="str">
        <f>检查点拆解!D2184</f>
        <v>C25</v>
      </c>
      <c r="C2184" s="2">
        <f>--(COUNTIFS($A$2:A2184,A2184,$B$2:B2184,B2184)=1)</f>
        <v>1</v>
      </c>
      <c r="D2184" t="str">
        <f>检查点拆解!F2184</f>
        <v>D10.01.01</v>
      </c>
      <c r="E2184" s="2">
        <f>--(COUNTIFS($A$2:A2184,A2184,$D$2:D2184,D2184)=1)</f>
        <v>1</v>
      </c>
    </row>
    <row r="2185" spans="1:5">
      <c r="A2185" t="str">
        <f>检查点拆解!A2185</f>
        <v>Q0324</v>
      </c>
      <c r="B2185" t="str">
        <f>检查点拆解!D2185</f>
        <v>C26</v>
      </c>
      <c r="C2185" s="2">
        <f>--(COUNTIFS($A$2:A2185,A2185,$B$2:B2185,B2185)=1)</f>
        <v>1</v>
      </c>
      <c r="D2185" t="str">
        <f>检查点拆解!F2185</f>
        <v>D10.02.01</v>
      </c>
      <c r="E2185" s="2">
        <f>--(COUNTIFS($A$2:A2185,A2185,$D$2:D2185,D2185)=1)</f>
        <v>1</v>
      </c>
    </row>
    <row r="2186" spans="1:5">
      <c r="A2186" t="str">
        <f>检查点拆解!A2186</f>
        <v>Q0324</v>
      </c>
      <c r="B2186" t="str">
        <f>检查点拆解!D2186</f>
        <v>C06</v>
      </c>
      <c r="C2186" s="2">
        <f>--(COUNTIFS($A$2:A2186,A2186,$B$2:B2186,B2186)=1)</f>
        <v>1</v>
      </c>
      <c r="D2186" t="str">
        <f>检查点拆解!F2186</f>
        <v>D03.01.01</v>
      </c>
      <c r="E2186" s="2">
        <f>--(COUNTIFS($A$2:A2186,A2186,$D$2:D2186,D2186)=1)</f>
        <v>1</v>
      </c>
    </row>
    <row r="2187" spans="1:5">
      <c r="A2187" t="str">
        <f>检查点拆解!A2187</f>
        <v>Q0325</v>
      </c>
      <c r="B2187" t="str">
        <f>检查点拆解!D2187</f>
        <v>C30</v>
      </c>
      <c r="C2187" s="2">
        <f>--(COUNTIFS($A$2:A2187,A2187,$B$2:B2187,B2187)=1)</f>
        <v>1</v>
      </c>
      <c r="D2187" t="str">
        <f>检查点拆解!F2187</f>
        <v>D15.01.02</v>
      </c>
      <c r="E2187" s="2">
        <f>--(COUNTIFS($A$2:A2187,A2187,$D$2:D2187,D2187)=1)</f>
        <v>1</v>
      </c>
    </row>
    <row r="2188" spans="1:5">
      <c r="A2188" t="str">
        <f>检查点拆解!A2188</f>
        <v>Q0325</v>
      </c>
      <c r="B2188" t="str">
        <f>检查点拆解!D2188</f>
        <v>C30</v>
      </c>
      <c r="C2188" s="2">
        <f>--(COUNTIFS($A$2:A2188,A2188,$B$2:B2188,B2188)=1)</f>
        <v>0</v>
      </c>
      <c r="D2188" t="str">
        <f>检查点拆解!F2188</f>
        <v>D15.01.03</v>
      </c>
      <c r="E2188" s="2">
        <f>--(COUNTIFS($A$2:A2188,A2188,$D$2:D2188,D2188)=1)</f>
        <v>1</v>
      </c>
    </row>
    <row r="2189" spans="1:5">
      <c r="A2189" t="str">
        <f>检查点拆解!A2189</f>
        <v>Q0325</v>
      </c>
      <c r="B2189" t="str">
        <f>检查点拆解!D2189</f>
        <v>C17</v>
      </c>
      <c r="C2189" s="2">
        <f>--(COUNTIFS($A$2:A2189,A2189,$B$2:B2189,B2189)=1)</f>
        <v>1</v>
      </c>
      <c r="D2189" t="str">
        <f>检查点拆解!F2189</f>
        <v>D06.01.01</v>
      </c>
      <c r="E2189" s="2">
        <f>--(COUNTIFS($A$2:A2189,A2189,$D$2:D2189,D2189)=1)</f>
        <v>1</v>
      </c>
    </row>
    <row r="2190" spans="1:5">
      <c r="A2190" t="str">
        <f>检查点拆解!A2190</f>
        <v>Q0325</v>
      </c>
      <c r="B2190" t="str">
        <f>检查点拆解!D2190</f>
        <v>C28</v>
      </c>
      <c r="C2190" s="2">
        <f>--(COUNTIFS($A$2:A2190,A2190,$B$2:B2190,B2190)=1)</f>
        <v>1</v>
      </c>
      <c r="D2190" t="str">
        <f>检查点拆解!F2190</f>
        <v>D12.01.01</v>
      </c>
      <c r="E2190" s="2">
        <f>--(COUNTIFS($A$2:A2190,A2190,$D$2:D2190,D2190)=1)</f>
        <v>1</v>
      </c>
    </row>
    <row r="2191" spans="1:5">
      <c r="A2191" t="str">
        <f>检查点拆解!A2191</f>
        <v>Q0325</v>
      </c>
      <c r="B2191" t="str">
        <f>检查点拆解!D2191</f>
        <v>C04</v>
      </c>
      <c r="C2191" s="2">
        <f>--(COUNTIFS($A$2:A2191,A2191,$B$2:B2191,B2191)=1)</f>
        <v>1</v>
      </c>
      <c r="D2191" t="str">
        <f>检查点拆解!F2191</f>
        <v>D02.02.01</v>
      </c>
      <c r="E2191" s="2">
        <f>--(COUNTIFS($A$2:A2191,A2191,$D$2:D2191,D2191)=1)</f>
        <v>1</v>
      </c>
    </row>
    <row r="2192" spans="1:5">
      <c r="A2192" t="str">
        <f>检查点拆解!A2192</f>
        <v>Q0325</v>
      </c>
      <c r="B2192" t="str">
        <f>检查点拆解!D2192</f>
        <v>C03</v>
      </c>
      <c r="C2192" s="2">
        <f>--(COUNTIFS($A$2:A2192,A2192,$B$2:B2192,B2192)=1)</f>
        <v>1</v>
      </c>
      <c r="D2192" t="str">
        <f>检查点拆解!F2192</f>
        <v>D02.01.01</v>
      </c>
      <c r="E2192" s="2">
        <f>--(COUNTIFS($A$2:A2192,A2192,$D$2:D2192,D2192)=1)</f>
        <v>1</v>
      </c>
    </row>
    <row r="2193" spans="1:5">
      <c r="A2193" t="str">
        <f>检查点拆解!A2193</f>
        <v>Q0325</v>
      </c>
      <c r="B2193" t="str">
        <f>检查点拆解!D2193</f>
        <v>C08</v>
      </c>
      <c r="C2193" s="2">
        <f>--(COUNTIFS($A$2:A2193,A2193,$B$2:B2193,B2193)=1)</f>
        <v>1</v>
      </c>
      <c r="D2193" t="str">
        <f>检查点拆解!F2193</f>
        <v>D03.03.01</v>
      </c>
      <c r="E2193" s="2">
        <f>--(COUNTIFS($A$2:A2193,A2193,$D$2:D2193,D2193)=1)</f>
        <v>1</v>
      </c>
    </row>
    <row r="2194" spans="1:5">
      <c r="A2194" t="str">
        <f>检查点拆解!A2194</f>
        <v>Q0326</v>
      </c>
      <c r="B2194" t="str">
        <f>检查点拆解!D2194</f>
        <v>C30</v>
      </c>
      <c r="C2194" s="2">
        <f>--(COUNTIFS($A$2:A2194,A2194,$B$2:B2194,B2194)=1)</f>
        <v>1</v>
      </c>
      <c r="D2194" t="str">
        <f>检查点拆解!F2194</f>
        <v>D15.01.02</v>
      </c>
      <c r="E2194" s="2">
        <f>--(COUNTIFS($A$2:A2194,A2194,$D$2:D2194,D2194)=1)</f>
        <v>1</v>
      </c>
    </row>
    <row r="2195" spans="1:5">
      <c r="A2195" t="str">
        <f>检查点拆解!A2195</f>
        <v>Q0326</v>
      </c>
      <c r="B2195" t="str">
        <f>检查点拆解!D2195</f>
        <v>C30</v>
      </c>
      <c r="C2195" s="2">
        <f>--(COUNTIFS($A$2:A2195,A2195,$B$2:B2195,B2195)=1)</f>
        <v>0</v>
      </c>
      <c r="D2195" t="str">
        <f>检查点拆解!F2195</f>
        <v>D15.01.03</v>
      </c>
      <c r="E2195" s="2">
        <f>--(COUNTIFS($A$2:A2195,A2195,$D$2:D2195,D2195)=1)</f>
        <v>1</v>
      </c>
    </row>
    <row r="2196" spans="1:5">
      <c r="A2196" t="str">
        <f>检查点拆解!A2196</f>
        <v>Q0326</v>
      </c>
      <c r="B2196" t="str">
        <f>检查点拆解!D2196</f>
        <v>C23</v>
      </c>
      <c r="C2196" s="2">
        <f>--(COUNTIFS($A$2:A2196,A2196,$B$2:B2196,B2196)=1)</f>
        <v>1</v>
      </c>
      <c r="D2196" t="str">
        <f>检查点拆解!F2196</f>
        <v>D09.01.01</v>
      </c>
      <c r="E2196" s="2">
        <f>--(COUNTIFS($A$2:A2196,A2196,$D$2:D2196,D2196)=1)</f>
        <v>1</v>
      </c>
    </row>
    <row r="2197" spans="1:5">
      <c r="A2197" t="str">
        <f>检查点拆解!A2197</f>
        <v>Q0326</v>
      </c>
      <c r="B2197" t="str">
        <f>检查点拆解!D2197</f>
        <v>C28</v>
      </c>
      <c r="C2197" s="2">
        <f>--(COUNTIFS($A$2:A2197,A2197,$B$2:B2197,B2197)=1)</f>
        <v>1</v>
      </c>
      <c r="D2197" t="str">
        <f>检查点拆解!F2197</f>
        <v>D12.01.01</v>
      </c>
      <c r="E2197" s="2">
        <f>--(COUNTIFS($A$2:A2197,A2197,$D$2:D2197,D2197)=1)</f>
        <v>1</v>
      </c>
    </row>
    <row r="2198" spans="1:5">
      <c r="A2198" t="str">
        <f>检查点拆解!A2198</f>
        <v>Q0326</v>
      </c>
      <c r="B2198" t="str">
        <f>检查点拆解!D2198</f>
        <v>C28</v>
      </c>
      <c r="C2198" s="2">
        <f>--(COUNTIFS($A$2:A2198,A2198,$B$2:B2198,B2198)=1)</f>
        <v>0</v>
      </c>
      <c r="D2198" t="str">
        <f>检查点拆解!F2198</f>
        <v>D13.01.01</v>
      </c>
      <c r="E2198" s="2">
        <f>--(COUNTIFS($A$2:A2198,A2198,$D$2:D2198,D2198)=1)</f>
        <v>1</v>
      </c>
    </row>
    <row r="2199" spans="1:5">
      <c r="A2199" t="str">
        <f>检查点拆解!A2199</f>
        <v>Q0326</v>
      </c>
      <c r="B2199" t="str">
        <f>检查点拆解!D2199</f>
        <v>C05</v>
      </c>
      <c r="C2199" s="2">
        <f>--(COUNTIFS($A$2:A2199,A2199,$B$2:B2199,B2199)=1)</f>
        <v>1</v>
      </c>
      <c r="D2199" t="str">
        <f>检查点拆解!F2199</f>
        <v>D02.03.01</v>
      </c>
      <c r="E2199" s="2">
        <f>--(COUNTIFS($A$2:A2199,A2199,$D$2:D2199,D2199)=1)</f>
        <v>1</v>
      </c>
    </row>
    <row r="2200" spans="1:5">
      <c r="A2200" t="str">
        <f>检查点拆解!A2200</f>
        <v>Q0327</v>
      </c>
      <c r="B2200" t="str">
        <f>检查点拆解!D2200</f>
        <v>C27</v>
      </c>
      <c r="C2200" s="2">
        <f>--(COUNTIFS($A$2:A2200,A2200,$B$2:B2200,B2200)=1)</f>
        <v>1</v>
      </c>
      <c r="D2200" t="str">
        <f>检查点拆解!F2200</f>
        <v>D11.02.02</v>
      </c>
      <c r="E2200" s="2">
        <f>--(COUNTIFS($A$2:A2200,A2200,$D$2:D2200,D2200)=1)</f>
        <v>1</v>
      </c>
    </row>
    <row r="2201" spans="1:5">
      <c r="A2201" t="str">
        <f>检查点拆解!A2201</f>
        <v>Q0327</v>
      </c>
      <c r="B2201" t="str">
        <f>检查点拆解!D2201</f>
        <v>C25</v>
      </c>
      <c r="C2201" s="2">
        <f>--(COUNTIFS($A$2:A2201,A2201,$B$2:B2201,B2201)=1)</f>
        <v>1</v>
      </c>
      <c r="D2201" t="str">
        <f>检查点拆解!F2201</f>
        <v>D10.01.01</v>
      </c>
      <c r="E2201" s="2">
        <f>--(COUNTIFS($A$2:A2201,A2201,$D$2:D2201,D2201)=1)</f>
        <v>1</v>
      </c>
    </row>
    <row r="2202" spans="1:5">
      <c r="A2202" t="str">
        <f>检查点拆解!A2202</f>
        <v>Q0327</v>
      </c>
      <c r="B2202" t="str">
        <f>检查点拆解!D2202</f>
        <v>C28</v>
      </c>
      <c r="C2202" s="2">
        <f>--(COUNTIFS($A$2:A2202,A2202,$B$2:B2202,B2202)=1)</f>
        <v>1</v>
      </c>
      <c r="D2202" t="str">
        <f>检查点拆解!F2202</f>
        <v>D12.02.01</v>
      </c>
      <c r="E2202" s="2">
        <f>--(COUNTIFS($A$2:A2202,A2202,$D$2:D2202,D2202)=1)</f>
        <v>1</v>
      </c>
    </row>
    <row r="2203" spans="1:5">
      <c r="A2203" t="str">
        <f>检查点拆解!A2203</f>
        <v>Q0327</v>
      </c>
      <c r="B2203" t="str">
        <f>检查点拆解!D2203</f>
        <v>C14</v>
      </c>
      <c r="C2203" s="2">
        <f>--(COUNTIFS($A$2:A2203,A2203,$B$2:B2203,B2203)=1)</f>
        <v>1</v>
      </c>
      <c r="D2203" t="str">
        <f>检查点拆解!F2203</f>
        <v>D05.01.03</v>
      </c>
      <c r="E2203" s="2">
        <f>--(COUNTIFS($A$2:A2203,A2203,$D$2:D2203,D2203)=1)</f>
        <v>1</v>
      </c>
    </row>
    <row r="2204" spans="1:5">
      <c r="A2204" t="str">
        <f>检查点拆解!A2204</f>
        <v>Q0327</v>
      </c>
      <c r="B2204" t="str">
        <f>检查点拆解!D2204</f>
        <v>C26</v>
      </c>
      <c r="C2204" s="2">
        <f>--(COUNTIFS($A$2:A2204,A2204,$B$2:B2204,B2204)=1)</f>
        <v>1</v>
      </c>
      <c r="D2204" t="str">
        <f>检查点拆解!F2204</f>
        <v>D10.02.01</v>
      </c>
      <c r="E2204" s="2">
        <f>--(COUNTIFS($A$2:A2204,A2204,$D$2:D2204,D2204)=1)</f>
        <v>1</v>
      </c>
    </row>
    <row r="2205" spans="1:5">
      <c r="A2205" t="str">
        <f>检查点拆解!A2205</f>
        <v>Q0327</v>
      </c>
      <c r="B2205" t="str">
        <f>检查点拆解!D2205</f>
        <v>C28</v>
      </c>
      <c r="C2205" s="2">
        <f>--(COUNTIFS($A$2:A2205,A2205,$B$2:B2205,B2205)=1)</f>
        <v>0</v>
      </c>
      <c r="D2205" t="str">
        <f>检查点拆解!F2205</f>
        <v>D12.01.02</v>
      </c>
      <c r="E2205" s="2">
        <f>--(COUNTIFS($A$2:A2205,A2205,$D$2:D2205,D2205)=1)</f>
        <v>1</v>
      </c>
    </row>
    <row r="2206" spans="1:5">
      <c r="A2206" t="str">
        <f>检查点拆解!A2206</f>
        <v>Q0327</v>
      </c>
      <c r="B2206" t="str">
        <f>检查点拆解!D2206</f>
        <v>C03</v>
      </c>
      <c r="C2206" s="2">
        <f>--(COUNTIFS($A$2:A2206,A2206,$B$2:B2206,B2206)=1)</f>
        <v>1</v>
      </c>
      <c r="D2206" t="str">
        <f>检查点拆解!F2206</f>
        <v>D02.01.01</v>
      </c>
      <c r="E2206" s="2">
        <f>--(COUNTIFS($A$2:A2206,A2206,$D$2:D2206,D2206)=1)</f>
        <v>1</v>
      </c>
    </row>
    <row r="2207" spans="1:5">
      <c r="A2207" t="str">
        <f>检查点拆解!A2207</f>
        <v>Q0327</v>
      </c>
      <c r="B2207" t="str">
        <f>检查点拆解!D2207</f>
        <v>C08</v>
      </c>
      <c r="C2207" s="2">
        <f>--(COUNTIFS($A$2:A2207,A2207,$B$2:B2207,B2207)=1)</f>
        <v>1</v>
      </c>
      <c r="D2207" t="str">
        <f>检查点拆解!F2207</f>
        <v>D03.03.01</v>
      </c>
      <c r="E2207" s="2">
        <f>--(COUNTIFS($A$2:A2207,A2207,$D$2:D2207,D2207)=1)</f>
        <v>1</v>
      </c>
    </row>
    <row r="2208" spans="1:5">
      <c r="A2208" t="str">
        <f>检查点拆解!A2208</f>
        <v>Q0328</v>
      </c>
      <c r="B2208" t="str">
        <f>检查点拆解!D2208</f>
        <v>C24</v>
      </c>
      <c r="C2208" s="2">
        <f>--(COUNTIFS($A$2:A2208,A2208,$B$2:B2208,B2208)=1)</f>
        <v>1</v>
      </c>
      <c r="D2208" t="str">
        <f>检查点拆解!F2208</f>
        <v>D09.03.03</v>
      </c>
      <c r="E2208" s="2">
        <f>--(COUNTIFS($A$2:A2208,A2208,$D$2:D2208,D2208)=1)</f>
        <v>1</v>
      </c>
    </row>
    <row r="2209" spans="1:5">
      <c r="A2209" t="str">
        <f>检查点拆解!A2209</f>
        <v>Q0328</v>
      </c>
      <c r="B2209" t="str">
        <f>检查点拆解!D2209</f>
        <v>C25</v>
      </c>
      <c r="C2209" s="2">
        <f>--(COUNTIFS($A$2:A2209,A2209,$B$2:B2209,B2209)=1)</f>
        <v>1</v>
      </c>
      <c r="D2209" t="str">
        <f>检查点拆解!F2209</f>
        <v>D10.01.01</v>
      </c>
      <c r="E2209" s="2">
        <f>--(COUNTIFS($A$2:A2209,A2209,$D$2:D2209,D2209)=1)</f>
        <v>1</v>
      </c>
    </row>
    <row r="2210" spans="1:5">
      <c r="A2210" t="str">
        <f>检查点拆解!A2210</f>
        <v>Q0328</v>
      </c>
      <c r="B2210" t="str">
        <f>检查点拆解!D2210</f>
        <v>C26</v>
      </c>
      <c r="C2210" s="2">
        <f>--(COUNTIFS($A$2:A2210,A2210,$B$2:B2210,B2210)=1)</f>
        <v>1</v>
      </c>
      <c r="D2210" t="str">
        <f>检查点拆解!F2210</f>
        <v>D10.02.01</v>
      </c>
      <c r="E2210" s="2">
        <f>--(COUNTIFS($A$2:A2210,A2210,$D$2:D2210,D2210)=1)</f>
        <v>1</v>
      </c>
    </row>
    <row r="2211" spans="1:5">
      <c r="A2211" t="str">
        <f>检查点拆解!A2211</f>
        <v>Q0328</v>
      </c>
      <c r="B2211" t="str">
        <f>检查点拆解!D2211</f>
        <v>C28</v>
      </c>
      <c r="C2211" s="2">
        <f>--(COUNTIFS($A$2:A2211,A2211,$B$2:B2211,B2211)=1)</f>
        <v>1</v>
      </c>
      <c r="D2211" t="str">
        <f>检查点拆解!F2211</f>
        <v>D12.01.02</v>
      </c>
      <c r="E2211" s="2">
        <f>--(COUNTIFS($A$2:A2211,A2211,$D$2:D2211,D2211)=1)</f>
        <v>1</v>
      </c>
    </row>
    <row r="2212" spans="1:5">
      <c r="A2212" t="str">
        <f>检查点拆解!A2212</f>
        <v>Q0328</v>
      </c>
      <c r="B2212" t="str">
        <f>检查点拆解!D2212</f>
        <v>C28</v>
      </c>
      <c r="C2212" s="2">
        <f>--(COUNTIFS($A$2:A2212,A2212,$B$2:B2212,B2212)=1)</f>
        <v>0</v>
      </c>
      <c r="D2212" t="str">
        <f>检查点拆解!F2212</f>
        <v>D13.01.01</v>
      </c>
      <c r="E2212" s="2">
        <f>--(COUNTIFS($A$2:A2212,A2212,$D$2:D2212,D2212)=1)</f>
        <v>1</v>
      </c>
    </row>
    <row r="2213" spans="1:5">
      <c r="A2213" t="str">
        <f>检查点拆解!A2213</f>
        <v>Q0329</v>
      </c>
      <c r="B2213" t="str">
        <f>检查点拆解!D2213</f>
        <v>C27</v>
      </c>
      <c r="C2213" s="2">
        <f>--(COUNTIFS($A$2:A2213,A2213,$B$2:B2213,B2213)=1)</f>
        <v>1</v>
      </c>
      <c r="D2213" t="str">
        <f>检查点拆解!F2213</f>
        <v>D11.02.01</v>
      </c>
      <c r="E2213" s="2">
        <f>--(COUNTIFS($A$2:A2213,A2213,$D$2:D2213,D2213)=1)</f>
        <v>1</v>
      </c>
    </row>
    <row r="2214" spans="1:5">
      <c r="A2214" t="str">
        <f>检查点拆解!A2214</f>
        <v>Q0329</v>
      </c>
      <c r="B2214" t="str">
        <f>检查点拆解!D2214</f>
        <v>C27</v>
      </c>
      <c r="C2214" s="2">
        <f>--(COUNTIFS($A$2:A2214,A2214,$B$2:B2214,B2214)=1)</f>
        <v>0</v>
      </c>
      <c r="D2214" t="str">
        <f>检查点拆解!F2214</f>
        <v>D11.01.01</v>
      </c>
      <c r="E2214" s="2">
        <f>--(COUNTIFS($A$2:A2214,A2214,$D$2:D2214,D2214)=1)</f>
        <v>1</v>
      </c>
    </row>
    <row r="2215" spans="1:5">
      <c r="A2215" t="str">
        <f>检查点拆解!A2215</f>
        <v>Q0329</v>
      </c>
      <c r="B2215" t="str">
        <f>检查点拆解!D2215</f>
        <v>C27</v>
      </c>
      <c r="C2215" s="2">
        <f>--(COUNTIFS($A$2:A2215,A2215,$B$2:B2215,B2215)=1)</f>
        <v>0</v>
      </c>
      <c r="D2215" t="str">
        <f>检查点拆解!F2215</f>
        <v>D11.01.03</v>
      </c>
      <c r="E2215" s="2">
        <f>--(COUNTIFS($A$2:A2215,A2215,$D$2:D2215,D2215)=1)</f>
        <v>1</v>
      </c>
    </row>
    <row r="2216" spans="1:5">
      <c r="A2216" t="str">
        <f>检查点拆解!A2216</f>
        <v>Q0329</v>
      </c>
      <c r="B2216" t="str">
        <f>检查点拆解!D2216</f>
        <v>C25</v>
      </c>
      <c r="C2216" s="2">
        <f>--(COUNTIFS($A$2:A2216,A2216,$B$2:B2216,B2216)=1)</f>
        <v>1</v>
      </c>
      <c r="D2216" t="str">
        <f>检查点拆解!F2216</f>
        <v>D10.01.01</v>
      </c>
      <c r="E2216" s="2">
        <f>--(COUNTIFS($A$2:A2216,A2216,$D$2:D2216,D2216)=1)</f>
        <v>1</v>
      </c>
    </row>
    <row r="2217" spans="1:5">
      <c r="A2217" t="str">
        <f>检查点拆解!A2217</f>
        <v>Q0329</v>
      </c>
      <c r="B2217" t="str">
        <f>检查点拆解!D2217</f>
        <v>C17</v>
      </c>
      <c r="C2217" s="2">
        <f>--(COUNTIFS($A$2:A2217,A2217,$B$2:B2217,B2217)=1)</f>
        <v>1</v>
      </c>
      <c r="D2217" t="str">
        <f>检查点拆解!F2217</f>
        <v>D06.01.01</v>
      </c>
      <c r="E2217" s="2">
        <f>--(COUNTIFS($A$2:A2217,A2217,$D$2:D2217,D2217)=1)</f>
        <v>1</v>
      </c>
    </row>
    <row r="2218" spans="1:5">
      <c r="A2218" t="str">
        <f>检查点拆解!A2218</f>
        <v>Q0329</v>
      </c>
      <c r="B2218" t="str">
        <f>检查点拆解!D2218</f>
        <v>C30</v>
      </c>
      <c r="C2218" s="2">
        <f>--(COUNTIFS($A$2:A2218,A2218,$B$2:B2218,B2218)=1)</f>
        <v>1</v>
      </c>
      <c r="D2218" t="str">
        <f>检查点拆解!F2218</f>
        <v>D15.01.04</v>
      </c>
      <c r="E2218" s="2">
        <f>--(COUNTIFS($A$2:A2218,A2218,$D$2:D2218,D2218)=1)</f>
        <v>1</v>
      </c>
    </row>
    <row r="2219" spans="1:5">
      <c r="A2219" t="str">
        <f>检查点拆解!A2219</f>
        <v>Q0329</v>
      </c>
      <c r="B2219" t="str">
        <f>检查点拆解!D2219</f>
        <v>C26</v>
      </c>
      <c r="C2219" s="2">
        <f>--(COUNTIFS($A$2:A2219,A2219,$B$2:B2219,B2219)=1)</f>
        <v>1</v>
      </c>
      <c r="D2219" t="str">
        <f>检查点拆解!F2219</f>
        <v>D10.02.01</v>
      </c>
      <c r="E2219" s="2">
        <f>--(COUNTIFS($A$2:A2219,A2219,$D$2:D2219,D2219)=1)</f>
        <v>1</v>
      </c>
    </row>
    <row r="2220" spans="1:5">
      <c r="A2220" t="str">
        <f>检查点拆解!A2220</f>
        <v>Q0329</v>
      </c>
      <c r="B2220" t="str">
        <f>检查点拆解!D2220</f>
        <v>C28</v>
      </c>
      <c r="C2220" s="2">
        <f>--(COUNTIFS($A$2:A2220,A2220,$B$2:B2220,B2220)=1)</f>
        <v>1</v>
      </c>
      <c r="D2220" t="str">
        <f>检查点拆解!F2220</f>
        <v>D12.01.01</v>
      </c>
      <c r="E2220" s="2">
        <f>--(COUNTIFS($A$2:A2220,A2220,$D$2:D2220,D2220)=1)</f>
        <v>1</v>
      </c>
    </row>
    <row r="2221" spans="1:5">
      <c r="A2221" t="str">
        <f>检查点拆解!A2221</f>
        <v>Q0329</v>
      </c>
      <c r="B2221" t="str">
        <f>检查点拆解!D2221</f>
        <v>C28</v>
      </c>
      <c r="C2221" s="2">
        <f>--(COUNTIFS($A$2:A2221,A2221,$B$2:B2221,B2221)=1)</f>
        <v>0</v>
      </c>
      <c r="D2221" t="str">
        <f>检查点拆解!F2221</f>
        <v>D12.01.02</v>
      </c>
      <c r="E2221" s="2">
        <f>--(COUNTIFS($A$2:A2221,A2221,$D$2:D2221,D2221)=1)</f>
        <v>1</v>
      </c>
    </row>
    <row r="2222" spans="1:5">
      <c r="A2222" t="str">
        <f>检查点拆解!A2222</f>
        <v>Q0329</v>
      </c>
      <c r="B2222" t="str">
        <f>检查点拆解!D2222</f>
        <v>C04</v>
      </c>
      <c r="C2222" s="2">
        <f>--(COUNTIFS($A$2:A2222,A2222,$B$2:B2222,B2222)=1)</f>
        <v>1</v>
      </c>
      <c r="D2222" t="str">
        <f>检查点拆解!F2222</f>
        <v>D02.02.01</v>
      </c>
      <c r="E2222" s="2">
        <f>--(COUNTIFS($A$2:A2222,A2222,$D$2:D2222,D2222)=1)</f>
        <v>1</v>
      </c>
    </row>
    <row r="2223" spans="1:5">
      <c r="A2223" t="str">
        <f>检查点拆解!A2223</f>
        <v>Q0330</v>
      </c>
      <c r="B2223" t="str">
        <f>检查点拆解!D2223</f>
        <v>C06</v>
      </c>
      <c r="C2223" s="2">
        <f>--(COUNTIFS($A$2:A2223,A2223,$B$2:B2223,B2223)=1)</f>
        <v>1</v>
      </c>
      <c r="D2223" t="str">
        <f>检查点拆解!F2223</f>
        <v>D03.01.03</v>
      </c>
      <c r="E2223" s="2">
        <f>--(COUNTIFS($A$2:A2223,A2223,$D$2:D2223,D2223)=1)</f>
        <v>1</v>
      </c>
    </row>
    <row r="2224" spans="1:5">
      <c r="A2224" t="str">
        <f>检查点拆解!A2224</f>
        <v>Q0330</v>
      </c>
      <c r="B2224" t="str">
        <f>检查点拆解!D2224</f>
        <v>C24</v>
      </c>
      <c r="C2224" s="2">
        <f>--(COUNTIFS($A$2:A2224,A2224,$B$2:B2224,B2224)=1)</f>
        <v>1</v>
      </c>
      <c r="D2224" t="str">
        <f>检查点拆解!F2224</f>
        <v>D09.02.03</v>
      </c>
      <c r="E2224" s="2">
        <f>--(COUNTIFS($A$2:A2224,A2224,$D$2:D2224,D2224)=1)</f>
        <v>1</v>
      </c>
    </row>
    <row r="2225" spans="1:5">
      <c r="A2225" t="str">
        <f>检查点拆解!A2225</f>
        <v>Q0330</v>
      </c>
      <c r="B2225" t="str">
        <f>检查点拆解!D2225</f>
        <v>C06</v>
      </c>
      <c r="C2225" s="2">
        <f>--(COUNTIFS($A$2:A2225,A2225,$B$2:B2225,B2225)=1)</f>
        <v>0</v>
      </c>
      <c r="D2225" t="str">
        <f>检查点拆解!F2225</f>
        <v>D03.01.02</v>
      </c>
      <c r="E2225" s="2">
        <f>--(COUNTIFS($A$2:A2225,A2225,$D$2:D2225,D2225)=1)</f>
        <v>1</v>
      </c>
    </row>
    <row r="2226" spans="1:5">
      <c r="A2226" t="str">
        <f>检查点拆解!A2226</f>
        <v>Q0330</v>
      </c>
      <c r="B2226" t="str">
        <f>检查点拆解!D2226</f>
        <v>C28</v>
      </c>
      <c r="C2226" s="2">
        <f>--(COUNTIFS($A$2:A2226,A2226,$B$2:B2226,B2226)=1)</f>
        <v>1</v>
      </c>
      <c r="D2226" t="str">
        <f>检查点拆解!F2226</f>
        <v>D12.02.01</v>
      </c>
      <c r="E2226" s="2">
        <f>--(COUNTIFS($A$2:A2226,A2226,$D$2:D2226,D2226)=1)</f>
        <v>1</v>
      </c>
    </row>
    <row r="2227" spans="1:5">
      <c r="A2227" t="str">
        <f>检查点拆解!A2227</f>
        <v>Q0330</v>
      </c>
      <c r="B2227" t="str">
        <f>检查点拆解!D2227</f>
        <v>C28</v>
      </c>
      <c r="C2227" s="2">
        <f>--(COUNTIFS($A$2:A2227,A2227,$B$2:B2227,B2227)=1)</f>
        <v>0</v>
      </c>
      <c r="D2227" t="str">
        <f>检查点拆解!F2227</f>
        <v>D12.01.01</v>
      </c>
      <c r="E2227" s="2">
        <f>--(COUNTIFS($A$2:A2227,A2227,$D$2:D2227,D2227)=1)</f>
        <v>1</v>
      </c>
    </row>
    <row r="2228" spans="1:5">
      <c r="A2228" t="str">
        <f>检查点拆解!A2228</f>
        <v>Q0330</v>
      </c>
      <c r="B2228" t="str">
        <f>检查点拆解!D2228</f>
        <v>C28</v>
      </c>
      <c r="C2228" s="2">
        <f>--(COUNTIFS($A$2:A2228,A2228,$B$2:B2228,B2228)=1)</f>
        <v>0</v>
      </c>
      <c r="D2228" t="str">
        <f>检查点拆解!F2228</f>
        <v>D12.01.02</v>
      </c>
      <c r="E2228" s="2">
        <f>--(COUNTIFS($A$2:A2228,A2228,$D$2:D2228,D2228)=1)</f>
        <v>1</v>
      </c>
    </row>
    <row r="2229" spans="1:5">
      <c r="A2229" t="str">
        <f>检查点拆解!A2229</f>
        <v>Q0330</v>
      </c>
      <c r="B2229" t="str">
        <f>检查点拆解!D2229</f>
        <v>C06</v>
      </c>
      <c r="C2229" s="2">
        <f>--(COUNTIFS($A$2:A2229,A2229,$B$2:B2229,B2229)=1)</f>
        <v>0</v>
      </c>
      <c r="D2229" t="str">
        <f>检查点拆解!F2229</f>
        <v>D03.01.01</v>
      </c>
      <c r="E2229" s="2">
        <f>--(COUNTIFS($A$2:A2229,A2229,$D$2:D2229,D2229)=1)</f>
        <v>1</v>
      </c>
    </row>
    <row r="2230" spans="1:5">
      <c r="A2230" t="str">
        <f>检查点拆解!A2230</f>
        <v>Q0331</v>
      </c>
      <c r="B2230" t="str">
        <f>检查点拆解!D2230</f>
        <v>C24</v>
      </c>
      <c r="C2230" s="2">
        <f>--(COUNTIFS($A$2:A2230,A2230,$B$2:B2230,B2230)=1)</f>
        <v>1</v>
      </c>
      <c r="D2230" t="str">
        <f>检查点拆解!F2230</f>
        <v>D09.02.02</v>
      </c>
      <c r="E2230" s="2">
        <f>--(COUNTIFS($A$2:A2230,A2230,$D$2:D2230,D2230)=1)</f>
        <v>1</v>
      </c>
    </row>
    <row r="2231" spans="1:5">
      <c r="A2231" t="str">
        <f>检查点拆解!A2231</f>
        <v>Q0331</v>
      </c>
      <c r="B2231" t="str">
        <f>检查点拆解!D2231</f>
        <v>C23</v>
      </c>
      <c r="C2231" s="2">
        <f>--(COUNTIFS($A$2:A2231,A2231,$B$2:B2231,B2231)=1)</f>
        <v>1</v>
      </c>
      <c r="D2231" t="str">
        <f>检查点拆解!F2231</f>
        <v>D09.01.03</v>
      </c>
      <c r="E2231" s="2">
        <f>--(COUNTIFS($A$2:A2231,A2231,$D$2:D2231,D2231)=1)</f>
        <v>1</v>
      </c>
    </row>
    <row r="2232" spans="1:5">
      <c r="A2232" t="str">
        <f>检查点拆解!A2232</f>
        <v>Q0331</v>
      </c>
      <c r="B2232" t="str">
        <f>检查点拆解!D2232</f>
        <v>C23</v>
      </c>
      <c r="C2232" s="2">
        <f>--(COUNTIFS($A$2:A2232,A2232,$B$2:B2232,B2232)=1)</f>
        <v>0</v>
      </c>
      <c r="D2232" t="str">
        <f>检查点拆解!F2232</f>
        <v>D09.01.01</v>
      </c>
      <c r="E2232" s="2">
        <f>--(COUNTIFS($A$2:A2232,A2232,$D$2:D2232,D2232)=1)</f>
        <v>1</v>
      </c>
    </row>
    <row r="2233" spans="1:5">
      <c r="A2233" t="str">
        <f>检查点拆解!A2233</f>
        <v>Q0331</v>
      </c>
      <c r="B2233" t="str">
        <f>检查点拆解!D2233</f>
        <v>C28</v>
      </c>
      <c r="C2233" s="2">
        <f>--(COUNTIFS($A$2:A2233,A2233,$B$2:B2233,B2233)=1)</f>
        <v>1</v>
      </c>
      <c r="D2233" t="str">
        <f>检查点拆解!F2233</f>
        <v>D12.02.01</v>
      </c>
      <c r="E2233" s="2">
        <f>--(COUNTIFS($A$2:A2233,A2233,$D$2:D2233,D2233)=1)</f>
        <v>1</v>
      </c>
    </row>
    <row r="2234" spans="1:5">
      <c r="A2234" t="str">
        <f>检查点拆解!A2234</f>
        <v>Q0331</v>
      </c>
      <c r="B2234" t="str">
        <f>检查点拆解!D2234</f>
        <v>C26</v>
      </c>
      <c r="C2234" s="2">
        <f>--(COUNTIFS($A$2:A2234,A2234,$B$2:B2234,B2234)=1)</f>
        <v>1</v>
      </c>
      <c r="D2234" t="str">
        <f>检查点拆解!F2234</f>
        <v>D10.02.01</v>
      </c>
      <c r="E2234" s="2">
        <f>--(COUNTIFS($A$2:A2234,A2234,$D$2:D2234,D2234)=1)</f>
        <v>1</v>
      </c>
    </row>
    <row r="2235" spans="1:5">
      <c r="A2235" t="str">
        <f>检查点拆解!A2235</f>
        <v>Q0331</v>
      </c>
      <c r="B2235" t="str">
        <f>检查点拆解!D2235</f>
        <v>C14</v>
      </c>
      <c r="C2235" s="2">
        <f>--(COUNTIFS($A$2:A2235,A2235,$B$2:B2235,B2235)=1)</f>
        <v>1</v>
      </c>
      <c r="D2235" t="str">
        <f>检查点拆解!F2235</f>
        <v>D05.01.01</v>
      </c>
      <c r="E2235" s="2">
        <f>--(COUNTIFS($A$2:A2235,A2235,$D$2:D2235,D2235)=1)</f>
        <v>1</v>
      </c>
    </row>
    <row r="2236" spans="1:5">
      <c r="A2236" t="str">
        <f>检查点拆解!A2236</f>
        <v>Q0331</v>
      </c>
      <c r="B2236" t="str">
        <f>检查点拆解!D2236</f>
        <v>C04</v>
      </c>
      <c r="C2236" s="2">
        <f>--(COUNTIFS($A$2:A2236,A2236,$B$2:B2236,B2236)=1)</f>
        <v>1</v>
      </c>
      <c r="D2236" t="str">
        <f>检查点拆解!F2236</f>
        <v>D02.02.02</v>
      </c>
      <c r="E2236" s="2">
        <f>--(COUNTIFS($A$2:A2236,A2236,$D$2:D2236,D2236)=1)</f>
        <v>1</v>
      </c>
    </row>
    <row r="2237" spans="1:5">
      <c r="A2237" t="str">
        <f>检查点拆解!A2237</f>
        <v>Q0331</v>
      </c>
      <c r="B2237" t="str">
        <f>检查点拆解!D2237</f>
        <v>C05</v>
      </c>
      <c r="C2237" s="2">
        <f>--(COUNTIFS($A$2:A2237,A2237,$B$2:B2237,B2237)=1)</f>
        <v>1</v>
      </c>
      <c r="D2237" t="str">
        <f>检查点拆解!F2237</f>
        <v>D02.03.02</v>
      </c>
      <c r="E2237" s="2">
        <f>--(COUNTIFS($A$2:A2237,A2237,$D$2:D2237,D2237)=1)</f>
        <v>1</v>
      </c>
    </row>
    <row r="2238" spans="1:5">
      <c r="A2238" t="str">
        <f>检查点拆解!A2238</f>
        <v>Q0332</v>
      </c>
      <c r="B2238" t="str">
        <f>检查点拆解!D2238</f>
        <v>C12</v>
      </c>
      <c r="C2238" s="2">
        <f>--(COUNTIFS($A$2:A2238,A2238,$B$2:B2238,B2238)=1)</f>
        <v>1</v>
      </c>
      <c r="D2238" t="str">
        <f>检查点拆解!F2238</f>
        <v>D04.03.03</v>
      </c>
      <c r="E2238" s="2">
        <f>--(COUNTIFS($A$2:A2238,A2238,$D$2:D2238,D2238)=1)</f>
        <v>1</v>
      </c>
    </row>
    <row r="2239" spans="1:5">
      <c r="A2239" t="str">
        <f>检查点拆解!A2239</f>
        <v>Q0332</v>
      </c>
      <c r="B2239" t="str">
        <f>检查点拆解!D2239</f>
        <v>C17</v>
      </c>
      <c r="C2239" s="2">
        <f>--(COUNTIFS($A$2:A2239,A2239,$B$2:B2239,B2239)=1)</f>
        <v>1</v>
      </c>
      <c r="D2239" t="str">
        <f>检查点拆解!F2239</f>
        <v>D06.03.01</v>
      </c>
      <c r="E2239" s="2">
        <f>--(COUNTIFS($A$2:A2239,A2239,$D$2:D2239,D2239)=1)</f>
        <v>1</v>
      </c>
    </row>
    <row r="2240" spans="1:5">
      <c r="A2240" t="str">
        <f>检查点拆解!A2240</f>
        <v>Q0332</v>
      </c>
      <c r="B2240" t="str">
        <f>检查点拆解!D2240</f>
        <v>C24</v>
      </c>
      <c r="C2240" s="2">
        <f>--(COUNTIFS($A$2:A2240,A2240,$B$2:B2240,B2240)=1)</f>
        <v>1</v>
      </c>
      <c r="D2240" t="str">
        <f>检查点拆解!F2240</f>
        <v>D09.02.03</v>
      </c>
      <c r="E2240" s="2">
        <f>--(COUNTIFS($A$2:A2240,A2240,$D$2:D2240,D2240)=1)</f>
        <v>1</v>
      </c>
    </row>
    <row r="2241" spans="1:5">
      <c r="A2241" t="str">
        <f>检查点拆解!A2241</f>
        <v>Q0332</v>
      </c>
      <c r="B2241" t="str">
        <f>检查点拆解!D2241</f>
        <v>C28</v>
      </c>
      <c r="C2241" s="2">
        <f>--(COUNTIFS($A$2:A2241,A2241,$B$2:B2241,B2241)=1)</f>
        <v>1</v>
      </c>
      <c r="D2241" t="str">
        <f>检查点拆解!F2241</f>
        <v>D12.02.01</v>
      </c>
      <c r="E2241" s="2">
        <f>--(COUNTIFS($A$2:A2241,A2241,$D$2:D2241,D2241)=1)</f>
        <v>1</v>
      </c>
    </row>
    <row r="2242" spans="1:5">
      <c r="A2242" t="str">
        <f>检查点拆解!A2242</f>
        <v>Q0332</v>
      </c>
      <c r="B2242" t="str">
        <f>检查点拆解!D2242</f>
        <v>C26</v>
      </c>
      <c r="C2242" s="2">
        <f>--(COUNTIFS($A$2:A2242,A2242,$B$2:B2242,B2242)=1)</f>
        <v>1</v>
      </c>
      <c r="D2242" t="str">
        <f>检查点拆解!F2242</f>
        <v>D10.02.01</v>
      </c>
      <c r="E2242" s="2">
        <f>--(COUNTIFS($A$2:A2242,A2242,$D$2:D2242,D2242)=1)</f>
        <v>1</v>
      </c>
    </row>
    <row r="2243" spans="1:5">
      <c r="A2243" t="str">
        <f>检查点拆解!A2243</f>
        <v>Q0332</v>
      </c>
      <c r="B2243" t="str">
        <f>检查点拆解!D2243</f>
        <v>C04</v>
      </c>
      <c r="C2243" s="2">
        <f>--(COUNTIFS($A$2:A2243,A2243,$B$2:B2243,B2243)=1)</f>
        <v>1</v>
      </c>
      <c r="D2243" t="str">
        <f>检查点拆解!F2243</f>
        <v>D02.02.03</v>
      </c>
      <c r="E2243" s="2">
        <f>--(COUNTIFS($A$2:A2243,A2243,$D$2:D2243,D2243)=1)</f>
        <v>1</v>
      </c>
    </row>
    <row r="2244" spans="1:5">
      <c r="A2244" t="str">
        <f>检查点拆解!A2244</f>
        <v>Q0333</v>
      </c>
      <c r="B2244" t="str">
        <f>检查点拆解!D2244</f>
        <v>C25</v>
      </c>
      <c r="C2244" s="2">
        <f>--(COUNTIFS($A$2:A2244,A2244,$B$2:B2244,B2244)=1)</f>
        <v>1</v>
      </c>
      <c r="D2244" t="str">
        <f>检查点拆解!F2244</f>
        <v>D10.01.03</v>
      </c>
      <c r="E2244" s="2">
        <f>--(COUNTIFS($A$2:A2244,A2244,$D$2:D2244,D2244)=1)</f>
        <v>1</v>
      </c>
    </row>
    <row r="2245" spans="1:5">
      <c r="A2245" t="str">
        <f>检查点拆解!A2245</f>
        <v>Q0333</v>
      </c>
      <c r="B2245" t="str">
        <f>检查点拆解!D2245</f>
        <v>C18</v>
      </c>
      <c r="C2245" s="2">
        <f>--(COUNTIFS($A$2:A2245,A2245,$B$2:B2245,B2245)=1)</f>
        <v>1</v>
      </c>
      <c r="D2245" t="str">
        <f>检查点拆解!F2245</f>
        <v>D07.01.04</v>
      </c>
      <c r="E2245" s="2">
        <f>--(COUNTIFS($A$2:A2245,A2245,$D$2:D2245,D2245)=1)</f>
        <v>1</v>
      </c>
    </row>
    <row r="2246" spans="1:5">
      <c r="A2246" t="str">
        <f>检查点拆解!A2246</f>
        <v>Q0333</v>
      </c>
      <c r="B2246" t="str">
        <f>检查点拆解!D2246</f>
        <v>C24</v>
      </c>
      <c r="C2246" s="2">
        <f>--(COUNTIFS($A$2:A2246,A2246,$B$2:B2246,B2246)=1)</f>
        <v>1</v>
      </c>
      <c r="D2246" t="str">
        <f>检查点拆解!F2246</f>
        <v>D09.03.02</v>
      </c>
      <c r="E2246" s="2">
        <f>--(COUNTIFS($A$2:A2246,A2246,$D$2:D2246,D2246)=1)</f>
        <v>1</v>
      </c>
    </row>
    <row r="2247" spans="1:5">
      <c r="A2247" t="str">
        <f>检查点拆解!A2247</f>
        <v>Q0333</v>
      </c>
      <c r="B2247" t="str">
        <f>检查点拆解!D2247</f>
        <v>C27</v>
      </c>
      <c r="C2247" s="2">
        <f>--(COUNTIFS($A$2:A2247,A2247,$B$2:B2247,B2247)=1)</f>
        <v>1</v>
      </c>
      <c r="D2247" t="str">
        <f>检查点拆解!F2247</f>
        <v>D11.02.03</v>
      </c>
      <c r="E2247" s="2">
        <f>--(COUNTIFS($A$2:A2247,A2247,$D$2:D2247,D2247)=1)</f>
        <v>1</v>
      </c>
    </row>
    <row r="2248" spans="1:5">
      <c r="A2248" t="str">
        <f>检查点拆解!A2248</f>
        <v>Q0333</v>
      </c>
      <c r="B2248" t="str">
        <f>检查点拆解!D2248</f>
        <v>C27</v>
      </c>
      <c r="C2248" s="2">
        <f>--(COUNTIFS($A$2:A2248,A2248,$B$2:B2248,B2248)=1)</f>
        <v>0</v>
      </c>
      <c r="D2248" t="str">
        <f>检查点拆解!F2248</f>
        <v>D11.01.02</v>
      </c>
      <c r="E2248" s="2">
        <f>--(COUNTIFS($A$2:A2248,A2248,$D$2:D2248,D2248)=1)</f>
        <v>1</v>
      </c>
    </row>
    <row r="2249" spans="1:5">
      <c r="A2249" t="str">
        <f>检查点拆解!A2249</f>
        <v>Q0333</v>
      </c>
      <c r="B2249" t="str">
        <f>检查点拆解!D2249</f>
        <v>C21</v>
      </c>
      <c r="C2249" s="2">
        <f>--(COUNTIFS($A$2:A2249,A2249,$B$2:B2249,B2249)=1)</f>
        <v>1</v>
      </c>
      <c r="D2249" t="str">
        <f>检查点拆解!F2249</f>
        <v>D07.03.01</v>
      </c>
      <c r="E2249" s="2">
        <f>--(COUNTIFS($A$2:A2249,A2249,$D$2:D2249,D2249)=1)</f>
        <v>1</v>
      </c>
    </row>
    <row r="2250" spans="1:5">
      <c r="A2250" t="str">
        <f>检查点拆解!A2250</f>
        <v>Q0333</v>
      </c>
      <c r="B2250" t="str">
        <f>检查点拆解!D2250</f>
        <v>C08</v>
      </c>
      <c r="C2250" s="2">
        <f>--(COUNTIFS($A$2:A2250,A2250,$B$2:B2250,B2250)=1)</f>
        <v>1</v>
      </c>
      <c r="D2250" t="str">
        <f>检查点拆解!F2250</f>
        <v>D04.01.03</v>
      </c>
      <c r="E2250" s="2">
        <f>--(COUNTIFS($A$2:A2250,A2250,$D$2:D2250,D2250)=1)</f>
        <v>1</v>
      </c>
    </row>
    <row r="2251" spans="1:5">
      <c r="A2251" t="str">
        <f>检查点拆解!A2251</f>
        <v>Q0333</v>
      </c>
      <c r="B2251" t="str">
        <f>检查点拆解!D2251</f>
        <v>C26</v>
      </c>
      <c r="C2251" s="2">
        <f>--(COUNTIFS($A$2:A2251,A2251,$B$2:B2251,B2251)=1)</f>
        <v>1</v>
      </c>
      <c r="D2251" t="str">
        <f>检查点拆解!F2251</f>
        <v>D10.02.01</v>
      </c>
      <c r="E2251" s="2">
        <f>--(COUNTIFS($A$2:A2251,A2251,$D$2:D2251,D2251)=1)</f>
        <v>1</v>
      </c>
    </row>
    <row r="2252" spans="1:5">
      <c r="A2252" t="str">
        <f>检查点拆解!A2252</f>
        <v>Q0334</v>
      </c>
      <c r="B2252" t="str">
        <f>检查点拆解!D2252</f>
        <v>C29</v>
      </c>
      <c r="C2252" s="2">
        <f>--(COUNTIFS($A$2:A2252,A2252,$B$2:B2252,B2252)=1)</f>
        <v>1</v>
      </c>
      <c r="D2252" t="str">
        <f>检查点拆解!F2252</f>
        <v>D14.02.01</v>
      </c>
      <c r="E2252" s="2">
        <f>--(COUNTIFS($A$2:A2252,A2252,$D$2:D2252,D2252)=1)</f>
        <v>1</v>
      </c>
    </row>
    <row r="2253" spans="1:5">
      <c r="A2253" t="str">
        <f>检查点拆解!A2253</f>
        <v>Q0334</v>
      </c>
      <c r="B2253" t="str">
        <f>检查点拆解!D2253</f>
        <v>C27</v>
      </c>
      <c r="C2253" s="2">
        <f>--(COUNTIFS($A$2:A2253,A2253,$B$2:B2253,B2253)=1)</f>
        <v>1</v>
      </c>
      <c r="D2253" t="str">
        <f>检查点拆解!F2253</f>
        <v>D11.01.03</v>
      </c>
      <c r="E2253" s="2">
        <f>--(COUNTIFS($A$2:A2253,A2253,$D$2:D2253,D2253)=1)</f>
        <v>1</v>
      </c>
    </row>
    <row r="2254" spans="1:5">
      <c r="A2254" t="str">
        <f>检查点拆解!A2254</f>
        <v>Q0334</v>
      </c>
      <c r="B2254" t="str">
        <f>检查点拆解!D2254</f>
        <v>C06</v>
      </c>
      <c r="C2254" s="2">
        <f>--(COUNTIFS($A$2:A2254,A2254,$B$2:B2254,B2254)=1)</f>
        <v>1</v>
      </c>
      <c r="D2254" t="str">
        <f>检查点拆解!F2254</f>
        <v>D03.01.03</v>
      </c>
      <c r="E2254" s="2">
        <f>--(COUNTIFS($A$2:A2254,A2254,$D$2:D2254,D2254)=1)</f>
        <v>1</v>
      </c>
    </row>
    <row r="2255" spans="1:5">
      <c r="A2255" t="str">
        <f>检查点拆解!A2255</f>
        <v>Q0334</v>
      </c>
      <c r="B2255" t="str">
        <f>检查点拆解!D2255</f>
        <v>C28</v>
      </c>
      <c r="C2255" s="2">
        <f>--(COUNTIFS($A$2:A2255,A2255,$B$2:B2255,B2255)=1)</f>
        <v>1</v>
      </c>
      <c r="D2255" t="str">
        <f>检查点拆解!F2255</f>
        <v>D12.02.01</v>
      </c>
      <c r="E2255" s="2">
        <f>--(COUNTIFS($A$2:A2255,A2255,$D$2:D2255,D2255)=1)</f>
        <v>1</v>
      </c>
    </row>
    <row r="2256" spans="1:5">
      <c r="A2256" t="str">
        <f>检查点拆解!A2256</f>
        <v>Q0334</v>
      </c>
      <c r="B2256" t="str">
        <f>检查点拆解!D2256</f>
        <v>C28</v>
      </c>
      <c r="C2256" s="2">
        <f>--(COUNTIFS($A$2:A2256,A2256,$B$2:B2256,B2256)=1)</f>
        <v>0</v>
      </c>
      <c r="D2256" t="str">
        <f>检查点拆解!F2256</f>
        <v>D12.02.02</v>
      </c>
      <c r="E2256" s="2">
        <f>--(COUNTIFS($A$2:A2256,A2256,$D$2:D2256,D2256)=1)</f>
        <v>1</v>
      </c>
    </row>
    <row r="2257" spans="1:5">
      <c r="A2257" t="str">
        <f>检查点拆解!A2257</f>
        <v>Q0334</v>
      </c>
      <c r="B2257" t="str">
        <f>检查点拆解!D2257</f>
        <v>C28</v>
      </c>
      <c r="C2257" s="2">
        <f>--(COUNTIFS($A$2:A2257,A2257,$B$2:B2257,B2257)=1)</f>
        <v>0</v>
      </c>
      <c r="D2257" t="str">
        <f>检查点拆解!F2257</f>
        <v>D12.01.02</v>
      </c>
      <c r="E2257" s="2">
        <f>--(COUNTIFS($A$2:A2257,A2257,$D$2:D2257,D2257)=1)</f>
        <v>1</v>
      </c>
    </row>
    <row r="2258" spans="1:5">
      <c r="A2258" t="str">
        <f>检查点拆解!A2258</f>
        <v>Q0334</v>
      </c>
      <c r="B2258" t="str">
        <f>检查点拆解!D2258</f>
        <v>C04</v>
      </c>
      <c r="C2258" s="2">
        <f>--(COUNTIFS($A$2:A2258,A2258,$B$2:B2258,B2258)=1)</f>
        <v>1</v>
      </c>
      <c r="D2258" t="str">
        <f>检查点拆解!F2258</f>
        <v>D02.02.01</v>
      </c>
      <c r="E2258" s="2">
        <f>--(COUNTIFS($A$2:A2258,A2258,$D$2:D2258,D2258)=1)</f>
        <v>1</v>
      </c>
    </row>
    <row r="2259" spans="1:5">
      <c r="A2259" t="str">
        <f>检查点拆解!A2259</f>
        <v>Q0334</v>
      </c>
      <c r="B2259" t="str">
        <f>检查点拆解!D2259</f>
        <v>C28</v>
      </c>
      <c r="C2259" s="2">
        <f>--(COUNTIFS($A$2:A2259,A2259,$B$2:B2259,B2259)=1)</f>
        <v>0</v>
      </c>
      <c r="D2259" t="str">
        <f>检查点拆解!F2259</f>
        <v>D13.01.01</v>
      </c>
      <c r="E2259" s="2">
        <f>--(COUNTIFS($A$2:A2259,A2259,$D$2:D2259,D2259)=1)</f>
        <v>1</v>
      </c>
    </row>
    <row r="2260" spans="1:5">
      <c r="A2260" t="str">
        <f>检查点拆解!A2260</f>
        <v>Q0335</v>
      </c>
      <c r="B2260" t="str">
        <f>检查点拆解!D2260</f>
        <v>C11</v>
      </c>
      <c r="C2260" s="2">
        <f>--(COUNTIFS($A$2:A2260,A2260,$B$2:B2260,B2260)=1)</f>
        <v>1</v>
      </c>
      <c r="D2260" t="str">
        <f>检查点拆解!F2260</f>
        <v>D04.03.02</v>
      </c>
      <c r="E2260" s="2">
        <f>--(COUNTIFS($A$2:A2260,A2260,$D$2:D2260,D2260)=1)</f>
        <v>1</v>
      </c>
    </row>
    <row r="2261" spans="1:5">
      <c r="A2261" t="str">
        <f>检查点拆解!A2261</f>
        <v>Q0335</v>
      </c>
      <c r="B2261" t="str">
        <f>检查点拆解!D2261</f>
        <v>C27</v>
      </c>
      <c r="C2261" s="2">
        <f>--(COUNTIFS($A$2:A2261,A2261,$B$2:B2261,B2261)=1)</f>
        <v>1</v>
      </c>
      <c r="D2261" t="str">
        <f>检查点拆解!F2261</f>
        <v>D11.02.01</v>
      </c>
      <c r="E2261" s="2">
        <f>--(COUNTIFS($A$2:A2261,A2261,$D$2:D2261,D2261)=1)</f>
        <v>1</v>
      </c>
    </row>
    <row r="2262" spans="1:5">
      <c r="A2262" t="str">
        <f>检查点拆解!A2262</f>
        <v>Q0335</v>
      </c>
      <c r="B2262" t="str">
        <f>检查点拆解!D2262</f>
        <v>C27</v>
      </c>
      <c r="C2262" s="2">
        <f>--(COUNTIFS($A$2:A2262,A2262,$B$2:B2262,B2262)=1)</f>
        <v>0</v>
      </c>
      <c r="D2262" t="str">
        <f>检查点拆解!F2262</f>
        <v>D11.01.02</v>
      </c>
      <c r="E2262" s="2">
        <f>--(COUNTIFS($A$2:A2262,A2262,$D$2:D2262,D2262)=1)</f>
        <v>1</v>
      </c>
    </row>
    <row r="2263" spans="1:5">
      <c r="A2263" t="str">
        <f>检查点拆解!A2263</f>
        <v>Q0335</v>
      </c>
      <c r="B2263" t="str">
        <f>检查点拆解!D2263</f>
        <v>C24</v>
      </c>
      <c r="C2263" s="2">
        <f>--(COUNTIFS($A$2:A2263,A2263,$B$2:B2263,B2263)=1)</f>
        <v>1</v>
      </c>
      <c r="D2263" t="str">
        <f>检查点拆解!F2263</f>
        <v>D09.02.01</v>
      </c>
      <c r="E2263" s="2">
        <f>--(COUNTIFS($A$2:A2263,A2263,$D$2:D2263,D2263)=1)</f>
        <v>1</v>
      </c>
    </row>
    <row r="2264" spans="1:5">
      <c r="A2264" t="str">
        <f>检查点拆解!A2264</f>
        <v>Q0335</v>
      </c>
      <c r="B2264" t="str">
        <f>检查点拆解!D2264</f>
        <v>C25</v>
      </c>
      <c r="C2264" s="2">
        <f>--(COUNTIFS($A$2:A2264,A2264,$B$2:B2264,B2264)=1)</f>
        <v>1</v>
      </c>
      <c r="D2264" t="str">
        <f>检查点拆解!F2264</f>
        <v>D10.01.01</v>
      </c>
      <c r="E2264" s="2">
        <f>--(COUNTIFS($A$2:A2264,A2264,$D$2:D2264,D2264)=1)</f>
        <v>1</v>
      </c>
    </row>
    <row r="2265" spans="1:5">
      <c r="A2265" t="str">
        <f>检查点拆解!A2265</f>
        <v>Q0335</v>
      </c>
      <c r="B2265" t="str">
        <f>检查点拆解!D2265</f>
        <v>C28</v>
      </c>
      <c r="C2265" s="2">
        <f>--(COUNTIFS($A$2:A2265,A2265,$B$2:B2265,B2265)=1)</f>
        <v>1</v>
      </c>
      <c r="D2265" t="str">
        <f>检查点拆解!F2265</f>
        <v>D12.01.01</v>
      </c>
      <c r="E2265" s="2">
        <f>--(COUNTIFS($A$2:A2265,A2265,$D$2:D2265,D2265)=1)</f>
        <v>1</v>
      </c>
    </row>
    <row r="2266" spans="1:5">
      <c r="A2266" t="str">
        <f>检查点拆解!A2266</f>
        <v>Q0335</v>
      </c>
      <c r="B2266" t="str">
        <f>检查点拆解!D2266</f>
        <v>C04</v>
      </c>
      <c r="C2266" s="2">
        <f>--(COUNTIFS($A$2:A2266,A2266,$B$2:B2266,B2266)=1)</f>
        <v>1</v>
      </c>
      <c r="D2266" t="str">
        <f>检查点拆解!F2266</f>
        <v>D02.02.01</v>
      </c>
      <c r="E2266" s="2">
        <f>--(COUNTIFS($A$2:A2266,A2266,$D$2:D2266,D2266)=1)</f>
        <v>1</v>
      </c>
    </row>
    <row r="2267" spans="1:5">
      <c r="A2267" t="str">
        <f>检查点拆解!A2267</f>
        <v>Q0335</v>
      </c>
      <c r="B2267" t="str">
        <f>检查点拆解!D2267</f>
        <v>C28</v>
      </c>
      <c r="C2267" s="2">
        <f>--(COUNTIFS($A$2:A2267,A2267,$B$2:B2267,B2267)=1)</f>
        <v>0</v>
      </c>
      <c r="D2267" t="str">
        <f>检查点拆解!F2267</f>
        <v>D13.01.01</v>
      </c>
      <c r="E2267" s="2">
        <f>--(COUNTIFS($A$2:A2267,A2267,$D$2:D2267,D2267)=1)</f>
        <v>1</v>
      </c>
    </row>
    <row r="2268" spans="1:5">
      <c r="A2268" t="str">
        <f>检查点拆解!A2268</f>
        <v>Q0336</v>
      </c>
      <c r="B2268" t="str">
        <f>检查点拆解!D2268</f>
        <v>C23</v>
      </c>
      <c r="C2268" s="2">
        <f>--(COUNTIFS($A$2:A2268,A2268,$B$2:B2268,B2268)=1)</f>
        <v>1</v>
      </c>
      <c r="D2268" t="str">
        <f>检查点拆解!F2268</f>
        <v>D09.01.02</v>
      </c>
      <c r="E2268" s="2">
        <f>--(COUNTIFS($A$2:A2268,A2268,$D$2:D2268,D2268)=1)</f>
        <v>1</v>
      </c>
    </row>
    <row r="2269" spans="1:5">
      <c r="A2269" t="str">
        <f>检查点拆解!A2269</f>
        <v>Q0336</v>
      </c>
      <c r="B2269" t="str">
        <f>检查点拆解!D2269</f>
        <v>C24</v>
      </c>
      <c r="C2269" s="2">
        <f>--(COUNTIFS($A$2:A2269,A2269,$B$2:B2269,B2269)=1)</f>
        <v>1</v>
      </c>
      <c r="D2269" t="str">
        <f>检查点拆解!F2269</f>
        <v>D09.02.02</v>
      </c>
      <c r="E2269" s="2">
        <f>--(COUNTIFS($A$2:A2269,A2269,$D$2:D2269,D2269)=1)</f>
        <v>1</v>
      </c>
    </row>
    <row r="2270" spans="1:5">
      <c r="A2270" t="str">
        <f>检查点拆解!A2270</f>
        <v>Q0336</v>
      </c>
      <c r="B2270" t="str">
        <f>检查点拆解!D2270</f>
        <v>C24</v>
      </c>
      <c r="C2270" s="2">
        <f>--(COUNTIFS($A$2:A2270,A2270,$B$2:B2270,B2270)=1)</f>
        <v>0</v>
      </c>
      <c r="D2270" t="str">
        <f>检查点拆解!F2270</f>
        <v>D09.03.03</v>
      </c>
      <c r="E2270" s="2">
        <f>--(COUNTIFS($A$2:A2270,A2270,$D$2:D2270,D2270)=1)</f>
        <v>1</v>
      </c>
    </row>
    <row r="2271" spans="1:5">
      <c r="A2271" t="str">
        <f>检查点拆解!A2271</f>
        <v>Q0336</v>
      </c>
      <c r="B2271" t="str">
        <f>检查点拆解!D2271</f>
        <v>C24</v>
      </c>
      <c r="C2271" s="2">
        <f>--(COUNTIFS($A$2:A2271,A2271,$B$2:B2271,B2271)=1)</f>
        <v>0</v>
      </c>
      <c r="D2271" t="str">
        <f>检查点拆解!F2271</f>
        <v>D09.02.03</v>
      </c>
      <c r="E2271" s="2">
        <f>--(COUNTIFS($A$2:A2271,A2271,$D$2:D2271,D2271)=1)</f>
        <v>1</v>
      </c>
    </row>
    <row r="2272" spans="1:5">
      <c r="A2272" t="str">
        <f>检查点拆解!A2272</f>
        <v>Q0336</v>
      </c>
      <c r="B2272" t="str">
        <f>检查点拆解!D2272</f>
        <v>C25</v>
      </c>
      <c r="C2272" s="2">
        <f>--(COUNTIFS($A$2:A2272,A2272,$B$2:B2272,B2272)=1)</f>
        <v>1</v>
      </c>
      <c r="D2272" t="str">
        <f>检查点拆解!F2272</f>
        <v>D10.01.01</v>
      </c>
      <c r="E2272" s="2">
        <f>--(COUNTIFS($A$2:A2272,A2272,$D$2:D2272,D2272)=1)</f>
        <v>1</v>
      </c>
    </row>
    <row r="2273" spans="1:5">
      <c r="A2273" t="str">
        <f>检查点拆解!A2273</f>
        <v>Q0336</v>
      </c>
      <c r="B2273" t="str">
        <f>检查点拆解!D2273</f>
        <v>C23</v>
      </c>
      <c r="C2273" s="2">
        <f>--(COUNTIFS($A$2:A2273,A2273,$B$2:B2273,B2273)=1)</f>
        <v>0</v>
      </c>
      <c r="D2273" t="str">
        <f>检查点拆解!F2273</f>
        <v>D09.01.01</v>
      </c>
      <c r="E2273" s="2">
        <f>--(COUNTIFS($A$2:A2273,A2273,$D$2:D2273,D2273)=1)</f>
        <v>1</v>
      </c>
    </row>
    <row r="2274" spans="1:5">
      <c r="A2274" t="str">
        <f>检查点拆解!A2274</f>
        <v>Q0336</v>
      </c>
      <c r="B2274" t="str">
        <f>检查点拆解!D2274</f>
        <v>C26</v>
      </c>
      <c r="C2274" s="2">
        <f>--(COUNTIFS($A$2:A2274,A2274,$B$2:B2274,B2274)=1)</f>
        <v>1</v>
      </c>
      <c r="D2274" t="str">
        <f>检查点拆解!F2274</f>
        <v>D10.02.01</v>
      </c>
      <c r="E2274" s="2">
        <f>--(COUNTIFS($A$2:A2274,A2274,$D$2:D2274,D2274)=1)</f>
        <v>1</v>
      </c>
    </row>
    <row r="2275" spans="1:5">
      <c r="A2275" t="str">
        <f>检查点拆解!A2275</f>
        <v>Q0336</v>
      </c>
      <c r="B2275" t="str">
        <f>检查点拆解!D2275</f>
        <v>C04</v>
      </c>
      <c r="C2275" s="2">
        <f>--(COUNTIFS($A$2:A2275,A2275,$B$2:B2275,B2275)=1)</f>
        <v>1</v>
      </c>
      <c r="D2275" t="str">
        <f>检查点拆解!F2275</f>
        <v>D02.02.02</v>
      </c>
      <c r="E2275" s="2">
        <f>--(COUNTIFS($A$2:A2275,A2275,$D$2:D2275,D2275)=1)</f>
        <v>1</v>
      </c>
    </row>
    <row r="2276" spans="1:5">
      <c r="A2276" t="str">
        <f>检查点拆解!A2276</f>
        <v>Q0337</v>
      </c>
      <c r="B2276" t="str">
        <f>检查点拆解!D2276</f>
        <v>C27</v>
      </c>
      <c r="C2276" s="2">
        <f>--(COUNTIFS($A$2:A2276,A2276,$B$2:B2276,B2276)=1)</f>
        <v>1</v>
      </c>
      <c r="D2276" t="str">
        <f>检查点拆解!F2276</f>
        <v>D11.02.01</v>
      </c>
      <c r="E2276" s="2">
        <f>--(COUNTIFS($A$2:A2276,A2276,$D$2:D2276,D2276)=1)</f>
        <v>1</v>
      </c>
    </row>
    <row r="2277" spans="1:5">
      <c r="A2277" t="str">
        <f>检查点拆解!A2277</f>
        <v>Q0337</v>
      </c>
      <c r="B2277" t="str">
        <f>检查点拆解!D2277</f>
        <v>C17</v>
      </c>
      <c r="C2277" s="2">
        <f>--(COUNTIFS($A$2:A2277,A2277,$B$2:B2277,B2277)=1)</f>
        <v>1</v>
      </c>
      <c r="D2277" t="str">
        <f>检查点拆解!F2277</f>
        <v>D06.03.01</v>
      </c>
      <c r="E2277" s="2">
        <f>--(COUNTIFS($A$2:A2277,A2277,$D$2:D2277,D2277)=1)</f>
        <v>1</v>
      </c>
    </row>
    <row r="2278" spans="1:5">
      <c r="A2278" t="str">
        <f>检查点拆解!A2278</f>
        <v>Q0337</v>
      </c>
      <c r="B2278" t="str">
        <f>检查点拆解!D2278</f>
        <v>C27</v>
      </c>
      <c r="C2278" s="2">
        <f>--(COUNTIFS($A$2:A2278,A2278,$B$2:B2278,B2278)=1)</f>
        <v>0</v>
      </c>
      <c r="D2278" t="str">
        <f>检查点拆解!F2278</f>
        <v>D11.02.03</v>
      </c>
      <c r="E2278" s="2">
        <f>--(COUNTIFS($A$2:A2278,A2278,$D$2:D2278,D2278)=1)</f>
        <v>1</v>
      </c>
    </row>
    <row r="2279" spans="1:5">
      <c r="A2279" t="str">
        <f>检查点拆解!A2279</f>
        <v>Q0337</v>
      </c>
      <c r="B2279" t="str">
        <f>检查点拆解!D2279</f>
        <v>C24</v>
      </c>
      <c r="C2279" s="2">
        <f>--(COUNTIFS($A$2:A2279,A2279,$B$2:B2279,B2279)=1)</f>
        <v>1</v>
      </c>
      <c r="D2279" t="str">
        <f>检查点拆解!F2279</f>
        <v>D09.03.03</v>
      </c>
      <c r="E2279" s="2">
        <f>--(COUNTIFS($A$2:A2279,A2279,$D$2:D2279,D2279)=1)</f>
        <v>1</v>
      </c>
    </row>
    <row r="2280" spans="1:5">
      <c r="A2280" t="str">
        <f>检查点拆解!A2280</f>
        <v>Q0337</v>
      </c>
      <c r="B2280" t="str">
        <f>检查点拆解!D2280</f>
        <v>C15</v>
      </c>
      <c r="C2280" s="2">
        <f>--(COUNTIFS($A$2:A2280,A2280,$B$2:B2280,B2280)=1)</f>
        <v>1</v>
      </c>
      <c r="D2280" t="str">
        <f>检查点拆解!F2280</f>
        <v>D05.02.02</v>
      </c>
      <c r="E2280" s="2">
        <f>--(COUNTIFS($A$2:A2280,A2280,$D$2:D2280,D2280)=1)</f>
        <v>1</v>
      </c>
    </row>
    <row r="2281" spans="1:5">
      <c r="A2281" t="str">
        <f>检查点拆解!A2281</f>
        <v>Q0337</v>
      </c>
      <c r="B2281" t="str">
        <f>检查点拆解!D2281</f>
        <v>C25</v>
      </c>
      <c r="C2281" s="2">
        <f>--(COUNTIFS($A$2:A2281,A2281,$B$2:B2281,B2281)=1)</f>
        <v>1</v>
      </c>
      <c r="D2281" t="str">
        <f>检查点拆解!F2281</f>
        <v>D10.01.04</v>
      </c>
      <c r="E2281" s="2">
        <f>--(COUNTIFS($A$2:A2281,A2281,$D$2:D2281,D2281)=1)</f>
        <v>1</v>
      </c>
    </row>
    <row r="2282" spans="1:5">
      <c r="A2282" t="str">
        <f>检查点拆解!A2282</f>
        <v>Q0337</v>
      </c>
      <c r="B2282" t="str">
        <f>检查点拆解!D2282</f>
        <v>C28</v>
      </c>
      <c r="C2282" s="2">
        <f>--(COUNTIFS($A$2:A2282,A2282,$B$2:B2282,B2282)=1)</f>
        <v>1</v>
      </c>
      <c r="D2282" t="str">
        <f>检查点拆解!F2282</f>
        <v>D13.01.02</v>
      </c>
      <c r="E2282" s="2">
        <f>--(COUNTIFS($A$2:A2282,A2282,$D$2:D2282,D2282)=1)</f>
        <v>1</v>
      </c>
    </row>
    <row r="2283" spans="1:5">
      <c r="A2283" t="str">
        <f>检查点拆解!A2283</f>
        <v>Q0337</v>
      </c>
      <c r="B2283" t="str">
        <f>检查点拆解!D2283</f>
        <v>C28</v>
      </c>
      <c r="C2283" s="2">
        <f>--(COUNTIFS($A$2:A2283,A2283,$B$2:B2283,B2283)=1)</f>
        <v>0</v>
      </c>
      <c r="D2283" t="str">
        <f>检查点拆解!F2283</f>
        <v>D12.02.01</v>
      </c>
      <c r="E2283" s="2">
        <f>--(COUNTIFS($A$2:A2283,A2283,$D$2:D2283,D2283)=1)</f>
        <v>1</v>
      </c>
    </row>
    <row r="2284" spans="1:5">
      <c r="A2284" t="str">
        <f>检查点拆解!A2284</f>
        <v>Q0338</v>
      </c>
      <c r="B2284" t="str">
        <f>检查点拆解!D2284</f>
        <v>C27</v>
      </c>
      <c r="C2284" s="2">
        <f>--(COUNTIFS($A$2:A2284,A2284,$B$2:B2284,B2284)=1)</f>
        <v>1</v>
      </c>
      <c r="D2284" t="str">
        <f>检查点拆解!F2284</f>
        <v>D11.02.03</v>
      </c>
      <c r="E2284" s="2">
        <f>--(COUNTIFS($A$2:A2284,A2284,$D$2:D2284,D2284)=1)</f>
        <v>1</v>
      </c>
    </row>
    <row r="2285" spans="1:5">
      <c r="A2285" t="str">
        <f>检查点拆解!A2285</f>
        <v>Q0338</v>
      </c>
      <c r="B2285" t="str">
        <f>检查点拆解!D2285</f>
        <v>C05</v>
      </c>
      <c r="C2285" s="2">
        <f>--(COUNTIFS($A$2:A2285,A2285,$B$2:B2285,B2285)=1)</f>
        <v>1</v>
      </c>
      <c r="D2285" t="str">
        <f>检查点拆解!F2285</f>
        <v>D02.03.01</v>
      </c>
      <c r="E2285" s="2">
        <f>--(COUNTIFS($A$2:A2285,A2285,$D$2:D2285,D2285)=1)</f>
        <v>1</v>
      </c>
    </row>
    <row r="2286" spans="1:5">
      <c r="A2286" t="str">
        <f>检查点拆解!A2286</f>
        <v>Q0339</v>
      </c>
      <c r="B2286" t="str">
        <f>检查点拆解!D2286</f>
        <v>C25</v>
      </c>
      <c r="C2286" s="2">
        <f>--(COUNTIFS($A$2:A2286,A2286,$B$2:B2286,B2286)=1)</f>
        <v>1</v>
      </c>
      <c r="D2286" t="str">
        <f>检查点拆解!F2286</f>
        <v>D10.01.01</v>
      </c>
      <c r="E2286" s="2">
        <f>--(COUNTIFS($A$2:A2286,A2286,$D$2:D2286,D2286)=1)</f>
        <v>1</v>
      </c>
    </row>
    <row r="2287" spans="1:5">
      <c r="A2287" t="str">
        <f>检查点拆解!A2287</f>
        <v>Q0339</v>
      </c>
      <c r="B2287" t="str">
        <f>检查点拆解!D2287</f>
        <v>C14</v>
      </c>
      <c r="C2287" s="2">
        <f>--(COUNTIFS($A$2:A2287,A2287,$B$2:B2287,B2287)=1)</f>
        <v>1</v>
      </c>
      <c r="D2287" t="str">
        <f>检查点拆解!F2287</f>
        <v>D05.01.03</v>
      </c>
      <c r="E2287" s="2">
        <f>--(COUNTIFS($A$2:A2287,A2287,$D$2:D2287,D2287)=1)</f>
        <v>1</v>
      </c>
    </row>
    <row r="2288" spans="1:5">
      <c r="A2288" t="str">
        <f>检查点拆解!A2288</f>
        <v>Q0339</v>
      </c>
      <c r="B2288" t="str">
        <f>检查点拆解!D2288</f>
        <v>C28</v>
      </c>
      <c r="C2288" s="2">
        <f>--(COUNTIFS($A$2:A2288,A2288,$B$2:B2288,B2288)=1)</f>
        <v>1</v>
      </c>
      <c r="D2288" t="str">
        <f>检查点拆解!F2288</f>
        <v>D12.01.01</v>
      </c>
      <c r="E2288" s="2">
        <f>--(COUNTIFS($A$2:A2288,A2288,$D$2:D2288,D2288)=1)</f>
        <v>1</v>
      </c>
    </row>
    <row r="2289" spans="1:5">
      <c r="A2289" t="str">
        <f>检查点拆解!A2289</f>
        <v>Q0339</v>
      </c>
      <c r="B2289" t="str">
        <f>检查点拆解!D2289</f>
        <v>C06</v>
      </c>
      <c r="C2289" s="2">
        <f>--(COUNTIFS($A$2:A2289,A2289,$B$2:B2289,B2289)=1)</f>
        <v>1</v>
      </c>
      <c r="D2289" t="str">
        <f>检查点拆解!F2289</f>
        <v>D03.01.01</v>
      </c>
      <c r="E2289" s="2">
        <f>--(COUNTIFS($A$2:A2289,A2289,$D$2:D2289,D2289)=1)</f>
        <v>1</v>
      </c>
    </row>
    <row r="2290" spans="1:5">
      <c r="A2290" t="str">
        <f>检查点拆解!A2290</f>
        <v>Q0339</v>
      </c>
      <c r="B2290" t="str">
        <f>检查点拆解!D2290</f>
        <v>C08</v>
      </c>
      <c r="C2290" s="2">
        <f>--(COUNTIFS($A$2:A2290,A2290,$B$2:B2290,B2290)=1)</f>
        <v>1</v>
      </c>
      <c r="D2290" t="str">
        <f>检查点拆解!F2290</f>
        <v>D04.01.01</v>
      </c>
      <c r="E2290" s="2">
        <f>--(COUNTIFS($A$2:A2290,A2290,$D$2:D2290,D2290)=1)</f>
        <v>1</v>
      </c>
    </row>
    <row r="2291" spans="1:5">
      <c r="A2291" t="str">
        <f>检查点拆解!A2291</f>
        <v>Q0339</v>
      </c>
      <c r="B2291" t="str">
        <f>检查点拆解!D2291</f>
        <v>C03</v>
      </c>
      <c r="C2291" s="2">
        <f>--(COUNTIFS($A$2:A2291,A2291,$B$2:B2291,B2291)=1)</f>
        <v>1</v>
      </c>
      <c r="D2291" t="str">
        <f>检查点拆解!F2291</f>
        <v>D02.01.01</v>
      </c>
      <c r="E2291" s="2">
        <f>--(COUNTIFS($A$2:A2291,A2291,$D$2:D2291,D2291)=1)</f>
        <v>1</v>
      </c>
    </row>
    <row r="2292" spans="1:5">
      <c r="A2292" t="str">
        <f>检查点拆解!A2292</f>
        <v>Q0340</v>
      </c>
      <c r="B2292" t="str">
        <f>检查点拆解!D2292</f>
        <v>C24</v>
      </c>
      <c r="C2292" s="2">
        <f>--(COUNTIFS($A$2:A2292,A2292,$B$2:B2292,B2292)=1)</f>
        <v>1</v>
      </c>
      <c r="D2292" t="str">
        <f>检查点拆解!F2292</f>
        <v>D09.02.02</v>
      </c>
      <c r="E2292" s="2">
        <f>--(COUNTIFS($A$2:A2292,A2292,$D$2:D2292,D2292)=1)</f>
        <v>1</v>
      </c>
    </row>
    <row r="2293" spans="1:5">
      <c r="A2293" t="str">
        <f>检查点拆解!A2293</f>
        <v>Q0340</v>
      </c>
      <c r="B2293" t="str">
        <f>检查点拆解!D2293</f>
        <v>C06</v>
      </c>
      <c r="C2293" s="2">
        <f>--(COUNTIFS($A$2:A2293,A2293,$B$2:B2293,B2293)=1)</f>
        <v>1</v>
      </c>
      <c r="D2293" t="str">
        <f>检查点拆解!F2293</f>
        <v>D03.01.02</v>
      </c>
      <c r="E2293" s="2">
        <f>--(COUNTIFS($A$2:A2293,A2293,$D$2:D2293,D2293)=1)</f>
        <v>1</v>
      </c>
    </row>
    <row r="2294" spans="1:5">
      <c r="A2294" t="str">
        <f>检查点拆解!A2294</f>
        <v>Q0340</v>
      </c>
      <c r="B2294" t="str">
        <f>检查点拆解!D2294</f>
        <v>C28</v>
      </c>
      <c r="C2294" s="2">
        <f>--(COUNTIFS($A$2:A2294,A2294,$B$2:B2294,B2294)=1)</f>
        <v>1</v>
      </c>
      <c r="D2294" t="str">
        <f>检查点拆解!F2294</f>
        <v>D12.01.01</v>
      </c>
      <c r="E2294" s="2">
        <f>--(COUNTIFS($A$2:A2294,A2294,$D$2:D2294,D2294)=1)</f>
        <v>1</v>
      </c>
    </row>
    <row r="2295" spans="1:5">
      <c r="A2295" t="str">
        <f>检查点拆解!A2295</f>
        <v>Q0340</v>
      </c>
      <c r="B2295" t="str">
        <f>检查点拆解!D2295</f>
        <v>C06</v>
      </c>
      <c r="C2295" s="2">
        <f>--(COUNTIFS($A$2:A2295,A2295,$B$2:B2295,B2295)=1)</f>
        <v>0</v>
      </c>
      <c r="D2295" t="str">
        <f>检查点拆解!F2295</f>
        <v>D03.01.01</v>
      </c>
      <c r="E2295" s="2">
        <f>--(COUNTIFS($A$2:A2295,A2295,$D$2:D2295,D2295)=1)</f>
        <v>1</v>
      </c>
    </row>
    <row r="2296" spans="1:5">
      <c r="A2296" t="str">
        <f>检查点拆解!A2296</f>
        <v>Q0341</v>
      </c>
      <c r="B2296" t="str">
        <f>检查点拆解!D2296</f>
        <v>C19</v>
      </c>
      <c r="C2296" s="2">
        <f>--(COUNTIFS($A$2:A2296,A2296,$B$2:B2296,B2296)=1)</f>
        <v>1</v>
      </c>
      <c r="D2296" t="str">
        <f>检查点拆解!F2296</f>
        <v>D07.02.03</v>
      </c>
      <c r="E2296" s="2">
        <f>--(COUNTIFS($A$2:A2296,A2296,$D$2:D2296,D2296)=1)</f>
        <v>1</v>
      </c>
    </row>
    <row r="2297" spans="1:5">
      <c r="A2297" t="str">
        <f>检查点拆解!A2297</f>
        <v>Q0341</v>
      </c>
      <c r="B2297" t="str">
        <f>检查点拆解!D2297</f>
        <v>C27</v>
      </c>
      <c r="C2297" s="2">
        <f>--(COUNTIFS($A$2:A2297,A2297,$B$2:B2297,B2297)=1)</f>
        <v>1</v>
      </c>
      <c r="D2297" t="str">
        <f>检查点拆解!F2297</f>
        <v>D11.01.02</v>
      </c>
      <c r="E2297" s="2">
        <f>--(COUNTIFS($A$2:A2297,A2297,$D$2:D2297,D2297)=1)</f>
        <v>1</v>
      </c>
    </row>
    <row r="2298" spans="1:5">
      <c r="A2298" t="str">
        <f>检查点拆解!A2298</f>
        <v>Q0341</v>
      </c>
      <c r="B2298" t="str">
        <f>检查点拆解!D2298</f>
        <v>C24</v>
      </c>
      <c r="C2298" s="2">
        <f>--(COUNTIFS($A$2:A2298,A2298,$B$2:B2298,B2298)=1)</f>
        <v>1</v>
      </c>
      <c r="D2298" t="str">
        <f>检查点拆解!F2298</f>
        <v>D09.02.03</v>
      </c>
      <c r="E2298" s="2">
        <f>--(COUNTIFS($A$2:A2298,A2298,$D$2:D2298,D2298)=1)</f>
        <v>1</v>
      </c>
    </row>
    <row r="2299" spans="1:5">
      <c r="A2299" t="str">
        <f>检查点拆解!A2299</f>
        <v>Q0341</v>
      </c>
      <c r="B2299" t="str">
        <f>检查点拆解!D2299</f>
        <v>C06</v>
      </c>
      <c r="C2299" s="2">
        <f>--(COUNTIFS($A$2:A2299,A2299,$B$2:B2299,B2299)=1)</f>
        <v>1</v>
      </c>
      <c r="D2299" t="str">
        <f>检查点拆解!F2299</f>
        <v>D03.01.02</v>
      </c>
      <c r="E2299" s="2">
        <f>--(COUNTIFS($A$2:A2299,A2299,$D$2:D2299,D2299)=1)</f>
        <v>1</v>
      </c>
    </row>
    <row r="2300" spans="1:5">
      <c r="A2300" t="str">
        <f>检查点拆解!A2300</f>
        <v>Q0341</v>
      </c>
      <c r="B2300" t="str">
        <f>检查点拆解!D2300</f>
        <v>C06</v>
      </c>
      <c r="C2300" s="2">
        <f>--(COUNTIFS($A$2:A2300,A2300,$B$2:B2300,B2300)=1)</f>
        <v>0</v>
      </c>
      <c r="D2300" t="str">
        <f>检查点拆解!F2300</f>
        <v>D03.01.01</v>
      </c>
      <c r="E2300" s="2">
        <f>--(COUNTIFS($A$2:A2300,A2300,$D$2:D2300,D2300)=1)</f>
        <v>1</v>
      </c>
    </row>
    <row r="2301" spans="1:5">
      <c r="A2301" t="str">
        <f>检查点拆解!A2301</f>
        <v>Q0341</v>
      </c>
      <c r="B2301" t="str">
        <f>检查点拆解!D2301</f>
        <v>C05</v>
      </c>
      <c r="C2301" s="2">
        <f>--(COUNTIFS($A$2:A2301,A2301,$B$2:B2301,B2301)=1)</f>
        <v>1</v>
      </c>
      <c r="D2301" t="str">
        <f>检查点拆解!F2301</f>
        <v>D02.03.02</v>
      </c>
      <c r="E2301" s="2">
        <f>--(COUNTIFS($A$2:A2301,A2301,$D$2:D2301,D2301)=1)</f>
        <v>1</v>
      </c>
    </row>
    <row r="2302" spans="1:5">
      <c r="A2302" t="str">
        <f>检查点拆解!A2302</f>
        <v>Q0342</v>
      </c>
      <c r="B2302" t="str">
        <f>检查点拆解!D2302</f>
        <v>C27</v>
      </c>
      <c r="C2302" s="2">
        <f>--(COUNTIFS($A$2:A2302,A2302,$B$2:B2302,B2302)=1)</f>
        <v>1</v>
      </c>
      <c r="D2302" t="str">
        <f>检查点拆解!F2302</f>
        <v>D11.02.01</v>
      </c>
      <c r="E2302" s="2">
        <f>--(COUNTIFS($A$2:A2302,A2302,$D$2:D2302,D2302)=1)</f>
        <v>1</v>
      </c>
    </row>
    <row r="2303" spans="1:5">
      <c r="A2303" t="str">
        <f>检查点拆解!A2303</f>
        <v>Q0342</v>
      </c>
      <c r="B2303" t="str">
        <f>检查点拆解!D2303</f>
        <v>C27</v>
      </c>
      <c r="C2303" s="2">
        <f>--(COUNTIFS($A$2:A2303,A2303,$B$2:B2303,B2303)=1)</f>
        <v>0</v>
      </c>
      <c r="D2303" t="str">
        <f>检查点拆解!F2303</f>
        <v>D11.02.03</v>
      </c>
      <c r="E2303" s="2">
        <f>--(COUNTIFS($A$2:A2303,A2303,$D$2:D2303,D2303)=1)</f>
        <v>1</v>
      </c>
    </row>
    <row r="2304" spans="1:5">
      <c r="A2304" t="str">
        <f>检查点拆解!A2304</f>
        <v>Q0342</v>
      </c>
      <c r="B2304" t="str">
        <f>检查点拆解!D2304</f>
        <v>C27</v>
      </c>
      <c r="C2304" s="2">
        <f>--(COUNTIFS($A$2:A2304,A2304,$B$2:B2304,B2304)=1)</f>
        <v>0</v>
      </c>
      <c r="D2304" t="str">
        <f>检查点拆解!F2304</f>
        <v>D11.01.02</v>
      </c>
      <c r="E2304" s="2">
        <f>--(COUNTIFS($A$2:A2304,A2304,$D$2:D2304,D2304)=1)</f>
        <v>1</v>
      </c>
    </row>
    <row r="2305" spans="1:5">
      <c r="A2305" t="str">
        <f>检查点拆解!A2305</f>
        <v>Q0342</v>
      </c>
      <c r="B2305" t="str">
        <f>检查点拆解!D2305</f>
        <v>C25</v>
      </c>
      <c r="C2305" s="2">
        <f>--(COUNTIFS($A$2:A2305,A2305,$B$2:B2305,B2305)=1)</f>
        <v>1</v>
      </c>
      <c r="D2305" t="str">
        <f>检查点拆解!F2305</f>
        <v>D10.01.01</v>
      </c>
      <c r="E2305" s="2">
        <f>--(COUNTIFS($A$2:A2305,A2305,$D$2:D2305,D2305)=1)</f>
        <v>1</v>
      </c>
    </row>
    <row r="2306" spans="1:5">
      <c r="A2306" t="str">
        <f>检查点拆解!A2306</f>
        <v>Q0343</v>
      </c>
      <c r="B2306" t="str">
        <f>检查点拆解!D2306</f>
        <v>C28</v>
      </c>
      <c r="C2306" s="2">
        <f>--(COUNTIFS($A$2:A2306,A2306,$B$2:B2306,B2306)=1)</f>
        <v>1</v>
      </c>
      <c r="D2306" t="str">
        <f>检查点拆解!F2306</f>
        <v>D12.01.01</v>
      </c>
      <c r="E2306" s="2">
        <f>--(COUNTIFS($A$2:A2306,A2306,$D$2:D2306,D2306)=1)</f>
        <v>1</v>
      </c>
    </row>
    <row r="2307" spans="1:5">
      <c r="A2307" t="str">
        <f>检查点拆解!A2307</f>
        <v>Q0343</v>
      </c>
      <c r="B2307" t="str">
        <f>检查点拆解!D2307</f>
        <v>C01</v>
      </c>
      <c r="C2307" s="2">
        <f>--(COUNTIFS($A$2:A2307,A2307,$B$2:B2307,B2307)=1)</f>
        <v>1</v>
      </c>
      <c r="D2307" t="str">
        <f>检查点拆解!F2307</f>
        <v>D01.01.01</v>
      </c>
      <c r="E2307" s="2">
        <f>--(COUNTIFS($A$2:A2307,A2307,$D$2:D2307,D2307)=1)</f>
        <v>1</v>
      </c>
    </row>
    <row r="2308" spans="1:5">
      <c r="A2308" t="str">
        <f>检查点拆解!A2308</f>
        <v>Q0344</v>
      </c>
      <c r="B2308" t="str">
        <f>检查点拆解!D2308</f>
        <v>C08</v>
      </c>
      <c r="C2308" s="2">
        <f>--(COUNTIFS($A$2:A2308,A2308,$B$2:B2308,B2308)=1)</f>
        <v>1</v>
      </c>
      <c r="D2308" t="str">
        <f>检查点拆解!F2308</f>
        <v>D04.01.02</v>
      </c>
      <c r="E2308" s="2">
        <f>--(COUNTIFS($A$2:A2308,A2308,$D$2:D2308,D2308)=1)</f>
        <v>1</v>
      </c>
    </row>
    <row r="2309" spans="1:5">
      <c r="A2309" t="str">
        <f>检查点拆解!A2309</f>
        <v>Q0344</v>
      </c>
      <c r="B2309" t="str">
        <f>检查点拆解!D2309</f>
        <v>C03</v>
      </c>
      <c r="C2309" s="2">
        <f>--(COUNTIFS($A$2:A2309,A2309,$B$2:B2309,B2309)=1)</f>
        <v>1</v>
      </c>
      <c r="D2309" t="str">
        <f>检查点拆解!F2309</f>
        <v>D02.01.01</v>
      </c>
      <c r="E2309" s="2">
        <f>--(COUNTIFS($A$2:A2309,A2309,$D$2:D2309,D2309)=1)</f>
        <v>1</v>
      </c>
    </row>
    <row r="2310" spans="1:5">
      <c r="A2310" t="str">
        <f>检查点拆解!A2310</f>
        <v>Q0344</v>
      </c>
      <c r="B2310" t="str">
        <f>检查点拆解!D2310</f>
        <v>C08</v>
      </c>
      <c r="C2310" s="2">
        <f>--(COUNTIFS($A$2:A2310,A2310,$B$2:B2310,B2310)=1)</f>
        <v>0</v>
      </c>
      <c r="D2310" t="str">
        <f>检查点拆解!F2310</f>
        <v>D03.03.01</v>
      </c>
      <c r="E2310" s="2">
        <f>--(COUNTIFS($A$2:A2310,A2310,$D$2:D2310,D2310)=1)</f>
        <v>1</v>
      </c>
    </row>
    <row r="2311" spans="1:5">
      <c r="A2311" t="str">
        <f>检查点拆解!A2311</f>
        <v>Q0345</v>
      </c>
      <c r="B2311" t="str">
        <f>检查点拆解!D2311</f>
        <v>C23</v>
      </c>
      <c r="C2311" s="2">
        <f>--(COUNTIFS($A$2:A2311,A2311,$B$2:B2311,B2311)=1)</f>
        <v>1</v>
      </c>
      <c r="D2311" t="str">
        <f>检查点拆解!F2311</f>
        <v>D09.01.01</v>
      </c>
      <c r="E2311" s="2">
        <f>--(COUNTIFS($A$2:A2311,A2311,$D$2:D2311,D2311)=1)</f>
        <v>1</v>
      </c>
    </row>
    <row r="2312" spans="1:5">
      <c r="A2312" t="str">
        <f>检查点拆解!A2312</f>
        <v>Q0345</v>
      </c>
      <c r="B2312" t="str">
        <f>检查点拆解!D2312</f>
        <v>C26</v>
      </c>
      <c r="C2312" s="2">
        <f>--(COUNTIFS($A$2:A2312,A2312,$B$2:B2312,B2312)=1)</f>
        <v>1</v>
      </c>
      <c r="D2312" t="str">
        <f>检查点拆解!F2312</f>
        <v>D10.02.01</v>
      </c>
      <c r="E2312" s="2">
        <f>--(COUNTIFS($A$2:A2312,A2312,$D$2:D2312,D2312)=1)</f>
        <v>1</v>
      </c>
    </row>
    <row r="2313" spans="1:5">
      <c r="A2313" t="str">
        <f>检查点拆解!A2313</f>
        <v>Q0345</v>
      </c>
      <c r="B2313" t="str">
        <f>检查点拆解!D2313</f>
        <v>C03</v>
      </c>
      <c r="C2313" s="2">
        <f>--(COUNTIFS($A$2:A2313,A2313,$B$2:B2313,B2313)=1)</f>
        <v>1</v>
      </c>
      <c r="D2313" t="str">
        <f>检查点拆解!F2313</f>
        <v>D02.01.01</v>
      </c>
      <c r="E2313" s="2">
        <f>--(COUNTIFS($A$2:A2313,A2313,$D$2:D2313,D2313)=1)</f>
        <v>1</v>
      </c>
    </row>
    <row r="2314" spans="1:5">
      <c r="A2314" t="str">
        <f>检查点拆解!A2314</f>
        <v>Q0345</v>
      </c>
      <c r="B2314" t="str">
        <f>检查点拆解!D2314</f>
        <v>C05</v>
      </c>
      <c r="C2314" s="2">
        <f>--(COUNTIFS($A$2:A2314,A2314,$B$2:B2314,B2314)=1)</f>
        <v>1</v>
      </c>
      <c r="D2314" t="str">
        <f>检查点拆解!F2314</f>
        <v>D02.03.01</v>
      </c>
      <c r="E2314" s="2">
        <f>--(COUNTIFS($A$2:A2314,A2314,$D$2:D2314,D2314)=1)</f>
        <v>1</v>
      </c>
    </row>
    <row r="2315" spans="1:5">
      <c r="A2315" t="str">
        <f>检查点拆解!A2315</f>
        <v>Q0345</v>
      </c>
      <c r="B2315" t="str">
        <f>检查点拆解!D2315</f>
        <v>C08</v>
      </c>
      <c r="C2315" s="2">
        <f>--(COUNTIFS($A$2:A2315,A2315,$B$2:B2315,B2315)=1)</f>
        <v>1</v>
      </c>
      <c r="D2315" t="str">
        <f>检查点拆解!F2315</f>
        <v>D03.03.01</v>
      </c>
      <c r="E2315" s="2">
        <f>--(COUNTIFS($A$2:A2315,A2315,$D$2:D2315,D2315)=1)</f>
        <v>1</v>
      </c>
    </row>
    <row r="2316" spans="1:5">
      <c r="A2316" t="str">
        <f>检查点拆解!A2316</f>
        <v>Q0346</v>
      </c>
      <c r="B2316" t="str">
        <f>检查点拆解!D2316</f>
        <v>C03</v>
      </c>
      <c r="C2316" s="2">
        <f>--(COUNTIFS($A$2:A2316,A2316,$B$2:B2316,B2316)=1)</f>
        <v>1</v>
      </c>
      <c r="D2316" t="str">
        <f>检查点拆解!F2316</f>
        <v>D02.01.01</v>
      </c>
      <c r="E2316" s="2">
        <f>--(COUNTIFS($A$2:A2316,A2316,$D$2:D2316,D2316)=1)</f>
        <v>1</v>
      </c>
    </row>
    <row r="2317" spans="1:5">
      <c r="A2317" t="str">
        <f>检查点拆解!A2317</f>
        <v>Q0346</v>
      </c>
      <c r="B2317" t="str">
        <f>检查点拆解!D2317</f>
        <v>C08</v>
      </c>
      <c r="C2317" s="2">
        <f>--(COUNTIFS($A$2:A2317,A2317,$B$2:B2317,B2317)=1)</f>
        <v>1</v>
      </c>
      <c r="D2317" t="str">
        <f>检查点拆解!F2317</f>
        <v>D03.03.01</v>
      </c>
      <c r="E2317" s="2">
        <f>--(COUNTIFS($A$2:A2317,A2317,$D$2:D2317,D2317)=1)</f>
        <v>1</v>
      </c>
    </row>
    <row r="2318" spans="1:5">
      <c r="A2318" t="str">
        <f>检查点拆解!A2318</f>
        <v>Q0347</v>
      </c>
      <c r="B2318" t="str">
        <f>检查点拆解!D2318</f>
        <v>C01</v>
      </c>
      <c r="C2318" s="2">
        <f>--(COUNTIFS($A$2:A2318,A2318,$B$2:B2318,B2318)=1)</f>
        <v>1</v>
      </c>
      <c r="D2318" t="str">
        <f>检查点拆解!F2318</f>
        <v>D01.01.01</v>
      </c>
      <c r="E2318" s="2">
        <f>--(COUNTIFS($A$2:A2318,A2318,$D$2:D2318,D2318)=1)</f>
        <v>1</v>
      </c>
    </row>
    <row r="2319" spans="1:5">
      <c r="A2319" t="str">
        <f>检查点拆解!A2319</f>
        <v>Q0347</v>
      </c>
      <c r="B2319" t="str">
        <f>检查点拆解!D2319</f>
        <v>C02</v>
      </c>
      <c r="C2319" s="2">
        <f>--(COUNTIFS($A$2:A2319,A2319,$B$2:B2319,B2319)=1)</f>
        <v>1</v>
      </c>
      <c r="D2319" t="str">
        <f>检查点拆解!F2319</f>
        <v>D01.02.03</v>
      </c>
      <c r="E2319" s="2">
        <f>--(COUNTIFS($A$2:A2319,A2319,$D$2:D2319,D2319)=1)</f>
        <v>1</v>
      </c>
    </row>
    <row r="2320" spans="1:5">
      <c r="A2320" t="str">
        <f>检查点拆解!A2320</f>
        <v>Q0348</v>
      </c>
      <c r="B2320" t="str">
        <f>检查点拆解!D2320</f>
        <v>C24</v>
      </c>
      <c r="C2320" s="2">
        <f>--(COUNTIFS($A$2:A2320,A2320,$B$2:B2320,B2320)=1)</f>
        <v>1</v>
      </c>
      <c r="D2320" t="str">
        <f>检查点拆解!F2320</f>
        <v>D09.02.02</v>
      </c>
      <c r="E2320" s="2">
        <f>--(COUNTIFS($A$2:A2320,A2320,$D$2:D2320,D2320)=1)</f>
        <v>1</v>
      </c>
    </row>
    <row r="2321" spans="1:5">
      <c r="A2321" t="str">
        <f>检查点拆解!A2321</f>
        <v>Q0348</v>
      </c>
      <c r="B2321" t="str">
        <f>检查点拆解!D2321</f>
        <v>C18</v>
      </c>
      <c r="C2321" s="2">
        <f>--(COUNTIFS($A$2:A2321,A2321,$B$2:B2321,B2321)=1)</f>
        <v>1</v>
      </c>
      <c r="D2321" t="str">
        <f>检查点拆解!F2321</f>
        <v>D07.01.02</v>
      </c>
      <c r="E2321" s="2">
        <f>--(COUNTIFS($A$2:A2321,A2321,$D$2:D2321,D2321)=1)</f>
        <v>1</v>
      </c>
    </row>
    <row r="2322" spans="1:5">
      <c r="A2322" t="str">
        <f>检查点拆解!A2322</f>
        <v>Q0348</v>
      </c>
      <c r="B2322" t="str">
        <f>检查点拆解!D2322</f>
        <v>C23</v>
      </c>
      <c r="C2322" s="2">
        <f>--(COUNTIFS($A$2:A2322,A2322,$B$2:B2322,B2322)=1)</f>
        <v>1</v>
      </c>
      <c r="D2322" t="str">
        <f>检查点拆解!F2322</f>
        <v>D09.01.03</v>
      </c>
      <c r="E2322" s="2">
        <f>--(COUNTIFS($A$2:A2322,A2322,$D$2:D2322,D2322)=1)</f>
        <v>1</v>
      </c>
    </row>
    <row r="2323" spans="1:5">
      <c r="A2323" t="str">
        <f>检查点拆解!A2323</f>
        <v>Q0348</v>
      </c>
      <c r="B2323" t="str">
        <f>检查点拆解!D2323</f>
        <v>C17</v>
      </c>
      <c r="C2323" s="2">
        <f>--(COUNTIFS($A$2:A2323,A2323,$B$2:B2323,B2323)=1)</f>
        <v>1</v>
      </c>
      <c r="D2323" t="str">
        <f>检查点拆解!F2323</f>
        <v>D06.03.01</v>
      </c>
      <c r="E2323" s="2">
        <f>--(COUNTIFS($A$2:A2323,A2323,$D$2:D2323,D2323)=1)</f>
        <v>1</v>
      </c>
    </row>
    <row r="2324" spans="1:5">
      <c r="A2324" t="str">
        <f>检查点拆解!A2324</f>
        <v>Q0348</v>
      </c>
      <c r="B2324" t="str">
        <f>检查点拆解!D2324</f>
        <v>C19</v>
      </c>
      <c r="C2324" s="2">
        <f>--(COUNTIFS($A$2:A2324,A2324,$B$2:B2324,B2324)=1)</f>
        <v>1</v>
      </c>
      <c r="D2324" t="str">
        <f>检查点拆解!F2324</f>
        <v>D07.02.02</v>
      </c>
      <c r="E2324" s="2">
        <f>--(COUNTIFS($A$2:A2324,A2324,$D$2:D2324,D2324)=1)</f>
        <v>1</v>
      </c>
    </row>
    <row r="2325" spans="1:5">
      <c r="A2325" t="str">
        <f>检查点拆解!A2325</f>
        <v>Q0348</v>
      </c>
      <c r="B2325" t="str">
        <f>检查点拆解!D2325</f>
        <v>C15</v>
      </c>
      <c r="C2325" s="2">
        <f>--(COUNTIFS($A$2:A2325,A2325,$B$2:B2325,B2325)=1)</f>
        <v>1</v>
      </c>
      <c r="D2325" t="str">
        <f>检查点拆解!F2325</f>
        <v>D05.02.03</v>
      </c>
      <c r="E2325" s="2">
        <f>--(COUNTIFS($A$2:A2325,A2325,$D$2:D2325,D2325)=1)</f>
        <v>1</v>
      </c>
    </row>
    <row r="2326" spans="1:5">
      <c r="A2326" t="str">
        <f>检查点拆解!A2326</f>
        <v>Q0348</v>
      </c>
      <c r="B2326" t="str">
        <f>检查点拆解!D2326</f>
        <v>C24</v>
      </c>
      <c r="C2326" s="2">
        <f>--(COUNTIFS($A$2:A2326,A2326,$B$2:B2326,B2326)=1)</f>
        <v>0</v>
      </c>
      <c r="D2326" t="str">
        <f>检查点拆解!F2326</f>
        <v>D09.03.03</v>
      </c>
      <c r="E2326" s="2">
        <f>--(COUNTIFS($A$2:A2326,A2326,$D$2:D2326,D2326)=1)</f>
        <v>1</v>
      </c>
    </row>
    <row r="2327" spans="1:5">
      <c r="A2327" t="str">
        <f>检查点拆解!A2327</f>
        <v>Q0348</v>
      </c>
      <c r="B2327" t="str">
        <f>检查点拆解!D2327</f>
        <v>C06</v>
      </c>
      <c r="C2327" s="2">
        <f>--(COUNTIFS($A$2:A2327,A2327,$B$2:B2327,B2327)=1)</f>
        <v>1</v>
      </c>
      <c r="D2327" t="str">
        <f>检查点拆解!F2327</f>
        <v>D03.01.03</v>
      </c>
      <c r="E2327" s="2">
        <f>--(COUNTIFS($A$2:A2327,A2327,$D$2:D2327,D2327)=1)</f>
        <v>1</v>
      </c>
    </row>
    <row r="2328" spans="1:5">
      <c r="A2328" t="str">
        <f>检查点拆解!A2328</f>
        <v>Q0348</v>
      </c>
      <c r="B2328" t="str">
        <f>检查点拆解!D2328</f>
        <v>C17</v>
      </c>
      <c r="C2328" s="2">
        <f>--(COUNTIFS($A$2:A2328,A2328,$B$2:B2328,B2328)=1)</f>
        <v>0</v>
      </c>
      <c r="D2328" t="str">
        <f>检查点拆解!F2328</f>
        <v>D06.01.03</v>
      </c>
      <c r="E2328" s="2">
        <f>--(COUNTIFS($A$2:A2328,A2328,$D$2:D2328,D2328)=1)</f>
        <v>1</v>
      </c>
    </row>
    <row r="2329" spans="1:5">
      <c r="A2329" t="str">
        <f>检查点拆解!A2329</f>
        <v>Q0348</v>
      </c>
      <c r="B2329" t="str">
        <f>检查点拆解!D2329</f>
        <v>C25</v>
      </c>
      <c r="C2329" s="2">
        <f>--(COUNTIFS($A$2:A2329,A2329,$B$2:B2329,B2329)=1)</f>
        <v>1</v>
      </c>
      <c r="D2329" t="str">
        <f>检查点拆解!F2329</f>
        <v>D10.01.01</v>
      </c>
      <c r="E2329" s="2">
        <f>--(COUNTIFS($A$2:A2329,A2329,$D$2:D2329,D2329)=1)</f>
        <v>1</v>
      </c>
    </row>
    <row r="2330" spans="1:5">
      <c r="A2330" t="str">
        <f>检查点拆解!A2330</f>
        <v>Q0348</v>
      </c>
      <c r="B2330" t="str">
        <f>检查点拆解!D2330</f>
        <v>C25</v>
      </c>
      <c r="C2330" s="2">
        <f>--(COUNTIFS($A$2:A2330,A2330,$B$2:B2330,B2330)=1)</f>
        <v>0</v>
      </c>
      <c r="D2330" t="str">
        <f>检查点拆解!F2330</f>
        <v>D10.01.04</v>
      </c>
      <c r="E2330" s="2">
        <f>--(COUNTIFS($A$2:A2330,A2330,$D$2:D2330,D2330)=1)</f>
        <v>1</v>
      </c>
    </row>
    <row r="2331" spans="1:5">
      <c r="A2331" t="str">
        <f>检查点拆解!A2331</f>
        <v>Q0348</v>
      </c>
      <c r="B2331" t="str">
        <f>检查点拆解!D2331</f>
        <v>C25</v>
      </c>
      <c r="C2331" s="2">
        <f>--(COUNTIFS($A$2:A2331,A2331,$B$2:B2331,B2331)=1)</f>
        <v>0</v>
      </c>
      <c r="D2331" t="str">
        <f>检查点拆解!F2331</f>
        <v>D10.01.02</v>
      </c>
      <c r="E2331" s="2">
        <f>--(COUNTIFS($A$2:A2331,A2331,$D$2:D2331,D2331)=1)</f>
        <v>1</v>
      </c>
    </row>
    <row r="2332" spans="1:5">
      <c r="A2332" t="str">
        <f>检查点拆解!A2332</f>
        <v>Q0349</v>
      </c>
      <c r="B2332" t="str">
        <f>检查点拆解!D2332</f>
        <v>C14</v>
      </c>
      <c r="C2332" s="2">
        <f>--(COUNTIFS($A$2:A2332,A2332,$B$2:B2332,B2332)=1)</f>
        <v>1</v>
      </c>
      <c r="D2332" t="str">
        <f>检查点拆解!F2332</f>
        <v>D05.01.01</v>
      </c>
      <c r="E2332" s="2">
        <f>--(COUNTIFS($A$2:A2332,A2332,$D$2:D2332,D2332)=1)</f>
        <v>1</v>
      </c>
    </row>
    <row r="2333" spans="1:5">
      <c r="A2333" t="str">
        <f>检查点拆解!A2333</f>
        <v>Q0349</v>
      </c>
      <c r="B2333" t="str">
        <f>检查点拆解!D2333</f>
        <v>C03</v>
      </c>
      <c r="C2333" s="2">
        <f>--(COUNTIFS($A$2:A2333,A2333,$B$2:B2333,B2333)=1)</f>
        <v>1</v>
      </c>
      <c r="D2333" t="str">
        <f>检查点拆解!F2333</f>
        <v>D02.01.01</v>
      </c>
      <c r="E2333" s="2">
        <f>--(COUNTIFS($A$2:A2333,A2333,$D$2:D2333,D2333)=1)</f>
        <v>1</v>
      </c>
    </row>
    <row r="2334" spans="1:5">
      <c r="A2334" t="str">
        <f>检查点拆解!A2334</f>
        <v>Q0349</v>
      </c>
      <c r="B2334" t="str">
        <f>检查点拆解!D2334</f>
        <v>C05</v>
      </c>
      <c r="C2334" s="2">
        <f>--(COUNTIFS($A$2:A2334,A2334,$B$2:B2334,B2334)=1)</f>
        <v>1</v>
      </c>
      <c r="D2334" t="str">
        <f>检查点拆解!F2334</f>
        <v>D02.03.01</v>
      </c>
      <c r="E2334" s="2">
        <f>--(COUNTIFS($A$2:A2334,A2334,$D$2:D2334,D2334)=1)</f>
        <v>1</v>
      </c>
    </row>
    <row r="2335" spans="1:5">
      <c r="A2335" t="str">
        <f>检查点拆解!A2335</f>
        <v>Q0349</v>
      </c>
      <c r="B2335" t="str">
        <f>检查点拆解!D2335</f>
        <v>C08</v>
      </c>
      <c r="C2335" s="2">
        <f>--(COUNTIFS($A$2:A2335,A2335,$B$2:B2335,B2335)=1)</f>
        <v>1</v>
      </c>
      <c r="D2335" t="str">
        <f>检查点拆解!F2335</f>
        <v>D03.03.01</v>
      </c>
      <c r="E2335" s="2">
        <f>--(COUNTIFS($A$2:A2335,A2335,$D$2:D2335,D2335)=1)</f>
        <v>1</v>
      </c>
    </row>
    <row r="2336" spans="1:5">
      <c r="A2336" t="str">
        <f>检查点拆解!A2336</f>
        <v>Q0350</v>
      </c>
      <c r="B2336" t="str">
        <f>检查点拆解!D2336</f>
        <v>C16</v>
      </c>
      <c r="C2336" s="2">
        <f>--(COUNTIFS($A$2:A2336,A2336,$B$2:B2336,B2336)=1)</f>
        <v>1</v>
      </c>
      <c r="D2336" t="str">
        <f>检查点拆解!F2336</f>
        <v>D05.02.04</v>
      </c>
      <c r="E2336" s="2">
        <f>--(COUNTIFS($A$2:A2336,A2336,$D$2:D2336,D2336)=1)</f>
        <v>1</v>
      </c>
    </row>
    <row r="2337" spans="1:5">
      <c r="A2337" t="str">
        <f>检查点拆解!A2337</f>
        <v>Q0350</v>
      </c>
      <c r="B2337" t="str">
        <f>检查点拆解!D2337</f>
        <v>C28</v>
      </c>
      <c r="C2337" s="2">
        <f>--(COUNTIFS($A$2:A2337,A2337,$B$2:B2337,B2337)=1)</f>
        <v>1</v>
      </c>
      <c r="D2337" t="str">
        <f>检查点拆解!F2337</f>
        <v>D12.02.01</v>
      </c>
      <c r="E2337" s="2">
        <f>--(COUNTIFS($A$2:A2337,A2337,$D$2:D2337,D2337)=1)</f>
        <v>1</v>
      </c>
    </row>
    <row r="2338" spans="1:5">
      <c r="A2338" t="str">
        <f>检查点拆解!A2338</f>
        <v>Q0350</v>
      </c>
      <c r="B2338" t="str">
        <f>检查点拆解!D2338</f>
        <v>C26</v>
      </c>
      <c r="C2338" s="2">
        <f>--(COUNTIFS($A$2:A2338,A2338,$B$2:B2338,B2338)=1)</f>
        <v>1</v>
      </c>
      <c r="D2338" t="str">
        <f>检查点拆解!F2338</f>
        <v>D10.02.01</v>
      </c>
      <c r="E2338" s="2">
        <f>--(COUNTIFS($A$2:A2338,A2338,$D$2:D2338,D2338)=1)</f>
        <v>1</v>
      </c>
    </row>
    <row r="2339" spans="1:5">
      <c r="A2339" t="str">
        <f>检查点拆解!A2339</f>
        <v>Q0350</v>
      </c>
      <c r="B2339" t="str">
        <f>检查点拆解!D2339</f>
        <v>C06</v>
      </c>
      <c r="C2339" s="2">
        <f>--(COUNTIFS($A$2:A2339,A2339,$B$2:B2339,B2339)=1)</f>
        <v>1</v>
      </c>
      <c r="D2339" t="str">
        <f>检查点拆解!F2339</f>
        <v>D03.01.01</v>
      </c>
      <c r="E2339" s="2">
        <f>--(COUNTIFS($A$2:A2339,A2339,$D$2:D2339,D2339)=1)</f>
        <v>1</v>
      </c>
    </row>
    <row r="2340" spans="1:5">
      <c r="A2340" t="str">
        <f>检查点拆解!A2340</f>
        <v>Q0350</v>
      </c>
      <c r="B2340" t="str">
        <f>检查点拆解!D2340</f>
        <v>C14</v>
      </c>
      <c r="C2340" s="2">
        <f>--(COUNTIFS($A$2:A2340,A2340,$B$2:B2340,B2340)=1)</f>
        <v>1</v>
      </c>
      <c r="D2340" t="str">
        <f>检查点拆解!F2340</f>
        <v>D05.01.01</v>
      </c>
      <c r="E2340" s="2">
        <f>--(COUNTIFS($A$2:A2340,A2340,$D$2:D2340,D2340)=1)</f>
        <v>1</v>
      </c>
    </row>
    <row r="2341" spans="1:5">
      <c r="A2341" t="str">
        <f>检查点拆解!A2341</f>
        <v>Q0350</v>
      </c>
      <c r="B2341" t="str">
        <f>检查点拆解!D2341</f>
        <v>C04</v>
      </c>
      <c r="C2341" s="2">
        <f>--(COUNTIFS($A$2:A2341,A2341,$B$2:B2341,B2341)=1)</f>
        <v>1</v>
      </c>
      <c r="D2341" t="str">
        <f>检查点拆解!F2341</f>
        <v>D02.02.02</v>
      </c>
      <c r="E2341" s="2">
        <f>--(COUNTIFS($A$2:A2341,A2341,$D$2:D2341,D2341)=1)</f>
        <v>1</v>
      </c>
    </row>
    <row r="2342" spans="1:5">
      <c r="A2342" t="str">
        <f>检查点拆解!A2342</f>
        <v>Q0351</v>
      </c>
      <c r="B2342" t="str">
        <f>检查点拆解!D2342</f>
        <v>C24</v>
      </c>
      <c r="C2342" s="2">
        <f>--(COUNTIFS($A$2:A2342,A2342,$B$2:B2342,B2342)=1)</f>
        <v>1</v>
      </c>
      <c r="D2342" t="str">
        <f>检查点拆解!F2342</f>
        <v>D09.02.02</v>
      </c>
      <c r="E2342" s="2">
        <f>--(COUNTIFS($A$2:A2342,A2342,$D$2:D2342,D2342)=1)</f>
        <v>1</v>
      </c>
    </row>
    <row r="2343" spans="1:5">
      <c r="A2343" t="str">
        <f>检查点拆解!A2343</f>
        <v>Q0351</v>
      </c>
      <c r="B2343" t="str">
        <f>检查点拆解!D2343</f>
        <v>C08</v>
      </c>
      <c r="C2343" s="2">
        <f>--(COUNTIFS($A$2:A2343,A2343,$B$2:B2343,B2343)=1)</f>
        <v>1</v>
      </c>
      <c r="D2343" t="str">
        <f>检查点拆解!F2343</f>
        <v>D04.01.01</v>
      </c>
      <c r="E2343" s="2">
        <f>--(COUNTIFS($A$2:A2343,A2343,$D$2:D2343,D2343)=1)</f>
        <v>1</v>
      </c>
    </row>
    <row r="2344" spans="1:5">
      <c r="A2344" t="str">
        <f>检查点拆解!A2344</f>
        <v>Q0351</v>
      </c>
      <c r="B2344" t="str">
        <f>检查点拆解!D2344</f>
        <v>C03</v>
      </c>
      <c r="C2344" s="2">
        <f>--(COUNTIFS($A$2:A2344,A2344,$B$2:B2344,B2344)=1)</f>
        <v>1</v>
      </c>
      <c r="D2344" t="str">
        <f>检查点拆解!F2344</f>
        <v>D02.01.01</v>
      </c>
      <c r="E2344" s="2">
        <f>--(COUNTIFS($A$2:A2344,A2344,$D$2:D2344,D2344)=1)</f>
        <v>1</v>
      </c>
    </row>
    <row r="2345" spans="1:5">
      <c r="A2345" t="str">
        <f>检查点拆解!A2345</f>
        <v>Q0351</v>
      </c>
      <c r="B2345" t="str">
        <f>检查点拆解!D2345</f>
        <v>C04</v>
      </c>
      <c r="C2345" s="2">
        <f>--(COUNTIFS($A$2:A2345,A2345,$B$2:B2345,B2345)=1)</f>
        <v>1</v>
      </c>
      <c r="D2345" t="str">
        <f>检查点拆解!F2345</f>
        <v>D02.02.02</v>
      </c>
      <c r="E2345" s="2">
        <f>--(COUNTIFS($A$2:A2345,A2345,$D$2:D2345,D2345)=1)</f>
        <v>1</v>
      </c>
    </row>
    <row r="2346" spans="1:5">
      <c r="A2346" t="str">
        <f>检查点拆解!A2346</f>
        <v>Q0352</v>
      </c>
      <c r="B2346" t="str">
        <f>检查点拆解!D2346</f>
        <v>C25</v>
      </c>
      <c r="C2346" s="2">
        <f>--(COUNTIFS($A$2:A2346,A2346,$B$2:B2346,B2346)=1)</f>
        <v>1</v>
      </c>
      <c r="D2346" t="str">
        <f>检查点拆解!F2346</f>
        <v>D10.01.04</v>
      </c>
      <c r="E2346" s="2">
        <f>--(COUNTIFS($A$2:A2346,A2346,$D$2:D2346,D2346)=1)</f>
        <v>1</v>
      </c>
    </row>
    <row r="2347" spans="1:5">
      <c r="A2347" t="str">
        <f>检查点拆解!A2347</f>
        <v>Q0352</v>
      </c>
      <c r="B2347" t="str">
        <f>检查点拆解!D2347</f>
        <v>C01</v>
      </c>
      <c r="C2347" s="2">
        <f>--(COUNTIFS($A$2:A2347,A2347,$B$2:B2347,B2347)=1)</f>
        <v>1</v>
      </c>
      <c r="D2347" t="str">
        <f>检查点拆解!F2347</f>
        <v>D01.01.01</v>
      </c>
      <c r="E2347" s="2">
        <f>--(COUNTIFS($A$2:A2347,A2347,$D$2:D2347,D2347)=1)</f>
        <v>1</v>
      </c>
    </row>
    <row r="2348" spans="1:5">
      <c r="A2348" t="str">
        <f>检查点拆解!A2348</f>
        <v>Q0353</v>
      </c>
      <c r="B2348" t="str">
        <f>检查点拆解!D2348</f>
        <v>C04</v>
      </c>
      <c r="C2348" s="2">
        <f>--(COUNTIFS($A$2:A2348,A2348,$B$2:B2348,B2348)=1)</f>
        <v>1</v>
      </c>
      <c r="D2348" t="str">
        <f>检查点拆解!F2348</f>
        <v>D02.02.03</v>
      </c>
      <c r="E2348" s="2">
        <f>--(COUNTIFS($A$2:A2348,A2348,$D$2:D2348,D2348)=1)</f>
        <v>1</v>
      </c>
    </row>
    <row r="2349" spans="1:5">
      <c r="A2349" t="str">
        <f>检查点拆解!A2349</f>
        <v>Q0353</v>
      </c>
      <c r="B2349" t="str">
        <f>检查点拆解!D2349</f>
        <v>C01</v>
      </c>
      <c r="C2349" s="2">
        <f>--(COUNTIFS($A$2:A2349,A2349,$B$2:B2349,B2349)=1)</f>
        <v>1</v>
      </c>
      <c r="D2349" t="str">
        <f>检查点拆解!F2349</f>
        <v>D01.01.01</v>
      </c>
      <c r="E2349" s="2">
        <f>--(COUNTIFS($A$2:A2349,A2349,$D$2:D2349,D2349)=1)</f>
        <v>1</v>
      </c>
    </row>
    <row r="2350" spans="1:5">
      <c r="A2350" t="str">
        <f>检查点拆解!A2350</f>
        <v>Q0354</v>
      </c>
      <c r="B2350" t="str">
        <f>检查点拆解!D2350</f>
        <v>C27</v>
      </c>
      <c r="C2350" s="2">
        <f>--(COUNTIFS($A$2:A2350,A2350,$B$2:B2350,B2350)=1)</f>
        <v>1</v>
      </c>
      <c r="D2350" t="str">
        <f>检查点拆解!F2350</f>
        <v>D11.01.02</v>
      </c>
      <c r="E2350" s="2">
        <f>--(COUNTIFS($A$2:A2350,A2350,$D$2:D2350,D2350)=1)</f>
        <v>1</v>
      </c>
    </row>
    <row r="2351" spans="1:5">
      <c r="A2351" t="str">
        <f>检查点拆解!A2351</f>
        <v>Q0354</v>
      </c>
      <c r="B2351" t="str">
        <f>检查点拆解!D2351</f>
        <v>C24</v>
      </c>
      <c r="C2351" s="2">
        <f>--(COUNTIFS($A$2:A2351,A2351,$B$2:B2351,B2351)=1)</f>
        <v>1</v>
      </c>
      <c r="D2351" t="str">
        <f>检查点拆解!F2351</f>
        <v>D09.03.03</v>
      </c>
      <c r="E2351" s="2">
        <f>--(COUNTIFS($A$2:A2351,A2351,$D$2:D2351,D2351)=1)</f>
        <v>1</v>
      </c>
    </row>
    <row r="2352" spans="1:5">
      <c r="A2352" t="str">
        <f>检查点拆解!A2352</f>
        <v>Q0354</v>
      </c>
      <c r="B2352" t="str">
        <f>检查点拆解!D2352</f>
        <v>C06</v>
      </c>
      <c r="C2352" s="2">
        <f>--(COUNTIFS($A$2:A2352,A2352,$B$2:B2352,B2352)=1)</f>
        <v>1</v>
      </c>
      <c r="D2352" t="str">
        <f>检查点拆解!F2352</f>
        <v>D03.01.03</v>
      </c>
      <c r="E2352" s="2">
        <f>--(COUNTIFS($A$2:A2352,A2352,$D$2:D2352,D2352)=1)</f>
        <v>1</v>
      </c>
    </row>
    <row r="2353" spans="1:5">
      <c r="A2353" t="str">
        <f>检查点拆解!A2353</f>
        <v>Q0354</v>
      </c>
      <c r="B2353" t="str">
        <f>检查点拆解!D2353</f>
        <v>C18</v>
      </c>
      <c r="C2353" s="2">
        <f>--(COUNTIFS($A$2:A2353,A2353,$B$2:B2353,B2353)=1)</f>
        <v>1</v>
      </c>
      <c r="D2353" t="str">
        <f>检查点拆解!F2353</f>
        <v>D07.01.01</v>
      </c>
      <c r="E2353" s="2">
        <f>--(COUNTIFS($A$2:A2353,A2353,$D$2:D2353,D2353)=1)</f>
        <v>1</v>
      </c>
    </row>
    <row r="2354" spans="1:5">
      <c r="A2354" t="str">
        <f>检查点拆解!A2354</f>
        <v>Q0355</v>
      </c>
      <c r="B2354" t="str">
        <f>检查点拆解!D2354</f>
        <v>C06</v>
      </c>
      <c r="C2354" s="2">
        <f>--(COUNTIFS($A$2:A2354,A2354,$B$2:B2354,B2354)=1)</f>
        <v>1</v>
      </c>
      <c r="D2354" t="str">
        <f>检查点拆解!F2354</f>
        <v>D03.01.03</v>
      </c>
      <c r="E2354" s="2">
        <f>--(COUNTIFS($A$2:A2354,A2354,$D$2:D2354,D2354)=1)</f>
        <v>1</v>
      </c>
    </row>
    <row r="2355" spans="1:5">
      <c r="A2355" t="str">
        <f>检查点拆解!A2355</f>
        <v>Q0355</v>
      </c>
      <c r="B2355" t="str">
        <f>检查点拆解!D2355</f>
        <v>C06</v>
      </c>
      <c r="C2355" s="2">
        <f>--(COUNTIFS($A$2:A2355,A2355,$B$2:B2355,B2355)=1)</f>
        <v>0</v>
      </c>
      <c r="D2355" t="str">
        <f>检查点拆解!F2355</f>
        <v>D03.01.01</v>
      </c>
      <c r="E2355" s="2">
        <f>--(COUNTIFS($A$2:A2355,A2355,$D$2:D2355,D2355)=1)</f>
        <v>1</v>
      </c>
    </row>
    <row r="2356" spans="1:5">
      <c r="A2356" t="str">
        <f>检查点拆解!A2356</f>
        <v>Q0355</v>
      </c>
      <c r="B2356" t="str">
        <f>检查点拆解!D2356</f>
        <v>C03</v>
      </c>
      <c r="C2356" s="2">
        <f>--(COUNTIFS($A$2:A2356,A2356,$B$2:B2356,B2356)=1)</f>
        <v>1</v>
      </c>
      <c r="D2356" t="str">
        <f>检查点拆解!F2356</f>
        <v>D02.01.01</v>
      </c>
      <c r="E2356" s="2">
        <f>--(COUNTIFS($A$2:A2356,A2356,$D$2:D2356,D2356)=1)</f>
        <v>1</v>
      </c>
    </row>
    <row r="2357" spans="1:5">
      <c r="A2357" t="str">
        <f>检查点拆解!A2357</f>
        <v>Q0355</v>
      </c>
      <c r="B2357" t="str">
        <f>检查点拆解!D2357</f>
        <v>C05</v>
      </c>
      <c r="C2357" s="2">
        <f>--(COUNTIFS($A$2:A2357,A2357,$B$2:B2357,B2357)=1)</f>
        <v>1</v>
      </c>
      <c r="D2357" t="str">
        <f>检查点拆解!F2357</f>
        <v>D02.03.01</v>
      </c>
      <c r="E2357" s="2">
        <f>--(COUNTIFS($A$2:A2357,A2357,$D$2:D2357,D2357)=1)</f>
        <v>1</v>
      </c>
    </row>
    <row r="2358" spans="1:5">
      <c r="A2358" t="str">
        <f>检查点拆解!A2358</f>
        <v>Q0356</v>
      </c>
      <c r="B2358" t="str">
        <f>检查点拆解!D2358</f>
        <v>C30</v>
      </c>
      <c r="C2358" s="2">
        <f>--(COUNTIFS($A$2:A2358,A2358,$B$2:B2358,B2358)=1)</f>
        <v>1</v>
      </c>
      <c r="D2358" t="str">
        <f>检查点拆解!F2358</f>
        <v>D15.01.01</v>
      </c>
      <c r="E2358" s="2">
        <f>--(COUNTIFS($A$2:A2358,A2358,$D$2:D2358,D2358)=1)</f>
        <v>1</v>
      </c>
    </row>
    <row r="2359" spans="1:5">
      <c r="A2359" t="str">
        <f>检查点拆解!A2359</f>
        <v>Q0356</v>
      </c>
      <c r="B2359" t="str">
        <f>检查点拆解!D2359</f>
        <v>C18</v>
      </c>
      <c r="C2359" s="2">
        <f>--(COUNTIFS($A$2:A2359,A2359,$B$2:B2359,B2359)=1)</f>
        <v>1</v>
      </c>
      <c r="D2359" t="str">
        <f>检查点拆解!F2359</f>
        <v>D07.01.03</v>
      </c>
      <c r="E2359" s="2">
        <f>--(COUNTIFS($A$2:A2359,A2359,$D$2:D2359,D2359)=1)</f>
        <v>1</v>
      </c>
    </row>
    <row r="2360" spans="1:5">
      <c r="A2360" t="str">
        <f>检查点拆解!A2360</f>
        <v>Q0356</v>
      </c>
      <c r="B2360" t="str">
        <f>检查点拆解!D2360</f>
        <v>C25</v>
      </c>
      <c r="C2360" s="2">
        <f>--(COUNTIFS($A$2:A2360,A2360,$B$2:B2360,B2360)=1)</f>
        <v>1</v>
      </c>
      <c r="D2360" t="str">
        <f>检查点拆解!F2360</f>
        <v>D10.01.01</v>
      </c>
      <c r="E2360" s="2">
        <f>--(COUNTIFS($A$2:A2360,A2360,$D$2:D2360,D2360)=1)</f>
        <v>1</v>
      </c>
    </row>
    <row r="2361" spans="1:5">
      <c r="A2361" t="str">
        <f>检查点拆解!A2361</f>
        <v>Q0356</v>
      </c>
      <c r="B2361" t="str">
        <f>检查点拆解!D2361</f>
        <v>C06</v>
      </c>
      <c r="C2361" s="2">
        <f>--(COUNTIFS($A$2:A2361,A2361,$B$2:B2361,B2361)=1)</f>
        <v>1</v>
      </c>
      <c r="D2361" t="str">
        <f>检查点拆解!F2361</f>
        <v>D03.01.02</v>
      </c>
      <c r="E2361" s="2">
        <f>--(COUNTIFS($A$2:A2361,A2361,$D$2:D2361,D2361)=1)</f>
        <v>1</v>
      </c>
    </row>
    <row r="2362" spans="1:5">
      <c r="A2362" t="str">
        <f>检查点拆解!A2362</f>
        <v>Q0356</v>
      </c>
      <c r="B2362" t="str">
        <f>检查点拆解!D2362</f>
        <v>C28</v>
      </c>
      <c r="C2362" s="2">
        <f>--(COUNTIFS($A$2:A2362,A2362,$B$2:B2362,B2362)=1)</f>
        <v>1</v>
      </c>
      <c r="D2362" t="str">
        <f>检查点拆解!F2362</f>
        <v>D12.02.01</v>
      </c>
      <c r="E2362" s="2">
        <f>--(COUNTIFS($A$2:A2362,A2362,$D$2:D2362,D2362)=1)</f>
        <v>1</v>
      </c>
    </row>
    <row r="2363" spans="1:5">
      <c r="A2363" t="str">
        <f>检查点拆解!A2363</f>
        <v>Q0356</v>
      </c>
      <c r="B2363" t="str">
        <f>检查点拆解!D2363</f>
        <v>C26</v>
      </c>
      <c r="C2363" s="2">
        <f>--(COUNTIFS($A$2:A2363,A2363,$B$2:B2363,B2363)=1)</f>
        <v>1</v>
      </c>
      <c r="D2363" t="str">
        <f>检查点拆解!F2363</f>
        <v>D10.02.02</v>
      </c>
      <c r="E2363" s="2">
        <f>--(COUNTIFS($A$2:A2363,A2363,$D$2:D2363,D2363)=1)</f>
        <v>1</v>
      </c>
    </row>
    <row r="2364" spans="1:5">
      <c r="A2364" t="str">
        <f>检查点拆解!A2364</f>
        <v>Q0356</v>
      </c>
      <c r="B2364" t="str">
        <f>检查点拆解!D2364</f>
        <v>C26</v>
      </c>
      <c r="C2364" s="2">
        <f>--(COUNTIFS($A$2:A2364,A2364,$B$2:B2364,B2364)=1)</f>
        <v>0</v>
      </c>
      <c r="D2364" t="str">
        <f>检查点拆解!F2364</f>
        <v>D10.02.01</v>
      </c>
      <c r="E2364" s="2">
        <f>--(COUNTIFS($A$2:A2364,A2364,$D$2:D2364,D2364)=1)</f>
        <v>1</v>
      </c>
    </row>
    <row r="2365" spans="1:5">
      <c r="A2365" t="str">
        <f>检查点拆解!A2365</f>
        <v>Q0356</v>
      </c>
      <c r="B2365" t="str">
        <f>检查点拆解!D2365</f>
        <v>C06</v>
      </c>
      <c r="C2365" s="2">
        <f>--(COUNTIFS($A$2:A2365,A2365,$B$2:B2365,B2365)=1)</f>
        <v>0</v>
      </c>
      <c r="D2365" t="str">
        <f>检查点拆解!F2365</f>
        <v>D03.01.01</v>
      </c>
      <c r="E2365" s="2">
        <f>--(COUNTIFS($A$2:A2365,A2365,$D$2:D2365,D2365)=1)</f>
        <v>1</v>
      </c>
    </row>
    <row r="2366" spans="1:5">
      <c r="A2366" t="str">
        <f>检查点拆解!A2366</f>
        <v>Q0356</v>
      </c>
      <c r="B2366" t="str">
        <f>检查点拆解!D2366</f>
        <v>C28</v>
      </c>
      <c r="C2366" s="2">
        <f>--(COUNTIFS($A$2:A2366,A2366,$B$2:B2366,B2366)=1)</f>
        <v>0</v>
      </c>
      <c r="D2366" t="str">
        <f>检查点拆解!F2366</f>
        <v>D13.01.01</v>
      </c>
      <c r="E2366" s="2">
        <f>--(COUNTIFS($A$2:A2366,A2366,$D$2:D2366,D2366)=1)</f>
        <v>1</v>
      </c>
    </row>
    <row r="2367" spans="1:5">
      <c r="A2367" t="str">
        <f>检查点拆解!A2367</f>
        <v>Q0356</v>
      </c>
      <c r="B2367" t="str">
        <f>检查点拆解!D2367</f>
        <v>C03</v>
      </c>
      <c r="C2367" s="2">
        <f>--(COUNTIFS($A$2:A2367,A2367,$B$2:B2367,B2367)=1)</f>
        <v>1</v>
      </c>
      <c r="D2367" t="str">
        <f>检查点拆解!F2367</f>
        <v>D02.01.01</v>
      </c>
      <c r="E2367" s="2">
        <f>--(COUNTIFS($A$2:A2367,A2367,$D$2:D2367,D2367)=1)</f>
        <v>1</v>
      </c>
    </row>
    <row r="2368" spans="1:5">
      <c r="A2368" t="str">
        <f>检查点拆解!A2368</f>
        <v>Q0357</v>
      </c>
      <c r="B2368" t="str">
        <f>检查点拆解!D2368</f>
        <v>C11</v>
      </c>
      <c r="C2368" s="2">
        <f>--(COUNTIFS($A$2:A2368,A2368,$B$2:B2368,B2368)=1)</f>
        <v>1</v>
      </c>
      <c r="D2368" t="str">
        <f>检查点拆解!F2368</f>
        <v>D04.03.02</v>
      </c>
      <c r="E2368" s="2">
        <f>--(COUNTIFS($A$2:A2368,A2368,$D$2:D2368,D2368)=1)</f>
        <v>1</v>
      </c>
    </row>
    <row r="2369" spans="1:5">
      <c r="A2369" t="str">
        <f>检查点拆解!A2369</f>
        <v>Q0357</v>
      </c>
      <c r="B2369" t="str">
        <f>检查点拆解!D2369</f>
        <v>C27</v>
      </c>
      <c r="C2369" s="2">
        <f>--(COUNTIFS($A$2:A2369,A2369,$B$2:B2369,B2369)=1)</f>
        <v>1</v>
      </c>
      <c r="D2369" t="str">
        <f>检查点拆解!F2369</f>
        <v>D11.02.02</v>
      </c>
      <c r="E2369" s="2">
        <f>--(COUNTIFS($A$2:A2369,A2369,$D$2:D2369,D2369)=1)</f>
        <v>1</v>
      </c>
    </row>
    <row r="2370" spans="1:5">
      <c r="A2370" t="str">
        <f>检查点拆解!A2370</f>
        <v>Q0357</v>
      </c>
      <c r="B2370" t="str">
        <f>检查点拆解!D2370</f>
        <v>C24</v>
      </c>
      <c r="C2370" s="2">
        <f>--(COUNTIFS($A$2:A2370,A2370,$B$2:B2370,B2370)=1)</f>
        <v>1</v>
      </c>
      <c r="D2370" t="str">
        <f>检查点拆解!F2370</f>
        <v>D09.03.02</v>
      </c>
      <c r="E2370" s="2">
        <f>--(COUNTIFS($A$2:A2370,A2370,$D$2:D2370,D2370)=1)</f>
        <v>1</v>
      </c>
    </row>
    <row r="2371" spans="1:5">
      <c r="A2371" t="str">
        <f>检查点拆解!A2371</f>
        <v>Q0357</v>
      </c>
      <c r="B2371" t="str">
        <f>检查点拆解!D2371</f>
        <v>C24</v>
      </c>
      <c r="C2371" s="2">
        <f>--(COUNTIFS($A$2:A2371,A2371,$B$2:B2371,B2371)=1)</f>
        <v>0</v>
      </c>
      <c r="D2371" t="str">
        <f>检查点拆解!F2371</f>
        <v>D09.03.03</v>
      </c>
      <c r="E2371" s="2">
        <f>--(COUNTIFS($A$2:A2371,A2371,$D$2:D2371,D2371)=1)</f>
        <v>1</v>
      </c>
    </row>
    <row r="2372" spans="1:5">
      <c r="A2372" t="str">
        <f>检查点拆解!A2372</f>
        <v>Q0357</v>
      </c>
      <c r="B2372" t="str">
        <f>检查点拆解!D2372</f>
        <v>C25</v>
      </c>
      <c r="C2372" s="2">
        <f>--(COUNTIFS($A$2:A2372,A2372,$B$2:B2372,B2372)=1)</f>
        <v>1</v>
      </c>
      <c r="D2372" t="str">
        <f>检查点拆解!F2372</f>
        <v>D10.01.01</v>
      </c>
      <c r="E2372" s="2">
        <f>--(COUNTIFS($A$2:A2372,A2372,$D$2:D2372,D2372)=1)</f>
        <v>1</v>
      </c>
    </row>
    <row r="2373" spans="1:5">
      <c r="A2373" t="str">
        <f>检查点拆解!A2373</f>
        <v>Q0357</v>
      </c>
      <c r="B2373" t="str">
        <f>检查点拆解!D2373</f>
        <v>C08</v>
      </c>
      <c r="C2373" s="2">
        <f>--(COUNTIFS($A$2:A2373,A2373,$B$2:B2373,B2373)=1)</f>
        <v>1</v>
      </c>
      <c r="D2373" t="str">
        <f>检查点拆解!F2373</f>
        <v>D04.01.03</v>
      </c>
      <c r="E2373" s="2">
        <f>--(COUNTIFS($A$2:A2373,A2373,$D$2:D2373,D2373)=1)</f>
        <v>1</v>
      </c>
    </row>
    <row r="2374" spans="1:5">
      <c r="A2374" t="str">
        <f>检查点拆解!A2374</f>
        <v>Q0357</v>
      </c>
      <c r="B2374" t="str">
        <f>检查点拆解!D2374</f>
        <v>C28</v>
      </c>
      <c r="C2374" s="2">
        <f>--(COUNTIFS($A$2:A2374,A2374,$B$2:B2374,B2374)=1)</f>
        <v>1</v>
      </c>
      <c r="D2374" t="str">
        <f>检查点拆解!F2374</f>
        <v>D12.02.01</v>
      </c>
      <c r="E2374" s="2">
        <f>--(COUNTIFS($A$2:A2374,A2374,$D$2:D2374,D2374)=1)</f>
        <v>1</v>
      </c>
    </row>
    <row r="2375" spans="1:5">
      <c r="A2375" t="str">
        <f>检查点拆解!A2375</f>
        <v>Q0357</v>
      </c>
      <c r="B2375" t="str">
        <f>检查点拆解!D2375</f>
        <v>C26</v>
      </c>
      <c r="C2375" s="2">
        <f>--(COUNTIFS($A$2:A2375,A2375,$B$2:B2375,B2375)=1)</f>
        <v>1</v>
      </c>
      <c r="D2375" t="str">
        <f>检查点拆解!F2375</f>
        <v>D10.02.01</v>
      </c>
      <c r="E2375" s="2">
        <f>--(COUNTIFS($A$2:A2375,A2375,$D$2:D2375,D2375)=1)</f>
        <v>1</v>
      </c>
    </row>
    <row r="2376" spans="1:5">
      <c r="A2376" t="str">
        <f>检查点拆解!A2376</f>
        <v>Q0357</v>
      </c>
      <c r="B2376" t="str">
        <f>检查点拆解!D2376</f>
        <v>C28</v>
      </c>
      <c r="C2376" s="2">
        <f>--(COUNTIFS($A$2:A2376,A2376,$B$2:B2376,B2376)=1)</f>
        <v>0</v>
      </c>
      <c r="D2376" t="str">
        <f>检查点拆解!F2376</f>
        <v>D12.01.02</v>
      </c>
      <c r="E2376" s="2">
        <f>--(COUNTIFS($A$2:A2376,A2376,$D$2:D2376,D2376)=1)</f>
        <v>1</v>
      </c>
    </row>
    <row r="2377" spans="1:5">
      <c r="A2377" t="str">
        <f>检查点拆解!A2377</f>
        <v>Q0357</v>
      </c>
      <c r="B2377" t="str">
        <f>检查点拆解!D2377</f>
        <v>C28</v>
      </c>
      <c r="C2377" s="2">
        <f>--(COUNTIFS($A$2:A2377,A2377,$B$2:B2377,B2377)=1)</f>
        <v>0</v>
      </c>
      <c r="D2377" t="str">
        <f>检查点拆解!F2377</f>
        <v>D13.01.01</v>
      </c>
      <c r="E2377" s="2">
        <f>--(COUNTIFS($A$2:A2377,A2377,$D$2:D2377,D2377)=1)</f>
        <v>1</v>
      </c>
    </row>
    <row r="2378" spans="1:5">
      <c r="A2378" t="str">
        <f>检查点拆解!A2378</f>
        <v>Q0358</v>
      </c>
      <c r="B2378" t="str">
        <f>检查点拆解!D2378</f>
        <v>C01</v>
      </c>
      <c r="C2378" s="2">
        <f>--(COUNTIFS($A$2:A2378,A2378,$B$2:B2378,B2378)=1)</f>
        <v>1</v>
      </c>
      <c r="D2378" t="str">
        <f>检查点拆解!F2378</f>
        <v>D01.01.01</v>
      </c>
      <c r="E2378" s="2">
        <f>--(COUNTIFS($A$2:A2378,A2378,$D$2:D2378,D2378)=1)</f>
        <v>1</v>
      </c>
    </row>
    <row r="2379" spans="1:5">
      <c r="A2379" t="str">
        <f>检查点拆解!A2379</f>
        <v>Q0358</v>
      </c>
      <c r="B2379" t="str">
        <f>检查点拆解!D2379</f>
        <v>C02</v>
      </c>
      <c r="C2379" s="2">
        <f>--(COUNTIFS($A$2:A2379,A2379,$B$2:B2379,B2379)=1)</f>
        <v>1</v>
      </c>
      <c r="D2379" t="str">
        <f>检查点拆解!F2379</f>
        <v>D01.02.03</v>
      </c>
      <c r="E2379" s="2">
        <f>--(COUNTIFS($A$2:A2379,A2379,$D$2:D2379,D2379)=1)</f>
        <v>1</v>
      </c>
    </row>
    <row r="2380" spans="1:5">
      <c r="A2380" t="str">
        <f>检查点拆解!A2380</f>
        <v>Q0359</v>
      </c>
      <c r="B2380" t="str">
        <f>检查点拆解!D2380</f>
        <v>C11</v>
      </c>
      <c r="C2380" s="2">
        <f>--(COUNTIFS($A$2:A2380,A2380,$B$2:B2380,B2380)=1)</f>
        <v>1</v>
      </c>
      <c r="D2380" t="str">
        <f>检查点拆解!F2380</f>
        <v>D04.03.02</v>
      </c>
      <c r="E2380" s="2">
        <f>--(COUNTIFS($A$2:A2380,A2380,$D$2:D2380,D2380)=1)</f>
        <v>1</v>
      </c>
    </row>
    <row r="2381" spans="1:5">
      <c r="A2381" t="str">
        <f>检查点拆解!A2381</f>
        <v>Q0359</v>
      </c>
      <c r="B2381" t="str">
        <f>检查点拆解!D2381</f>
        <v>C27</v>
      </c>
      <c r="C2381" s="2">
        <f>--(COUNTIFS($A$2:A2381,A2381,$B$2:B2381,B2381)=1)</f>
        <v>1</v>
      </c>
      <c r="D2381" t="str">
        <f>检查点拆解!F2381</f>
        <v>D11.02.03</v>
      </c>
      <c r="E2381" s="2">
        <f>--(COUNTIFS($A$2:A2381,A2381,$D$2:D2381,D2381)=1)</f>
        <v>1</v>
      </c>
    </row>
    <row r="2382" spans="1:5">
      <c r="A2382" t="str">
        <f>检查点拆解!A2382</f>
        <v>Q0359</v>
      </c>
      <c r="B2382" t="str">
        <f>检查点拆解!D2382</f>
        <v>C14</v>
      </c>
      <c r="C2382" s="2">
        <f>--(COUNTIFS($A$2:A2382,A2382,$B$2:B2382,B2382)=1)</f>
        <v>1</v>
      </c>
      <c r="D2382" t="str">
        <f>检查点拆解!F2382</f>
        <v>D05.01.03</v>
      </c>
      <c r="E2382" s="2">
        <f>--(COUNTIFS($A$2:A2382,A2382,$D$2:D2382,D2382)=1)</f>
        <v>1</v>
      </c>
    </row>
    <row r="2383" spans="1:5">
      <c r="A2383" t="str">
        <f>检查点拆解!A2383</f>
        <v>Q0359</v>
      </c>
      <c r="B2383" t="str">
        <f>检查点拆解!D2383</f>
        <v>C26</v>
      </c>
      <c r="C2383" s="2">
        <f>--(COUNTIFS($A$2:A2383,A2383,$B$2:B2383,B2383)=1)</f>
        <v>1</v>
      </c>
      <c r="D2383" t="str">
        <f>检查点拆解!F2383</f>
        <v>D10.02.01</v>
      </c>
      <c r="E2383" s="2">
        <f>--(COUNTIFS($A$2:A2383,A2383,$D$2:D2383,D2383)=1)</f>
        <v>1</v>
      </c>
    </row>
    <row r="2384" spans="1:5">
      <c r="A2384" t="str">
        <f>检查点拆解!A2384</f>
        <v>Q0359</v>
      </c>
      <c r="B2384" t="str">
        <f>检查点拆解!D2384</f>
        <v>C28</v>
      </c>
      <c r="C2384" s="2">
        <f>--(COUNTIFS($A$2:A2384,A2384,$B$2:B2384,B2384)=1)</f>
        <v>1</v>
      </c>
      <c r="D2384" t="str">
        <f>检查点拆解!F2384</f>
        <v>D13.01.01</v>
      </c>
      <c r="E2384" s="2">
        <f>--(COUNTIFS($A$2:A2384,A2384,$D$2:D2384,D2384)=1)</f>
        <v>1</v>
      </c>
    </row>
    <row r="2385" spans="1:5">
      <c r="A2385" t="str">
        <f>检查点拆解!A2385</f>
        <v>Q0360</v>
      </c>
      <c r="B2385" t="str">
        <f>检查点拆解!D2385</f>
        <v>C11</v>
      </c>
      <c r="C2385" s="2">
        <f>--(COUNTIFS($A$2:A2385,A2385,$B$2:B2385,B2385)=1)</f>
        <v>1</v>
      </c>
      <c r="D2385" t="str">
        <f>检查点拆解!F2385</f>
        <v>D04.03.02</v>
      </c>
      <c r="E2385" s="2">
        <f>--(COUNTIFS($A$2:A2385,A2385,$D$2:D2385,D2385)=1)</f>
        <v>1</v>
      </c>
    </row>
    <row r="2386" spans="1:5">
      <c r="A2386" t="str">
        <f>检查点拆解!A2386</f>
        <v>Q0360</v>
      </c>
      <c r="B2386" t="str">
        <f>检查点拆解!D2386</f>
        <v>C17</v>
      </c>
      <c r="C2386" s="2">
        <f>--(COUNTIFS($A$2:A2386,A2386,$B$2:B2386,B2386)=1)</f>
        <v>1</v>
      </c>
      <c r="D2386" t="str">
        <f>检查点拆解!F2386</f>
        <v>D06.03.01</v>
      </c>
      <c r="E2386" s="2">
        <f>--(COUNTIFS($A$2:A2386,A2386,$D$2:D2386,D2386)=1)</f>
        <v>1</v>
      </c>
    </row>
    <row r="2387" spans="1:5">
      <c r="A2387" t="str">
        <f>检查点拆解!A2387</f>
        <v>Q0360</v>
      </c>
      <c r="B2387" t="str">
        <f>检查点拆解!D2387</f>
        <v>C24</v>
      </c>
      <c r="C2387" s="2">
        <f>--(COUNTIFS($A$2:A2387,A2387,$B$2:B2387,B2387)=1)</f>
        <v>1</v>
      </c>
      <c r="D2387" t="str">
        <f>检查点拆解!F2387</f>
        <v>D09.03.03</v>
      </c>
      <c r="E2387" s="2">
        <f>--(COUNTIFS($A$2:A2387,A2387,$D$2:D2387,D2387)=1)</f>
        <v>1</v>
      </c>
    </row>
    <row r="2388" spans="1:5">
      <c r="A2388" t="str">
        <f>检查点拆解!A2388</f>
        <v>Q0360</v>
      </c>
      <c r="B2388" t="str">
        <f>检查点拆解!D2388</f>
        <v>C24</v>
      </c>
      <c r="C2388" s="2">
        <f>--(COUNTIFS($A$2:A2388,A2388,$B$2:B2388,B2388)=1)</f>
        <v>0</v>
      </c>
      <c r="D2388" t="str">
        <f>检查点拆解!F2388</f>
        <v>D09.02.03</v>
      </c>
      <c r="E2388" s="2">
        <f>--(COUNTIFS($A$2:A2388,A2388,$D$2:D2388,D2388)=1)</f>
        <v>1</v>
      </c>
    </row>
    <row r="2389" spans="1:5">
      <c r="A2389" t="str">
        <f>检查点拆解!A2389</f>
        <v>Q0360</v>
      </c>
      <c r="B2389" t="str">
        <f>检查点拆解!D2389</f>
        <v>C15</v>
      </c>
      <c r="C2389" s="2">
        <f>--(COUNTIFS($A$2:A2389,A2389,$B$2:B2389,B2389)=1)</f>
        <v>1</v>
      </c>
      <c r="D2389" t="str">
        <f>检查点拆解!F2389</f>
        <v>D05.02.02</v>
      </c>
      <c r="E2389" s="2">
        <f>--(COUNTIFS($A$2:A2389,A2389,$D$2:D2389,D2389)=1)</f>
        <v>1</v>
      </c>
    </row>
    <row r="2390" spans="1:5">
      <c r="A2390" t="str">
        <f>检查点拆解!A2390</f>
        <v>Q0360</v>
      </c>
      <c r="B2390" t="str">
        <f>检查点拆解!D2390</f>
        <v>C25</v>
      </c>
      <c r="C2390" s="2">
        <f>--(COUNTIFS($A$2:A2390,A2390,$B$2:B2390,B2390)=1)</f>
        <v>1</v>
      </c>
      <c r="D2390" t="str">
        <f>检查点拆解!F2390</f>
        <v>D10.01.01</v>
      </c>
      <c r="E2390" s="2">
        <f>--(COUNTIFS($A$2:A2390,A2390,$D$2:D2390,D2390)=1)</f>
        <v>1</v>
      </c>
    </row>
    <row r="2391" spans="1:5">
      <c r="A2391" t="str">
        <f>检查点拆解!A2391</f>
        <v>Q0360</v>
      </c>
      <c r="B2391" t="str">
        <f>检查点拆解!D2391</f>
        <v>C25</v>
      </c>
      <c r="C2391" s="2">
        <f>--(COUNTIFS($A$2:A2391,A2391,$B$2:B2391,B2391)=1)</f>
        <v>0</v>
      </c>
      <c r="D2391" t="str">
        <f>检查点拆解!F2391</f>
        <v>D10.01.04</v>
      </c>
      <c r="E2391" s="2">
        <f>--(COUNTIFS($A$2:A2391,A2391,$D$2:D2391,D2391)=1)</f>
        <v>1</v>
      </c>
    </row>
    <row r="2392" spans="1:5">
      <c r="A2392" t="str">
        <f>检查点拆解!A2392</f>
        <v>Q0360</v>
      </c>
      <c r="B2392" t="str">
        <f>检查点拆解!D2392</f>
        <v>C28</v>
      </c>
      <c r="C2392" s="2">
        <f>--(COUNTIFS($A$2:A2392,A2392,$B$2:B2392,B2392)=1)</f>
        <v>1</v>
      </c>
      <c r="D2392" t="str">
        <f>检查点拆解!F2392</f>
        <v>D12.02.01</v>
      </c>
      <c r="E2392" s="2">
        <f>--(COUNTIFS($A$2:A2392,A2392,$D$2:D2392,D2392)=1)</f>
        <v>1</v>
      </c>
    </row>
    <row r="2393" spans="1:5">
      <c r="A2393" t="str">
        <f>检查点拆解!A2393</f>
        <v>Q0360</v>
      </c>
      <c r="B2393" t="str">
        <f>检查点拆解!D2393</f>
        <v>C26</v>
      </c>
      <c r="C2393" s="2">
        <f>--(COUNTIFS($A$2:A2393,A2393,$B$2:B2393,B2393)=1)</f>
        <v>1</v>
      </c>
      <c r="D2393" t="str">
        <f>检查点拆解!F2393</f>
        <v>D10.02.01</v>
      </c>
      <c r="E2393" s="2">
        <f>--(COUNTIFS($A$2:A2393,A2393,$D$2:D2393,D2393)=1)</f>
        <v>1</v>
      </c>
    </row>
    <row r="2394" spans="1:5">
      <c r="A2394" t="str">
        <f>检查点拆解!A2394</f>
        <v>Q0360</v>
      </c>
      <c r="B2394" t="str">
        <f>检查点拆解!D2394</f>
        <v>C04</v>
      </c>
      <c r="C2394" s="2">
        <f>--(COUNTIFS($A$2:A2394,A2394,$B$2:B2394,B2394)=1)</f>
        <v>1</v>
      </c>
      <c r="D2394" t="str">
        <f>检查点拆解!F2394</f>
        <v>D02.02.03</v>
      </c>
      <c r="E2394" s="2">
        <f>--(COUNTIFS($A$2:A2394,A2394,$D$2:D2394,D2394)=1)</f>
        <v>1</v>
      </c>
    </row>
    <row r="2395" spans="1:5">
      <c r="A2395" t="str">
        <f>检查点拆解!A2395</f>
        <v>Q0360</v>
      </c>
      <c r="B2395" t="str">
        <f>检查点拆解!D2395</f>
        <v>C05</v>
      </c>
      <c r="C2395" s="2">
        <f>--(COUNTIFS($A$2:A2395,A2395,$B$2:B2395,B2395)=1)</f>
        <v>1</v>
      </c>
      <c r="D2395" t="str">
        <f>检查点拆解!F2395</f>
        <v>D02.03.01</v>
      </c>
      <c r="E2395" s="2">
        <f>--(COUNTIFS($A$2:A2395,A2395,$D$2:D2395,D2395)=1)</f>
        <v>1</v>
      </c>
    </row>
    <row r="2396" spans="1:5">
      <c r="A2396" t="str">
        <f>检查点拆解!A2396</f>
        <v>Q0361</v>
      </c>
      <c r="B2396" t="str">
        <f>检查点拆解!D2396</f>
        <v>C29</v>
      </c>
      <c r="C2396" s="2">
        <f>--(COUNTIFS($A$2:A2396,A2396,$B$2:B2396,B2396)=1)</f>
        <v>1</v>
      </c>
      <c r="D2396" t="str">
        <f>检查点拆解!F2396</f>
        <v>D14.01.02</v>
      </c>
      <c r="E2396" s="2">
        <f>--(COUNTIFS($A$2:A2396,A2396,$D$2:D2396,D2396)=1)</f>
        <v>1</v>
      </c>
    </row>
    <row r="2397" spans="1:5">
      <c r="A2397" t="str">
        <f>检查点拆解!A2397</f>
        <v>Q0361</v>
      </c>
      <c r="B2397" t="str">
        <f>检查点拆解!D2397</f>
        <v>C19</v>
      </c>
      <c r="C2397" s="2">
        <f>--(COUNTIFS($A$2:A2397,A2397,$B$2:B2397,B2397)=1)</f>
        <v>1</v>
      </c>
      <c r="D2397" t="str">
        <f>检查点拆解!F2397</f>
        <v>D07.02.02</v>
      </c>
      <c r="E2397" s="2">
        <f>--(COUNTIFS($A$2:A2397,A2397,$D$2:D2397,D2397)=1)</f>
        <v>1</v>
      </c>
    </row>
    <row r="2398" spans="1:5">
      <c r="A2398" t="str">
        <f>检查点拆解!A2398</f>
        <v>Q0361</v>
      </c>
      <c r="B2398" t="str">
        <f>检查点拆解!D2398</f>
        <v>C27</v>
      </c>
      <c r="C2398" s="2">
        <f>--(COUNTIFS($A$2:A2398,A2398,$B$2:B2398,B2398)=1)</f>
        <v>1</v>
      </c>
      <c r="D2398" t="str">
        <f>检查点拆解!F2398</f>
        <v>D11.01.02</v>
      </c>
      <c r="E2398" s="2">
        <f>--(COUNTIFS($A$2:A2398,A2398,$D$2:D2398,D2398)=1)</f>
        <v>1</v>
      </c>
    </row>
    <row r="2399" spans="1:5">
      <c r="A2399" t="str">
        <f>检查点拆解!A2399</f>
        <v>Q0361</v>
      </c>
      <c r="B2399" t="str">
        <f>检查点拆解!D2399</f>
        <v>C25</v>
      </c>
      <c r="C2399" s="2">
        <f>--(COUNTIFS($A$2:A2399,A2399,$B$2:B2399,B2399)=1)</f>
        <v>1</v>
      </c>
      <c r="D2399" t="str">
        <f>检查点拆解!F2399</f>
        <v>D10.01.01</v>
      </c>
      <c r="E2399" s="2">
        <f>--(COUNTIFS($A$2:A2399,A2399,$D$2:D2399,D2399)=1)</f>
        <v>1</v>
      </c>
    </row>
    <row r="2400" spans="1:5">
      <c r="A2400" t="str">
        <f>检查点拆解!A2400</f>
        <v>Q0362</v>
      </c>
      <c r="B2400" t="str">
        <f>检查点拆解!D2400</f>
        <v>C27</v>
      </c>
      <c r="C2400" s="2">
        <f>--(COUNTIFS($A$2:A2400,A2400,$B$2:B2400,B2400)=1)</f>
        <v>1</v>
      </c>
      <c r="D2400" t="str">
        <f>检查点拆解!F2400</f>
        <v>D11.02.01</v>
      </c>
      <c r="E2400" s="2">
        <f>--(COUNTIFS($A$2:A2400,A2400,$D$2:D2400,D2400)=1)</f>
        <v>1</v>
      </c>
    </row>
    <row r="2401" spans="1:5">
      <c r="A2401" t="str">
        <f>检查点拆解!A2401</f>
        <v>Q0362</v>
      </c>
      <c r="B2401" t="str">
        <f>检查点拆解!D2401</f>
        <v>C09</v>
      </c>
      <c r="C2401" s="2">
        <f>--(COUNTIFS($A$2:A2401,A2401,$B$2:B2401,B2401)=1)</f>
        <v>1</v>
      </c>
      <c r="D2401" t="str">
        <f>检查点拆解!F2401</f>
        <v>D04.02.02</v>
      </c>
      <c r="E2401" s="2">
        <f>--(COUNTIFS($A$2:A2401,A2401,$D$2:D2401,D2401)=1)</f>
        <v>1</v>
      </c>
    </row>
    <row r="2402" spans="1:5">
      <c r="A2402" t="str">
        <f>检查点拆解!A2402</f>
        <v>Q0362</v>
      </c>
      <c r="B2402" t="str">
        <f>检查点拆解!D2402</f>
        <v>C28</v>
      </c>
      <c r="C2402" s="2">
        <f>--(COUNTIFS($A$2:A2402,A2402,$B$2:B2402,B2402)=1)</f>
        <v>1</v>
      </c>
      <c r="D2402" t="str">
        <f>检查点拆解!F2402</f>
        <v>D12.01.01</v>
      </c>
      <c r="E2402" s="2">
        <f>--(COUNTIFS($A$2:A2402,A2402,$D$2:D2402,D2402)=1)</f>
        <v>1</v>
      </c>
    </row>
    <row r="2403" spans="1:5">
      <c r="A2403" t="str">
        <f>检查点拆解!A2403</f>
        <v>Q0362</v>
      </c>
      <c r="B2403" t="str">
        <f>检查点拆解!D2403</f>
        <v>C14</v>
      </c>
      <c r="C2403" s="2">
        <f>--(COUNTIFS($A$2:A2403,A2403,$B$2:B2403,B2403)=1)</f>
        <v>1</v>
      </c>
      <c r="D2403" t="str">
        <f>检查点拆解!F2403</f>
        <v>D05.01.01</v>
      </c>
      <c r="E2403" s="2">
        <f>--(COUNTIFS($A$2:A2403,A2403,$D$2:D2403,D2403)=1)</f>
        <v>1</v>
      </c>
    </row>
    <row r="2404" spans="1:5">
      <c r="A2404" t="str">
        <f>检查点拆解!A2404</f>
        <v>Q0362</v>
      </c>
      <c r="B2404" t="str">
        <f>检查点拆解!D2404</f>
        <v>C03</v>
      </c>
      <c r="C2404" s="2">
        <f>--(COUNTIFS($A$2:A2404,A2404,$B$2:B2404,B2404)=1)</f>
        <v>1</v>
      </c>
      <c r="D2404" t="str">
        <f>检查点拆解!F2404</f>
        <v>D02.01.01</v>
      </c>
      <c r="E2404" s="2">
        <f>--(COUNTIFS($A$2:A2404,A2404,$D$2:D2404,D2404)=1)</f>
        <v>1</v>
      </c>
    </row>
    <row r="2405" spans="1:5">
      <c r="A2405" t="str">
        <f>检查点拆解!A2405</f>
        <v>Q0362</v>
      </c>
      <c r="B2405" t="str">
        <f>检查点拆解!D2405</f>
        <v>C05</v>
      </c>
      <c r="C2405" s="2">
        <f>--(COUNTIFS($A$2:A2405,A2405,$B$2:B2405,B2405)=1)</f>
        <v>1</v>
      </c>
      <c r="D2405" t="str">
        <f>检查点拆解!F2405</f>
        <v>D02.03.02</v>
      </c>
      <c r="E2405" s="2">
        <f>--(COUNTIFS($A$2:A2405,A2405,$D$2:D2405,D2405)=1)</f>
        <v>1</v>
      </c>
    </row>
    <row r="2406" spans="1:5">
      <c r="A2406" t="str">
        <f>检查点拆解!A2406</f>
        <v>Q0362</v>
      </c>
      <c r="B2406" t="str">
        <f>检查点拆解!D2406</f>
        <v>C08</v>
      </c>
      <c r="C2406" s="2">
        <f>--(COUNTIFS($A$2:A2406,A2406,$B$2:B2406,B2406)=1)</f>
        <v>1</v>
      </c>
      <c r="D2406" t="str">
        <f>检查点拆解!F2406</f>
        <v>D03.03.01</v>
      </c>
      <c r="E2406" s="2">
        <f>--(COUNTIFS($A$2:A2406,A2406,$D$2:D2406,D2406)=1)</f>
        <v>1</v>
      </c>
    </row>
    <row r="2407" spans="1:5">
      <c r="A2407" t="str">
        <f>检查点拆解!A2407</f>
        <v>Q0363</v>
      </c>
      <c r="B2407" t="str">
        <f>检查点拆解!D2407</f>
        <v>C10</v>
      </c>
      <c r="C2407" s="2">
        <f>--(COUNTIFS($A$2:A2407,A2407,$B$2:B2407,B2407)=1)</f>
        <v>1</v>
      </c>
      <c r="D2407" t="str">
        <f>检查点拆解!F2407</f>
        <v>D04.03.01</v>
      </c>
      <c r="E2407" s="2">
        <f>--(COUNTIFS($A$2:A2407,A2407,$D$2:D2407,D2407)=1)</f>
        <v>1</v>
      </c>
    </row>
    <row r="2408" spans="1:5">
      <c r="A2408" t="str">
        <f>检查点拆解!A2408</f>
        <v>Q0363</v>
      </c>
      <c r="B2408" t="str">
        <f>检查点拆解!D2408</f>
        <v>C15</v>
      </c>
      <c r="C2408" s="2">
        <f>--(COUNTIFS($A$2:A2408,A2408,$B$2:B2408,B2408)=1)</f>
        <v>1</v>
      </c>
      <c r="D2408" t="str">
        <f>检查点拆解!F2408</f>
        <v>D05.02.03</v>
      </c>
      <c r="E2408" s="2">
        <f>--(COUNTIFS($A$2:A2408,A2408,$D$2:D2408,D2408)=1)</f>
        <v>1</v>
      </c>
    </row>
    <row r="2409" spans="1:5">
      <c r="A2409" t="str">
        <f>检查点拆解!A2409</f>
        <v>Q0363</v>
      </c>
      <c r="B2409" t="str">
        <f>检查点拆解!D2409</f>
        <v>C24</v>
      </c>
      <c r="C2409" s="2">
        <f>--(COUNTIFS($A$2:A2409,A2409,$B$2:B2409,B2409)=1)</f>
        <v>1</v>
      </c>
      <c r="D2409" t="str">
        <f>检查点拆解!F2409</f>
        <v>D09.03.03</v>
      </c>
      <c r="E2409" s="2">
        <f>--(COUNTIFS($A$2:A2409,A2409,$D$2:D2409,D2409)=1)</f>
        <v>1</v>
      </c>
    </row>
    <row r="2410" spans="1:5">
      <c r="A2410" t="str">
        <f>检查点拆解!A2410</f>
        <v>Q0363</v>
      </c>
      <c r="B2410" t="str">
        <f>检查点拆解!D2410</f>
        <v>C27</v>
      </c>
      <c r="C2410" s="2">
        <f>--(COUNTIFS($A$2:A2410,A2410,$B$2:B2410,B2410)=1)</f>
        <v>1</v>
      </c>
      <c r="D2410" t="str">
        <f>检查点拆解!F2410</f>
        <v>D11.01.01</v>
      </c>
      <c r="E2410" s="2">
        <f>--(COUNTIFS($A$2:A2410,A2410,$D$2:D2410,D2410)=1)</f>
        <v>1</v>
      </c>
    </row>
    <row r="2411" spans="1:5">
      <c r="A2411" t="str">
        <f>检查点拆解!A2411</f>
        <v>Q0363</v>
      </c>
      <c r="B2411" t="str">
        <f>检查点拆解!D2411</f>
        <v>C24</v>
      </c>
      <c r="C2411" s="2">
        <f>--(COUNTIFS($A$2:A2411,A2411,$B$2:B2411,B2411)=1)</f>
        <v>0</v>
      </c>
      <c r="D2411" t="str">
        <f>检查点拆解!F2411</f>
        <v>D09.02.03</v>
      </c>
      <c r="E2411" s="2">
        <f>--(COUNTIFS($A$2:A2411,A2411,$D$2:D2411,D2411)=1)</f>
        <v>1</v>
      </c>
    </row>
    <row r="2412" spans="1:5">
      <c r="A2412" t="str">
        <f>检查点拆解!A2412</f>
        <v>Q0363</v>
      </c>
      <c r="B2412" t="str">
        <f>检查点拆解!D2412</f>
        <v>C25</v>
      </c>
      <c r="C2412" s="2">
        <f>--(COUNTIFS($A$2:A2412,A2412,$B$2:B2412,B2412)=1)</f>
        <v>1</v>
      </c>
      <c r="D2412" t="str">
        <f>检查点拆解!F2412</f>
        <v>D10.01.01</v>
      </c>
      <c r="E2412" s="2">
        <f>--(COUNTIFS($A$2:A2412,A2412,$D$2:D2412,D2412)=1)</f>
        <v>1</v>
      </c>
    </row>
    <row r="2413" spans="1:5">
      <c r="A2413" t="str">
        <f>检查点拆解!A2413</f>
        <v>Q0363</v>
      </c>
      <c r="B2413" t="str">
        <f>检查点拆解!D2413</f>
        <v>C26</v>
      </c>
      <c r="C2413" s="2">
        <f>--(COUNTIFS($A$2:A2413,A2413,$B$2:B2413,B2413)=1)</f>
        <v>1</v>
      </c>
      <c r="D2413" t="str">
        <f>检查点拆解!F2413</f>
        <v>D10.02.01</v>
      </c>
      <c r="E2413" s="2">
        <f>--(COUNTIFS($A$2:A2413,A2413,$D$2:D2413,D2413)=1)</f>
        <v>1</v>
      </c>
    </row>
    <row r="2414" spans="1:5">
      <c r="A2414" t="str">
        <f>检查点拆解!A2414</f>
        <v>Q0363</v>
      </c>
      <c r="B2414" t="str">
        <f>检查点拆解!D2414</f>
        <v>C09</v>
      </c>
      <c r="C2414" s="2">
        <f>--(COUNTIFS($A$2:A2414,A2414,$B$2:B2414,B2414)=1)</f>
        <v>1</v>
      </c>
      <c r="D2414" t="str">
        <f>检查点拆解!F2414</f>
        <v>D04.02.01</v>
      </c>
      <c r="E2414" s="2">
        <f>--(COUNTIFS($A$2:A2414,A2414,$D$2:D2414,D2414)=1)</f>
        <v>1</v>
      </c>
    </row>
    <row r="2415" spans="1:5">
      <c r="A2415" t="str">
        <f>检查点拆解!A2415</f>
        <v>Q0363</v>
      </c>
      <c r="B2415" t="str">
        <f>检查点拆解!D2415</f>
        <v>C08</v>
      </c>
      <c r="C2415" s="2">
        <f>--(COUNTIFS($A$2:A2415,A2415,$B$2:B2415,B2415)=1)</f>
        <v>1</v>
      </c>
      <c r="D2415" t="str">
        <f>检查点拆解!F2415</f>
        <v>D04.01.01</v>
      </c>
      <c r="E2415" s="2">
        <f>--(COUNTIFS($A$2:A2415,A2415,$D$2:D2415,D2415)=1)</f>
        <v>1</v>
      </c>
    </row>
    <row r="2416" spans="1:5">
      <c r="A2416" t="str">
        <f>检查点拆解!A2416</f>
        <v>Q0363</v>
      </c>
      <c r="B2416" t="str">
        <f>检查点拆解!D2416</f>
        <v>C14</v>
      </c>
      <c r="C2416" s="2">
        <f>--(COUNTIFS($A$2:A2416,A2416,$B$2:B2416,B2416)=1)</f>
        <v>1</v>
      </c>
      <c r="D2416" t="str">
        <f>检查点拆解!F2416</f>
        <v>D05.01.01</v>
      </c>
      <c r="E2416" s="2">
        <f>--(COUNTIFS($A$2:A2416,A2416,$D$2:D2416,D2416)=1)</f>
        <v>1</v>
      </c>
    </row>
    <row r="2417" spans="1:5">
      <c r="A2417" t="str">
        <f>检查点拆解!A2417</f>
        <v>Q0364</v>
      </c>
      <c r="B2417" t="str">
        <f>检查点拆解!D2417</f>
        <v>C11</v>
      </c>
      <c r="C2417" s="2">
        <f>--(COUNTIFS($A$2:A2417,A2417,$B$2:B2417,B2417)=1)</f>
        <v>1</v>
      </c>
      <c r="D2417" t="str">
        <f>检查点拆解!F2417</f>
        <v>D04.03.02</v>
      </c>
      <c r="E2417" s="2">
        <f>--(COUNTIFS($A$2:A2417,A2417,$D$2:D2417,D2417)=1)</f>
        <v>1</v>
      </c>
    </row>
    <row r="2418" spans="1:5">
      <c r="A2418" t="str">
        <f>检查点拆解!A2418</f>
        <v>Q0364</v>
      </c>
      <c r="B2418" t="str">
        <f>检查点拆解!D2418</f>
        <v>C19</v>
      </c>
      <c r="C2418" s="2">
        <f>--(COUNTIFS($A$2:A2418,A2418,$B$2:B2418,B2418)=1)</f>
        <v>1</v>
      </c>
      <c r="D2418" t="str">
        <f>检查点拆解!F2418</f>
        <v>D07.02.03</v>
      </c>
      <c r="E2418" s="2">
        <f>--(COUNTIFS($A$2:A2418,A2418,$D$2:D2418,D2418)=1)</f>
        <v>1</v>
      </c>
    </row>
    <row r="2419" spans="1:5">
      <c r="A2419" t="str">
        <f>检查点拆解!A2419</f>
        <v>Q0364</v>
      </c>
      <c r="B2419" t="str">
        <f>检查点拆解!D2419</f>
        <v>C27</v>
      </c>
      <c r="C2419" s="2">
        <f>--(COUNTIFS($A$2:A2419,A2419,$B$2:B2419,B2419)=1)</f>
        <v>1</v>
      </c>
      <c r="D2419" t="str">
        <f>检查点拆解!F2419</f>
        <v>D11.01.03</v>
      </c>
      <c r="E2419" s="2">
        <f>--(COUNTIFS($A$2:A2419,A2419,$D$2:D2419,D2419)=1)</f>
        <v>1</v>
      </c>
    </row>
    <row r="2420" spans="1:5">
      <c r="A2420" t="str">
        <f>检查点拆解!A2420</f>
        <v>Q0364</v>
      </c>
      <c r="B2420" t="str">
        <f>检查点拆解!D2420</f>
        <v>C25</v>
      </c>
      <c r="C2420" s="2">
        <f>--(COUNTIFS($A$2:A2420,A2420,$B$2:B2420,B2420)=1)</f>
        <v>1</v>
      </c>
      <c r="D2420" t="str">
        <f>检查点拆解!F2420</f>
        <v>D10.01.01</v>
      </c>
      <c r="E2420" s="2">
        <f>--(COUNTIFS($A$2:A2420,A2420,$D$2:D2420,D2420)=1)</f>
        <v>1</v>
      </c>
    </row>
    <row r="2421" spans="1:5">
      <c r="A2421" t="str">
        <f>检查点拆解!A2421</f>
        <v>Q0364</v>
      </c>
      <c r="B2421" t="str">
        <f>检查点拆解!D2421</f>
        <v>C28</v>
      </c>
      <c r="C2421" s="2">
        <f>--(COUNTIFS($A$2:A2421,A2421,$B$2:B2421,B2421)=1)</f>
        <v>1</v>
      </c>
      <c r="D2421" t="str">
        <f>检查点拆解!F2421</f>
        <v>D13.02.02</v>
      </c>
      <c r="E2421" s="2">
        <f>--(COUNTIFS($A$2:A2421,A2421,$D$2:D2421,D2421)=1)</f>
        <v>1</v>
      </c>
    </row>
    <row r="2422" spans="1:5">
      <c r="A2422" t="str">
        <f>检查点拆解!A2422</f>
        <v>Q0364</v>
      </c>
      <c r="B2422" t="str">
        <f>检查点拆解!D2422</f>
        <v>C14</v>
      </c>
      <c r="C2422" s="2">
        <f>--(COUNTIFS($A$2:A2422,A2422,$B$2:B2422,B2422)=1)</f>
        <v>1</v>
      </c>
      <c r="D2422" t="str">
        <f>检查点拆解!F2422</f>
        <v>D05.01.03</v>
      </c>
      <c r="E2422" s="2">
        <f>--(COUNTIFS($A$2:A2422,A2422,$D$2:D2422,D2422)=1)</f>
        <v>1</v>
      </c>
    </row>
    <row r="2423" spans="1:5">
      <c r="A2423" t="str">
        <f>检查点拆解!A2423</f>
        <v>Q0364</v>
      </c>
      <c r="B2423" t="str">
        <f>检查点拆解!D2423</f>
        <v>C26</v>
      </c>
      <c r="C2423" s="2">
        <f>--(COUNTIFS($A$2:A2423,A2423,$B$2:B2423,B2423)=1)</f>
        <v>1</v>
      </c>
      <c r="D2423" t="str">
        <f>检查点拆解!F2423</f>
        <v>D10.02.01</v>
      </c>
      <c r="E2423" s="2">
        <f>--(COUNTIFS($A$2:A2423,A2423,$D$2:D2423,D2423)=1)</f>
        <v>1</v>
      </c>
    </row>
    <row r="2424" spans="1:5">
      <c r="A2424" t="str">
        <f>检查点拆解!A2424</f>
        <v>Q0364</v>
      </c>
      <c r="B2424" t="str">
        <f>检查点拆解!D2424</f>
        <v>C28</v>
      </c>
      <c r="C2424" s="2">
        <f>--(COUNTIFS($A$2:A2424,A2424,$B$2:B2424,B2424)=1)</f>
        <v>0</v>
      </c>
      <c r="D2424" t="str">
        <f>检查点拆解!F2424</f>
        <v>D12.01.01</v>
      </c>
      <c r="E2424" s="2">
        <f>--(COUNTIFS($A$2:A2424,A2424,$D$2:D2424,D2424)=1)</f>
        <v>1</v>
      </c>
    </row>
    <row r="2425" spans="1:5">
      <c r="A2425" t="str">
        <f>检查点拆解!A2425</f>
        <v>Q0365</v>
      </c>
      <c r="B2425" t="str">
        <f>检查点拆解!D2425</f>
        <v>C27</v>
      </c>
      <c r="C2425" s="2">
        <f>--(COUNTIFS($A$2:A2425,A2425,$B$2:B2425,B2425)=1)</f>
        <v>1</v>
      </c>
      <c r="D2425" t="str">
        <f>检查点拆解!F2425</f>
        <v>D11.02.03</v>
      </c>
      <c r="E2425" s="2">
        <f>--(COUNTIFS($A$2:A2425,A2425,$D$2:D2425,D2425)=1)</f>
        <v>1</v>
      </c>
    </row>
    <row r="2426" spans="1:5">
      <c r="A2426" t="str">
        <f>检查点拆解!A2426</f>
        <v>Q0365</v>
      </c>
      <c r="B2426" t="str">
        <f>检查点拆解!D2426</f>
        <v>C24</v>
      </c>
      <c r="C2426" s="2">
        <f>--(COUNTIFS($A$2:A2426,A2426,$B$2:B2426,B2426)=1)</f>
        <v>1</v>
      </c>
      <c r="D2426" t="str">
        <f>检查点拆解!F2426</f>
        <v>D09.02.03</v>
      </c>
      <c r="E2426" s="2">
        <f>--(COUNTIFS($A$2:A2426,A2426,$D$2:D2426,D2426)=1)</f>
        <v>1</v>
      </c>
    </row>
    <row r="2427" spans="1:5">
      <c r="A2427" t="str">
        <f>检查点拆解!A2427</f>
        <v>Q0365</v>
      </c>
      <c r="B2427" t="str">
        <f>检查点拆解!D2427</f>
        <v>C28</v>
      </c>
      <c r="C2427" s="2">
        <f>--(COUNTIFS($A$2:A2427,A2427,$B$2:B2427,B2427)=1)</f>
        <v>1</v>
      </c>
      <c r="D2427" t="str">
        <f>检查点拆解!F2427</f>
        <v>D12.01.01</v>
      </c>
      <c r="E2427" s="2">
        <f>--(COUNTIFS($A$2:A2427,A2427,$D$2:D2427,D2427)=1)</f>
        <v>1</v>
      </c>
    </row>
    <row r="2428" spans="1:5">
      <c r="A2428" t="str">
        <f>检查点拆解!A2428</f>
        <v>Q0365</v>
      </c>
      <c r="B2428" t="str">
        <f>检查点拆解!D2428</f>
        <v>C04</v>
      </c>
      <c r="C2428" s="2">
        <f>--(COUNTIFS($A$2:A2428,A2428,$B$2:B2428,B2428)=1)</f>
        <v>1</v>
      </c>
      <c r="D2428" t="str">
        <f>检查点拆解!F2428</f>
        <v>D02.02.03</v>
      </c>
      <c r="E2428" s="2">
        <f>--(COUNTIFS($A$2:A2428,A2428,$D$2:D2428,D2428)=1)</f>
        <v>1</v>
      </c>
    </row>
    <row r="2429" spans="1:5">
      <c r="A2429" t="str">
        <f>检查点拆解!A2429</f>
        <v>Q0365</v>
      </c>
      <c r="B2429" t="str">
        <f>检查点拆解!D2429</f>
        <v>C05</v>
      </c>
      <c r="C2429" s="2">
        <f>--(COUNTIFS($A$2:A2429,A2429,$B$2:B2429,B2429)=1)</f>
        <v>1</v>
      </c>
      <c r="D2429" t="str">
        <f>检查点拆解!F2429</f>
        <v>D02.03.02</v>
      </c>
      <c r="E2429" s="2">
        <f>--(COUNTIFS($A$2:A2429,A2429,$D$2:D2429,D2429)=1)</f>
        <v>1</v>
      </c>
    </row>
    <row r="2430" spans="1:5">
      <c r="A2430" t="str">
        <f>检查点拆解!A2430</f>
        <v>Q0366</v>
      </c>
      <c r="B2430" t="str">
        <f>检查点拆解!D2430</f>
        <v>C30</v>
      </c>
      <c r="C2430" s="2">
        <f>--(COUNTIFS($A$2:A2430,A2430,$B$2:B2430,B2430)=1)</f>
        <v>1</v>
      </c>
      <c r="D2430" t="str">
        <f>检查点拆解!F2430</f>
        <v>D15.02.01</v>
      </c>
      <c r="E2430" s="2">
        <f>--(COUNTIFS($A$2:A2430,A2430,$D$2:D2430,D2430)=1)</f>
        <v>1</v>
      </c>
    </row>
    <row r="2431" spans="1:5">
      <c r="A2431" t="str">
        <f>检查点拆解!A2431</f>
        <v>Q0366</v>
      </c>
      <c r="B2431" t="str">
        <f>检查点拆解!D2431</f>
        <v>C27</v>
      </c>
      <c r="C2431" s="2">
        <f>--(COUNTIFS($A$2:A2431,A2431,$B$2:B2431,B2431)=1)</f>
        <v>1</v>
      </c>
      <c r="D2431" t="str">
        <f>检查点拆解!F2431</f>
        <v>D11.01.02</v>
      </c>
      <c r="E2431" s="2">
        <f>--(COUNTIFS($A$2:A2431,A2431,$D$2:D2431,D2431)=1)</f>
        <v>1</v>
      </c>
    </row>
    <row r="2432" spans="1:5">
      <c r="A2432" t="str">
        <f>检查点拆解!A2432</f>
        <v>Q0366</v>
      </c>
      <c r="B2432" t="str">
        <f>检查点拆解!D2432</f>
        <v>C24</v>
      </c>
      <c r="C2432" s="2">
        <f>--(COUNTIFS($A$2:A2432,A2432,$B$2:B2432,B2432)=1)</f>
        <v>1</v>
      </c>
      <c r="D2432" t="str">
        <f>检查点拆解!F2432</f>
        <v>D09.03.03</v>
      </c>
      <c r="E2432" s="2">
        <f>--(COUNTIFS($A$2:A2432,A2432,$D$2:D2432,D2432)=1)</f>
        <v>1</v>
      </c>
    </row>
    <row r="2433" spans="1:5">
      <c r="A2433" t="str">
        <f>检查点拆解!A2433</f>
        <v>Q0366</v>
      </c>
      <c r="B2433" t="str">
        <f>检查点拆解!D2433</f>
        <v>C25</v>
      </c>
      <c r="C2433" s="2">
        <f>--(COUNTIFS($A$2:A2433,A2433,$B$2:B2433,B2433)=1)</f>
        <v>1</v>
      </c>
      <c r="D2433" t="str">
        <f>检查点拆解!F2433</f>
        <v>D10.01.01</v>
      </c>
      <c r="E2433" s="2">
        <f>--(COUNTIFS($A$2:A2433,A2433,$D$2:D2433,D2433)=1)</f>
        <v>1</v>
      </c>
    </row>
    <row r="2434" spans="1:5">
      <c r="A2434" t="str">
        <f>检查点拆解!A2434</f>
        <v>Q0366</v>
      </c>
      <c r="B2434" t="str">
        <f>检查点拆解!D2434</f>
        <v>C30</v>
      </c>
      <c r="C2434" s="2">
        <f>--(COUNTIFS($A$2:A2434,A2434,$B$2:B2434,B2434)=1)</f>
        <v>0</v>
      </c>
      <c r="D2434" t="str">
        <f>检查点拆解!F2434</f>
        <v>D15.01.04</v>
      </c>
      <c r="E2434" s="2">
        <f>--(COUNTIFS($A$2:A2434,A2434,$D$2:D2434,D2434)=1)</f>
        <v>1</v>
      </c>
    </row>
    <row r="2435" spans="1:5">
      <c r="A2435" t="str">
        <f>检查点拆解!A2435</f>
        <v>Q0366</v>
      </c>
      <c r="B2435" t="str">
        <f>检查点拆解!D2435</f>
        <v>C06</v>
      </c>
      <c r="C2435" s="2">
        <f>--(COUNTIFS($A$2:A2435,A2435,$B$2:B2435,B2435)=1)</f>
        <v>1</v>
      </c>
      <c r="D2435" t="str">
        <f>检查点拆解!F2435</f>
        <v>D03.01.02</v>
      </c>
      <c r="E2435" s="2">
        <f>--(COUNTIFS($A$2:A2435,A2435,$D$2:D2435,D2435)=1)</f>
        <v>1</v>
      </c>
    </row>
    <row r="2436" spans="1:5">
      <c r="A2436" t="str">
        <f>检查点拆解!A2436</f>
        <v>Q0366</v>
      </c>
      <c r="B2436" t="str">
        <f>检查点拆解!D2436</f>
        <v>C28</v>
      </c>
      <c r="C2436" s="2">
        <f>--(COUNTIFS($A$2:A2436,A2436,$B$2:B2436,B2436)=1)</f>
        <v>1</v>
      </c>
      <c r="D2436" t="str">
        <f>检查点拆解!F2436</f>
        <v>D12.02.01</v>
      </c>
      <c r="E2436" s="2">
        <f>--(COUNTIFS($A$2:A2436,A2436,$D$2:D2436,D2436)=1)</f>
        <v>1</v>
      </c>
    </row>
    <row r="2437" spans="1:5">
      <c r="A2437" t="str">
        <f>检查点拆解!A2437</f>
        <v>Q0366</v>
      </c>
      <c r="B2437" t="str">
        <f>检查点拆解!D2437</f>
        <v>C28</v>
      </c>
      <c r="C2437" s="2">
        <f>--(COUNTIFS($A$2:A2437,A2437,$B$2:B2437,B2437)=1)</f>
        <v>0</v>
      </c>
      <c r="D2437" t="str">
        <f>检查点拆解!F2437</f>
        <v>D13.02.02</v>
      </c>
      <c r="E2437" s="2">
        <f>--(COUNTIFS($A$2:A2437,A2437,$D$2:D2437,D2437)=1)</f>
        <v>1</v>
      </c>
    </row>
    <row r="2438" spans="1:5">
      <c r="A2438" t="str">
        <f>检查点拆解!A2438</f>
        <v>Q0367</v>
      </c>
      <c r="B2438" t="str">
        <f>检查点拆解!D2438</f>
        <v>C27</v>
      </c>
      <c r="C2438" s="2">
        <f>--(COUNTIFS($A$2:A2438,A2438,$B$2:B2438,B2438)=1)</f>
        <v>1</v>
      </c>
      <c r="D2438" t="str">
        <f>检查点拆解!F2438</f>
        <v>D11.02.01</v>
      </c>
      <c r="E2438" s="2">
        <f>--(COUNTIFS($A$2:A2438,A2438,$D$2:D2438,D2438)=1)</f>
        <v>1</v>
      </c>
    </row>
    <row r="2439" spans="1:5">
      <c r="A2439" t="str">
        <f>检查点拆解!A2439</f>
        <v>Q0367</v>
      </c>
      <c r="B2439" t="str">
        <f>检查点拆解!D2439</f>
        <v>C27</v>
      </c>
      <c r="C2439" s="2">
        <f>--(COUNTIFS($A$2:A2439,A2439,$B$2:B2439,B2439)=1)</f>
        <v>0</v>
      </c>
      <c r="D2439" t="str">
        <f>检查点拆解!F2439</f>
        <v>D11.01.02</v>
      </c>
      <c r="E2439" s="2">
        <f>--(COUNTIFS($A$2:A2439,A2439,$D$2:D2439,D2439)=1)</f>
        <v>1</v>
      </c>
    </row>
    <row r="2440" spans="1:5">
      <c r="A2440" t="str">
        <f>检查点拆解!A2440</f>
        <v>Q0367</v>
      </c>
      <c r="B2440" t="str">
        <f>检查点拆解!D2440</f>
        <v>C28</v>
      </c>
      <c r="C2440" s="2">
        <f>--(COUNTIFS($A$2:A2440,A2440,$B$2:B2440,B2440)=1)</f>
        <v>1</v>
      </c>
      <c r="D2440" t="str">
        <f>检查点拆解!F2440</f>
        <v>D12.02.02</v>
      </c>
      <c r="E2440" s="2">
        <f>--(COUNTIFS($A$2:A2440,A2440,$D$2:D2440,D2440)=1)</f>
        <v>1</v>
      </c>
    </row>
    <row r="2441" spans="1:5">
      <c r="A2441" t="str">
        <f>检查点拆解!A2441</f>
        <v>Q0367</v>
      </c>
      <c r="B2441" t="str">
        <f>检查点拆解!D2441</f>
        <v>C28</v>
      </c>
      <c r="C2441" s="2">
        <f>--(COUNTIFS($A$2:A2441,A2441,$B$2:B2441,B2441)=1)</f>
        <v>0</v>
      </c>
      <c r="D2441" t="str">
        <f>检查点拆解!F2441</f>
        <v>D12.01.02</v>
      </c>
      <c r="E2441" s="2">
        <f>--(COUNTIFS($A$2:A2441,A2441,$D$2:D2441,D2441)=1)</f>
        <v>1</v>
      </c>
    </row>
    <row r="2442" spans="1:5">
      <c r="A2442" t="str">
        <f>检查点拆解!A2442</f>
        <v>Q0368</v>
      </c>
      <c r="B2442" t="str">
        <f>检查点拆解!D2442</f>
        <v>C11</v>
      </c>
      <c r="C2442" s="2">
        <f>--(COUNTIFS($A$2:A2442,A2442,$B$2:B2442,B2442)=1)</f>
        <v>1</v>
      </c>
      <c r="D2442" t="str">
        <f>检查点拆解!F2442</f>
        <v>D04.03.02</v>
      </c>
      <c r="E2442" s="2">
        <f>--(COUNTIFS($A$2:A2442,A2442,$D$2:D2442,D2442)=1)</f>
        <v>1</v>
      </c>
    </row>
    <row r="2443" spans="1:5">
      <c r="A2443" t="str">
        <f>检查点拆解!A2443</f>
        <v>Q0368</v>
      </c>
      <c r="B2443" t="str">
        <f>检查点拆解!D2443</f>
        <v>C27</v>
      </c>
      <c r="C2443" s="2">
        <f>--(COUNTIFS($A$2:A2443,A2443,$B$2:B2443,B2443)=1)</f>
        <v>1</v>
      </c>
      <c r="D2443" t="str">
        <f>检查点拆解!F2443</f>
        <v>D11.01.02</v>
      </c>
      <c r="E2443" s="2">
        <f>--(COUNTIFS($A$2:A2443,A2443,$D$2:D2443,D2443)=1)</f>
        <v>1</v>
      </c>
    </row>
    <row r="2444" spans="1:5">
      <c r="A2444" t="str">
        <f>检查点拆解!A2444</f>
        <v>Q0368</v>
      </c>
      <c r="B2444" t="str">
        <f>检查点拆解!D2444</f>
        <v>C24</v>
      </c>
      <c r="C2444" s="2">
        <f>--(COUNTIFS($A$2:A2444,A2444,$B$2:B2444,B2444)=1)</f>
        <v>1</v>
      </c>
      <c r="D2444" t="str">
        <f>检查点拆解!F2444</f>
        <v>D09.03.03</v>
      </c>
      <c r="E2444" s="2">
        <f>--(COUNTIFS($A$2:A2444,A2444,$D$2:D2444,D2444)=1)</f>
        <v>1</v>
      </c>
    </row>
    <row r="2445" spans="1:5">
      <c r="A2445" t="str">
        <f>检查点拆解!A2445</f>
        <v>Q0368</v>
      </c>
      <c r="B2445" t="str">
        <f>检查点拆解!D2445</f>
        <v>C08</v>
      </c>
      <c r="C2445" s="2">
        <f>--(COUNTIFS($A$2:A2445,A2445,$B$2:B2445,B2445)=1)</f>
        <v>1</v>
      </c>
      <c r="D2445" t="str">
        <f>检查点拆解!F2445</f>
        <v>D04.01.03</v>
      </c>
      <c r="E2445" s="2">
        <f>--(COUNTIFS($A$2:A2445,A2445,$D$2:D2445,D2445)=1)</f>
        <v>1</v>
      </c>
    </row>
    <row r="2446" spans="1:5">
      <c r="A2446" t="str">
        <f>检查点拆解!A2446</f>
        <v>Q0369</v>
      </c>
      <c r="B2446" t="str">
        <f>检查点拆解!D2446</f>
        <v>C24</v>
      </c>
      <c r="C2446" s="2">
        <f>--(COUNTIFS($A$2:A2446,A2446,$B$2:B2446,B2446)=1)</f>
        <v>1</v>
      </c>
      <c r="D2446" t="str">
        <f>检查点拆解!F2446</f>
        <v>D09.02.02</v>
      </c>
      <c r="E2446" s="2">
        <f>--(COUNTIFS($A$2:A2446,A2446,$D$2:D2446,D2446)=1)</f>
        <v>1</v>
      </c>
    </row>
    <row r="2447" spans="1:5">
      <c r="A2447" t="str">
        <f>检查点拆解!A2447</f>
        <v>Q0369</v>
      </c>
      <c r="B2447" t="str">
        <f>检查点拆解!D2447</f>
        <v>C23</v>
      </c>
      <c r="C2447" s="2">
        <f>--(COUNTIFS($A$2:A2447,A2447,$B$2:B2447,B2447)=1)</f>
        <v>1</v>
      </c>
      <c r="D2447" t="str">
        <f>检查点拆解!F2447</f>
        <v>D09.01.03</v>
      </c>
      <c r="E2447" s="2">
        <f>--(COUNTIFS($A$2:A2447,A2447,$D$2:D2447,D2447)=1)</f>
        <v>1</v>
      </c>
    </row>
    <row r="2448" spans="1:5">
      <c r="A2448" t="str">
        <f>检查点拆解!A2448</f>
        <v>Q0369</v>
      </c>
      <c r="B2448" t="str">
        <f>检查点拆解!D2448</f>
        <v>C27</v>
      </c>
      <c r="C2448" s="2">
        <f>--(COUNTIFS($A$2:A2448,A2448,$B$2:B2448,B2448)=1)</f>
        <v>1</v>
      </c>
      <c r="D2448" t="str">
        <f>检查点拆解!F2448</f>
        <v>D11.01.02</v>
      </c>
      <c r="E2448" s="2">
        <f>--(COUNTIFS($A$2:A2448,A2448,$D$2:D2448,D2448)=1)</f>
        <v>1</v>
      </c>
    </row>
    <row r="2449" spans="1:5">
      <c r="A2449" t="str">
        <f>检查点拆解!A2449</f>
        <v>Q0369</v>
      </c>
      <c r="B2449" t="str">
        <f>检查点拆解!D2449</f>
        <v>C24</v>
      </c>
      <c r="C2449" s="2">
        <f>--(COUNTIFS($A$2:A2449,A2449,$B$2:B2449,B2449)=1)</f>
        <v>0</v>
      </c>
      <c r="D2449" t="str">
        <f>检查点拆解!F2449</f>
        <v>D09.03.03</v>
      </c>
      <c r="E2449" s="2">
        <f>--(COUNTIFS($A$2:A2449,A2449,$D$2:D2449,D2449)=1)</f>
        <v>1</v>
      </c>
    </row>
    <row r="2450" spans="1:5">
      <c r="A2450" t="str">
        <f>检查点拆解!A2450</f>
        <v>Q0369</v>
      </c>
      <c r="B2450" t="str">
        <f>检查点拆解!D2450</f>
        <v>C25</v>
      </c>
      <c r="C2450" s="2">
        <f>--(COUNTIFS($A$2:A2450,A2450,$B$2:B2450,B2450)=1)</f>
        <v>1</v>
      </c>
      <c r="D2450" t="str">
        <f>检查点拆解!F2450</f>
        <v>D10.01.01</v>
      </c>
      <c r="E2450" s="2">
        <f>--(COUNTIFS($A$2:A2450,A2450,$D$2:D2450,D2450)=1)</f>
        <v>1</v>
      </c>
    </row>
    <row r="2451" spans="1:5">
      <c r="A2451" t="str">
        <f>检查点拆解!A2451</f>
        <v>Q0369</v>
      </c>
      <c r="B2451" t="str">
        <f>检查点拆解!D2451</f>
        <v>C28</v>
      </c>
      <c r="C2451" s="2">
        <f>--(COUNTIFS($A$2:A2451,A2451,$B$2:B2451,B2451)=1)</f>
        <v>1</v>
      </c>
      <c r="D2451" t="str">
        <f>检查点拆解!F2451</f>
        <v>D12.01.02</v>
      </c>
      <c r="E2451" s="2">
        <f>--(COUNTIFS($A$2:A2451,A2451,$D$2:D2451,D2451)=1)</f>
        <v>1</v>
      </c>
    </row>
    <row r="2452" spans="1:5">
      <c r="A2452" t="str">
        <f>检查点拆解!A2452</f>
        <v>Q0370</v>
      </c>
      <c r="B2452" t="str">
        <f>检查点拆解!D2452</f>
        <v>C24</v>
      </c>
      <c r="C2452" s="2">
        <f>--(COUNTIFS($A$2:A2452,A2452,$B$2:B2452,B2452)=1)</f>
        <v>1</v>
      </c>
      <c r="D2452" t="str">
        <f>检查点拆解!F2452</f>
        <v>D09.02.03</v>
      </c>
      <c r="E2452" s="2">
        <f>--(COUNTIFS($A$2:A2452,A2452,$D$2:D2452,D2452)=1)</f>
        <v>1</v>
      </c>
    </row>
    <row r="2453" spans="1:5">
      <c r="A2453" t="str">
        <f>检查点拆解!A2453</f>
        <v>Q0370</v>
      </c>
      <c r="B2453" t="str">
        <f>检查点拆解!D2453</f>
        <v>C28</v>
      </c>
      <c r="C2453" s="2">
        <f>--(COUNTIFS($A$2:A2453,A2453,$B$2:B2453,B2453)=1)</f>
        <v>1</v>
      </c>
      <c r="D2453" t="str">
        <f>检查点拆解!F2453</f>
        <v>D13.02.02</v>
      </c>
      <c r="E2453" s="2">
        <f>--(COUNTIFS($A$2:A2453,A2453,$D$2:D2453,D2453)=1)</f>
        <v>1</v>
      </c>
    </row>
    <row r="2454" spans="1:5">
      <c r="A2454" t="str">
        <f>检查点拆解!A2454</f>
        <v>Q0371</v>
      </c>
      <c r="B2454" t="str">
        <f>检查点拆解!D2454</f>
        <v>C21</v>
      </c>
      <c r="C2454" s="2">
        <f>--(COUNTIFS($A$2:A2454,A2454,$B$2:B2454,B2454)=1)</f>
        <v>1</v>
      </c>
      <c r="D2454" t="str">
        <f>检查点拆解!F2454</f>
        <v>D07.03.01</v>
      </c>
      <c r="E2454" s="2">
        <f>--(COUNTIFS($A$2:A2454,A2454,$D$2:D2454,D2454)=1)</f>
        <v>1</v>
      </c>
    </row>
    <row r="2455" spans="1:5">
      <c r="A2455" t="str">
        <f>检查点拆解!A2455</f>
        <v>Q0371</v>
      </c>
      <c r="B2455" t="str">
        <f>检查点拆解!D2455</f>
        <v>C24</v>
      </c>
      <c r="C2455" s="2">
        <f>--(COUNTIFS($A$2:A2455,A2455,$B$2:B2455,B2455)=1)</f>
        <v>1</v>
      </c>
      <c r="D2455" t="str">
        <f>检查点拆解!F2455</f>
        <v>D09.02.03</v>
      </c>
      <c r="E2455" s="2">
        <f>--(COUNTIFS($A$2:A2455,A2455,$D$2:D2455,D2455)=1)</f>
        <v>1</v>
      </c>
    </row>
    <row r="2456" spans="1:5">
      <c r="A2456" t="str">
        <f>检查点拆解!A2456</f>
        <v>Q0371</v>
      </c>
      <c r="B2456" t="str">
        <f>检查点拆解!D2456</f>
        <v>C25</v>
      </c>
      <c r="C2456" s="2">
        <f>--(COUNTIFS($A$2:A2456,A2456,$B$2:B2456,B2456)=1)</f>
        <v>1</v>
      </c>
      <c r="D2456" t="str">
        <f>检查点拆解!F2456</f>
        <v>D10.01.01</v>
      </c>
      <c r="E2456" s="2">
        <f>--(COUNTIFS($A$2:A2456,A2456,$D$2:D2456,D2456)=1)</f>
        <v>1</v>
      </c>
    </row>
    <row r="2457" spans="1:5">
      <c r="A2457" t="str">
        <f>检查点拆解!A2457</f>
        <v>Q0371</v>
      </c>
      <c r="B2457" t="str">
        <f>检查点拆解!D2457</f>
        <v>C28</v>
      </c>
      <c r="C2457" s="2">
        <f>--(COUNTIFS($A$2:A2457,A2457,$B$2:B2457,B2457)=1)</f>
        <v>1</v>
      </c>
      <c r="D2457" t="str">
        <f>检查点拆解!F2457</f>
        <v>D12.02.01</v>
      </c>
      <c r="E2457" s="2">
        <f>--(COUNTIFS($A$2:A2457,A2457,$D$2:D2457,D2457)=1)</f>
        <v>1</v>
      </c>
    </row>
    <row r="2458" spans="1:5">
      <c r="A2458" t="str">
        <f>检查点拆解!A2458</f>
        <v>Q0371</v>
      </c>
      <c r="B2458" t="str">
        <f>检查点拆解!D2458</f>
        <v>C28</v>
      </c>
      <c r="C2458" s="2">
        <f>--(COUNTIFS($A$2:A2458,A2458,$B$2:B2458,B2458)=1)</f>
        <v>0</v>
      </c>
      <c r="D2458" t="str">
        <f>检查点拆解!F2458</f>
        <v>D13.02.02</v>
      </c>
      <c r="E2458" s="2">
        <f>--(COUNTIFS($A$2:A2458,A2458,$D$2:D2458,D2458)=1)</f>
        <v>1</v>
      </c>
    </row>
    <row r="2459" spans="1:5">
      <c r="A2459" t="str">
        <f>检查点拆解!A2459</f>
        <v>Q0371</v>
      </c>
      <c r="B2459" t="str">
        <f>检查点拆解!D2459</f>
        <v>C28</v>
      </c>
      <c r="C2459" s="2">
        <f>--(COUNTIFS($A$2:A2459,A2459,$B$2:B2459,B2459)=1)</f>
        <v>0</v>
      </c>
      <c r="D2459" t="str">
        <f>检查点拆解!F2459</f>
        <v>D12.01.02</v>
      </c>
      <c r="E2459" s="2">
        <f>--(COUNTIFS($A$2:A2459,A2459,$D$2:D2459,D2459)=1)</f>
        <v>1</v>
      </c>
    </row>
    <row r="2460" spans="1:5">
      <c r="A2460" t="str">
        <f>检查点拆解!A2460</f>
        <v>Q0372</v>
      </c>
      <c r="B2460" t="str">
        <f>检查点拆解!D2460</f>
        <v>C27</v>
      </c>
      <c r="C2460" s="2">
        <f>--(COUNTIFS($A$2:A2460,A2460,$B$2:B2460,B2460)=1)</f>
        <v>1</v>
      </c>
      <c r="D2460" t="str">
        <f>检查点拆解!F2460</f>
        <v>D11.02.01</v>
      </c>
      <c r="E2460" s="2">
        <f>--(COUNTIFS($A$2:A2460,A2460,$D$2:D2460,D2460)=1)</f>
        <v>1</v>
      </c>
    </row>
    <row r="2461" spans="1:5">
      <c r="A2461" t="str">
        <f>检查点拆解!A2461</f>
        <v>Q0372</v>
      </c>
      <c r="B2461" t="str">
        <f>检查点拆解!D2461</f>
        <v>C27</v>
      </c>
      <c r="C2461" s="2">
        <f>--(COUNTIFS($A$2:A2461,A2461,$B$2:B2461,B2461)=1)</f>
        <v>0</v>
      </c>
      <c r="D2461" t="str">
        <f>检查点拆解!F2461</f>
        <v>D11.02.03</v>
      </c>
      <c r="E2461" s="2">
        <f>--(COUNTIFS($A$2:A2461,A2461,$D$2:D2461,D2461)=1)</f>
        <v>1</v>
      </c>
    </row>
    <row r="2462" spans="1:5">
      <c r="A2462" t="str">
        <f>检查点拆解!A2462</f>
        <v>Q0372</v>
      </c>
      <c r="B2462" t="str">
        <f>检查点拆解!D2462</f>
        <v>C06</v>
      </c>
      <c r="C2462" s="2">
        <f>--(COUNTIFS($A$2:A2462,A2462,$B$2:B2462,B2462)=1)</f>
        <v>1</v>
      </c>
      <c r="D2462" t="str">
        <f>检查点拆解!F2462</f>
        <v>D03.01.03</v>
      </c>
      <c r="E2462" s="2">
        <f>--(COUNTIFS($A$2:A2462,A2462,$D$2:D2462,D2462)=1)</f>
        <v>1</v>
      </c>
    </row>
    <row r="2463" spans="1:5">
      <c r="A2463" t="str">
        <f>检查点拆解!A2463</f>
        <v>Q0372</v>
      </c>
      <c r="B2463" t="str">
        <f>检查点拆解!D2463</f>
        <v>C25</v>
      </c>
      <c r="C2463" s="2">
        <f>--(COUNTIFS($A$2:A2463,A2463,$B$2:B2463,B2463)=1)</f>
        <v>1</v>
      </c>
      <c r="D2463" t="str">
        <f>检查点拆解!F2463</f>
        <v>D10.01.01</v>
      </c>
      <c r="E2463" s="2">
        <f>--(COUNTIFS($A$2:A2463,A2463,$D$2:D2463,D2463)=1)</f>
        <v>1</v>
      </c>
    </row>
    <row r="2464" spans="1:5">
      <c r="A2464" t="str">
        <f>检查点拆解!A2464</f>
        <v>Q0372</v>
      </c>
      <c r="B2464" t="str">
        <f>检查点拆解!D2464</f>
        <v>C06</v>
      </c>
      <c r="C2464" s="2">
        <f>--(COUNTIFS($A$2:A2464,A2464,$B$2:B2464,B2464)=1)</f>
        <v>0</v>
      </c>
      <c r="D2464" t="str">
        <f>检查点拆解!F2464</f>
        <v>D03.01.02</v>
      </c>
      <c r="E2464" s="2">
        <f>--(COUNTIFS($A$2:A2464,A2464,$D$2:D2464,D2464)=1)</f>
        <v>1</v>
      </c>
    </row>
    <row r="2465" spans="1:5">
      <c r="A2465" t="str">
        <f>检查点拆解!A2465</f>
        <v>Q0372</v>
      </c>
      <c r="B2465" t="str">
        <f>检查点拆解!D2465</f>
        <v>C28</v>
      </c>
      <c r="C2465" s="2">
        <f>--(COUNTIFS($A$2:A2465,A2465,$B$2:B2465,B2465)=1)</f>
        <v>1</v>
      </c>
      <c r="D2465" t="str">
        <f>检查点拆解!F2465</f>
        <v>D13.02.02</v>
      </c>
      <c r="E2465" s="2">
        <f>--(COUNTIFS($A$2:A2465,A2465,$D$2:D2465,D2465)=1)</f>
        <v>1</v>
      </c>
    </row>
    <row r="2466" spans="1:5">
      <c r="A2466" t="str">
        <f>检查点拆解!A2466</f>
        <v>Q0372</v>
      </c>
      <c r="B2466" t="str">
        <f>检查点拆解!D2466</f>
        <v>C06</v>
      </c>
      <c r="C2466" s="2">
        <f>--(COUNTIFS($A$2:A2466,A2466,$B$2:B2466,B2466)=1)</f>
        <v>0</v>
      </c>
      <c r="D2466" t="str">
        <f>检查点拆解!F2466</f>
        <v>D03.01.01</v>
      </c>
      <c r="E2466" s="2">
        <f>--(COUNTIFS($A$2:A2466,A2466,$D$2:D2466,D2466)=1)</f>
        <v>1</v>
      </c>
    </row>
    <row r="2467" spans="1:5">
      <c r="A2467" t="str">
        <f>检查点拆解!A2467</f>
        <v>Q0372</v>
      </c>
      <c r="B2467" t="str">
        <f>检查点拆解!D2467</f>
        <v>C28</v>
      </c>
      <c r="C2467" s="2">
        <f>--(COUNTIFS($A$2:A2467,A2467,$B$2:B2467,B2467)=1)</f>
        <v>0</v>
      </c>
      <c r="D2467" t="str">
        <f>检查点拆解!F2467</f>
        <v>D12.01.03</v>
      </c>
      <c r="E2467" s="2">
        <f>--(COUNTIFS($A$2:A2467,A2467,$D$2:D2467,D2467)=1)</f>
        <v>1</v>
      </c>
    </row>
    <row r="2468" spans="1:5">
      <c r="A2468" t="str">
        <f>检查点拆解!A2468</f>
        <v>Q0373</v>
      </c>
      <c r="B2468" t="str">
        <f>检查点拆解!D2468</f>
        <v>C24</v>
      </c>
      <c r="C2468" s="2">
        <f>--(COUNTIFS($A$2:A2468,A2468,$B$2:B2468,B2468)=1)</f>
        <v>1</v>
      </c>
      <c r="D2468" t="str">
        <f>检查点拆解!F2468</f>
        <v>D09.03.01</v>
      </c>
      <c r="E2468" s="2">
        <f>--(COUNTIFS($A$2:A2468,A2468,$D$2:D2468,D2468)=1)</f>
        <v>1</v>
      </c>
    </row>
    <row r="2469" spans="1:5">
      <c r="A2469" t="str">
        <f>检查点拆解!A2469</f>
        <v>Q0373</v>
      </c>
      <c r="B2469" t="str">
        <f>检查点拆解!D2469</f>
        <v>C27</v>
      </c>
      <c r="C2469" s="2">
        <f>--(COUNTIFS($A$2:A2469,A2469,$B$2:B2469,B2469)=1)</f>
        <v>1</v>
      </c>
      <c r="D2469" t="str">
        <f>检查点拆解!F2469</f>
        <v>D11.01.03</v>
      </c>
      <c r="E2469" s="2">
        <f>--(COUNTIFS($A$2:A2469,A2469,$D$2:D2469,D2469)=1)</f>
        <v>1</v>
      </c>
    </row>
    <row r="2470" spans="1:5">
      <c r="A2470" t="str">
        <f>检查点拆解!A2470</f>
        <v>Q0373</v>
      </c>
      <c r="B2470" t="str">
        <f>检查点拆解!D2470</f>
        <v>C06</v>
      </c>
      <c r="C2470" s="2">
        <f>--(COUNTIFS($A$2:A2470,A2470,$B$2:B2470,B2470)=1)</f>
        <v>1</v>
      </c>
      <c r="D2470" t="str">
        <f>检查点拆解!F2470</f>
        <v>D03.01.03</v>
      </c>
      <c r="E2470" s="2">
        <f>--(COUNTIFS($A$2:A2470,A2470,$D$2:D2470,D2470)=1)</f>
        <v>1</v>
      </c>
    </row>
    <row r="2471" spans="1:5">
      <c r="A2471" t="str">
        <f>检查点拆解!A2471</f>
        <v>Q0373</v>
      </c>
      <c r="B2471" t="str">
        <f>检查点拆解!D2471</f>
        <v>C24</v>
      </c>
      <c r="C2471" s="2">
        <f>--(COUNTIFS($A$2:A2471,A2471,$B$2:B2471,B2471)=1)</f>
        <v>0</v>
      </c>
      <c r="D2471" t="str">
        <f>检查点拆解!F2471</f>
        <v>D09.02.03</v>
      </c>
      <c r="E2471" s="2">
        <f>--(COUNTIFS($A$2:A2471,A2471,$D$2:D2471,D2471)=1)</f>
        <v>1</v>
      </c>
    </row>
    <row r="2472" spans="1:5">
      <c r="A2472" t="str">
        <f>检查点拆解!A2472</f>
        <v>Q0373</v>
      </c>
      <c r="B2472" t="str">
        <f>检查点拆解!D2472</f>
        <v>C25</v>
      </c>
      <c r="C2472" s="2">
        <f>--(COUNTIFS($A$2:A2472,A2472,$B$2:B2472,B2472)=1)</f>
        <v>1</v>
      </c>
      <c r="D2472" t="str">
        <f>检查点拆解!F2472</f>
        <v>D10.01.01</v>
      </c>
      <c r="E2472" s="2">
        <f>--(COUNTIFS($A$2:A2472,A2472,$D$2:D2472,D2472)=1)</f>
        <v>1</v>
      </c>
    </row>
    <row r="2473" spans="1:5">
      <c r="A2473" t="str">
        <f>检查点拆解!A2473</f>
        <v>Q0373</v>
      </c>
      <c r="B2473" t="str">
        <f>检查点拆解!D2473</f>
        <v>C25</v>
      </c>
      <c r="C2473" s="2">
        <f>--(COUNTIFS($A$2:A2473,A2473,$B$2:B2473,B2473)=1)</f>
        <v>0</v>
      </c>
      <c r="D2473" t="str">
        <f>检查点拆解!F2473</f>
        <v>D10.01.04</v>
      </c>
      <c r="E2473" s="2">
        <f>--(COUNTIFS($A$2:A2473,A2473,$D$2:D2473,D2473)=1)</f>
        <v>1</v>
      </c>
    </row>
    <row r="2474" spans="1:5">
      <c r="A2474" t="str">
        <f>检查点拆解!A2474</f>
        <v>Q0373</v>
      </c>
      <c r="B2474" t="str">
        <f>检查点拆解!D2474</f>
        <v>C06</v>
      </c>
      <c r="C2474" s="2">
        <f>--(COUNTIFS($A$2:A2474,A2474,$B$2:B2474,B2474)=1)</f>
        <v>0</v>
      </c>
      <c r="D2474" t="str">
        <f>检查点拆解!F2474</f>
        <v>D03.01.02</v>
      </c>
      <c r="E2474" s="2">
        <f>--(COUNTIFS($A$2:A2474,A2474,$D$2:D2474,D2474)=1)</f>
        <v>1</v>
      </c>
    </row>
    <row r="2475" spans="1:5">
      <c r="A2475" t="str">
        <f>检查点拆解!A2475</f>
        <v>Q0373</v>
      </c>
      <c r="B2475" t="str">
        <f>检查点拆解!D2475</f>
        <v>C26</v>
      </c>
      <c r="C2475" s="2">
        <f>--(COUNTIFS($A$2:A2475,A2475,$B$2:B2475,B2475)=1)</f>
        <v>1</v>
      </c>
      <c r="D2475" t="str">
        <f>检查点拆解!F2475</f>
        <v>D10.02.01</v>
      </c>
      <c r="E2475" s="2">
        <f>--(COUNTIFS($A$2:A2475,A2475,$D$2:D2475,D2475)=1)</f>
        <v>1</v>
      </c>
    </row>
    <row r="2476" spans="1:5">
      <c r="A2476" t="str">
        <f>检查点拆解!A2476</f>
        <v>Q0374</v>
      </c>
      <c r="B2476" t="str">
        <f>检查点拆解!D2476</f>
        <v>C27</v>
      </c>
      <c r="C2476" s="2">
        <f>--(COUNTIFS($A$2:A2476,A2476,$B$2:B2476,B2476)=1)</f>
        <v>1</v>
      </c>
      <c r="D2476" t="str">
        <f>检查点拆解!F2476</f>
        <v>D11.02.01</v>
      </c>
      <c r="E2476" s="2">
        <f>--(COUNTIFS($A$2:A2476,A2476,$D$2:D2476,D2476)=1)</f>
        <v>1</v>
      </c>
    </row>
    <row r="2477" spans="1:5">
      <c r="A2477" t="str">
        <f>检查点拆解!A2477</f>
        <v>Q0374</v>
      </c>
      <c r="B2477" t="str">
        <f>检查点拆解!D2477</f>
        <v>C27</v>
      </c>
      <c r="C2477" s="2">
        <f>--(COUNTIFS($A$2:A2477,A2477,$B$2:B2477,B2477)=1)</f>
        <v>0</v>
      </c>
      <c r="D2477" t="str">
        <f>检查点拆解!F2477</f>
        <v>D11.01.02</v>
      </c>
      <c r="E2477" s="2">
        <f>--(COUNTIFS($A$2:A2477,A2477,$D$2:D2477,D2477)=1)</f>
        <v>1</v>
      </c>
    </row>
    <row r="2478" spans="1:5">
      <c r="A2478" t="str">
        <f>检查点拆解!A2478</f>
        <v>Q0374</v>
      </c>
      <c r="B2478" t="str">
        <f>检查点拆解!D2478</f>
        <v>C17</v>
      </c>
      <c r="C2478" s="2">
        <f>--(COUNTIFS($A$2:A2478,A2478,$B$2:B2478,B2478)=1)</f>
        <v>1</v>
      </c>
      <c r="D2478" t="str">
        <f>检查点拆解!F2478</f>
        <v>D06.01.02</v>
      </c>
      <c r="E2478" s="2">
        <f>--(COUNTIFS($A$2:A2478,A2478,$D$2:D2478,D2478)=1)</f>
        <v>1</v>
      </c>
    </row>
    <row r="2479" spans="1:5">
      <c r="A2479" t="str">
        <f>检查点拆解!A2479</f>
        <v>Q0374</v>
      </c>
      <c r="B2479" t="str">
        <f>检查点拆解!D2479</f>
        <v>C25</v>
      </c>
      <c r="C2479" s="2">
        <f>--(COUNTIFS($A$2:A2479,A2479,$B$2:B2479,B2479)=1)</f>
        <v>1</v>
      </c>
      <c r="D2479" t="str">
        <f>检查点拆解!F2479</f>
        <v>D10.01.01</v>
      </c>
      <c r="E2479" s="2">
        <f>--(COUNTIFS($A$2:A2479,A2479,$D$2:D2479,D2479)=1)</f>
        <v>1</v>
      </c>
    </row>
    <row r="2480" spans="1:5">
      <c r="A2480" t="str">
        <f>检查点拆解!A2480</f>
        <v>Q0374</v>
      </c>
      <c r="B2480" t="str">
        <f>检查点拆解!D2480</f>
        <v>C28</v>
      </c>
      <c r="C2480" s="2">
        <f>--(COUNTIFS($A$2:A2480,A2480,$B$2:B2480,B2480)=1)</f>
        <v>1</v>
      </c>
      <c r="D2480" t="str">
        <f>检查点拆解!F2480</f>
        <v>D12.01.02</v>
      </c>
      <c r="E2480" s="2">
        <f>--(COUNTIFS($A$2:A2480,A2480,$D$2:D2480,D2480)=1)</f>
        <v>1</v>
      </c>
    </row>
    <row r="2481" spans="1:5">
      <c r="A2481" t="str">
        <f>检查点拆解!A2481</f>
        <v>Q0374</v>
      </c>
      <c r="B2481" t="str">
        <f>检查点拆解!D2481</f>
        <v>C04</v>
      </c>
      <c r="C2481" s="2">
        <f>--(COUNTIFS($A$2:A2481,A2481,$B$2:B2481,B2481)=1)</f>
        <v>1</v>
      </c>
      <c r="D2481" t="str">
        <f>检查点拆解!F2481</f>
        <v>D02.02.01</v>
      </c>
      <c r="E2481" s="2">
        <f>--(COUNTIFS($A$2:A2481,A2481,$D$2:D2481,D2481)=1)</f>
        <v>1</v>
      </c>
    </row>
    <row r="2482" spans="1:5">
      <c r="A2482" t="str">
        <f>检查点拆解!A2482</f>
        <v>Q0375</v>
      </c>
      <c r="B2482" t="str">
        <f>检查点拆解!D2482</f>
        <v>C27</v>
      </c>
      <c r="C2482" s="2">
        <f>--(COUNTIFS($A$2:A2482,A2482,$B$2:B2482,B2482)=1)</f>
        <v>1</v>
      </c>
      <c r="D2482" t="str">
        <f>检查点拆解!F2482</f>
        <v>D11.02.03</v>
      </c>
      <c r="E2482" s="2">
        <f>--(COUNTIFS($A$2:A2482,A2482,$D$2:D2482,D2482)=1)</f>
        <v>1</v>
      </c>
    </row>
    <row r="2483" spans="1:5">
      <c r="A2483" t="str">
        <f>检查点拆解!A2483</f>
        <v>Q0375</v>
      </c>
      <c r="B2483" t="str">
        <f>检查点拆解!D2483</f>
        <v>C24</v>
      </c>
      <c r="C2483" s="2">
        <f>--(COUNTIFS($A$2:A2483,A2483,$B$2:B2483,B2483)=1)</f>
        <v>1</v>
      </c>
      <c r="D2483" t="str">
        <f>检查点拆解!F2483</f>
        <v>D09.03.03</v>
      </c>
      <c r="E2483" s="2">
        <f>--(COUNTIFS($A$2:A2483,A2483,$D$2:D2483,D2483)=1)</f>
        <v>1</v>
      </c>
    </row>
    <row r="2484" spans="1:5">
      <c r="A2484" t="str">
        <f>检查点拆解!A2484</f>
        <v>Q0375</v>
      </c>
      <c r="B2484" t="str">
        <f>检查点拆解!D2484</f>
        <v>C14</v>
      </c>
      <c r="C2484" s="2">
        <f>--(COUNTIFS($A$2:A2484,A2484,$B$2:B2484,B2484)=1)</f>
        <v>1</v>
      </c>
      <c r="D2484" t="str">
        <f>检查点拆解!F2484</f>
        <v>D05.01.03</v>
      </c>
      <c r="E2484" s="2">
        <f>--(COUNTIFS($A$2:A2484,A2484,$D$2:D2484,D2484)=1)</f>
        <v>1</v>
      </c>
    </row>
    <row r="2485" spans="1:5">
      <c r="A2485" t="str">
        <f>检查点拆解!A2485</f>
        <v>Q0375</v>
      </c>
      <c r="B2485" t="str">
        <f>检查点拆解!D2485</f>
        <v>C28</v>
      </c>
      <c r="C2485" s="2">
        <f>--(COUNTIFS($A$2:A2485,A2485,$B$2:B2485,B2485)=1)</f>
        <v>1</v>
      </c>
      <c r="D2485" t="str">
        <f>检查点拆解!F2485</f>
        <v>D12.01.01</v>
      </c>
      <c r="E2485" s="2">
        <f>--(COUNTIFS($A$2:A2485,A2485,$D$2:D2485,D2485)=1)</f>
        <v>1</v>
      </c>
    </row>
    <row r="2486" spans="1:5">
      <c r="A2486" t="str">
        <f>检查点拆解!A2486</f>
        <v>Q0375</v>
      </c>
      <c r="B2486" t="str">
        <f>检查点拆解!D2486</f>
        <v>C04</v>
      </c>
      <c r="C2486" s="2">
        <f>--(COUNTIFS($A$2:A2486,A2486,$B$2:B2486,B2486)=1)</f>
        <v>1</v>
      </c>
      <c r="D2486" t="str">
        <f>检查点拆解!F2486</f>
        <v>D02.02.03</v>
      </c>
      <c r="E2486" s="2">
        <f>--(COUNTIFS($A$2:A2486,A2486,$D$2:D2486,D2486)=1)</f>
        <v>1</v>
      </c>
    </row>
    <row r="2487" spans="1:5">
      <c r="A2487" t="str">
        <f>检查点拆解!A2487</f>
        <v>Q0375</v>
      </c>
      <c r="B2487" t="str">
        <f>检查点拆解!D2487</f>
        <v>C28</v>
      </c>
      <c r="C2487" s="2">
        <f>--(COUNTIFS($A$2:A2487,A2487,$B$2:B2487,B2487)=1)</f>
        <v>0</v>
      </c>
      <c r="D2487" t="str">
        <f>检查点拆解!F2487</f>
        <v>D13.01.01</v>
      </c>
      <c r="E2487" s="2">
        <f>--(COUNTIFS($A$2:A2487,A2487,$D$2:D2487,D2487)=1)</f>
        <v>1</v>
      </c>
    </row>
    <row r="2488" spans="1:5">
      <c r="A2488" t="str">
        <f>检查点拆解!A2488</f>
        <v>Q0376</v>
      </c>
      <c r="B2488" t="str">
        <f>检查点拆解!D2488</f>
        <v>C29</v>
      </c>
      <c r="C2488" s="2">
        <f>--(COUNTIFS($A$2:A2488,A2488,$B$2:B2488,B2488)=1)</f>
        <v>1</v>
      </c>
      <c r="D2488" t="str">
        <f>检查点拆解!F2488</f>
        <v>D14.02.01</v>
      </c>
      <c r="E2488" s="2">
        <f>--(COUNTIFS($A$2:A2488,A2488,$D$2:D2488,D2488)=1)</f>
        <v>1</v>
      </c>
    </row>
    <row r="2489" spans="1:5">
      <c r="A2489" t="str">
        <f>检查点拆解!A2489</f>
        <v>Q0376</v>
      </c>
      <c r="B2489" t="str">
        <f>检查点拆解!D2489</f>
        <v>C24</v>
      </c>
      <c r="C2489" s="2">
        <f>--(COUNTIFS($A$2:A2489,A2489,$B$2:B2489,B2489)=1)</f>
        <v>1</v>
      </c>
      <c r="D2489" t="str">
        <f>检查点拆解!F2489</f>
        <v>D09.03.03</v>
      </c>
      <c r="E2489" s="2">
        <f>--(COUNTIFS($A$2:A2489,A2489,$D$2:D2489,D2489)=1)</f>
        <v>1</v>
      </c>
    </row>
    <row r="2490" spans="1:5">
      <c r="A2490" t="str">
        <f>检查点拆解!A2490</f>
        <v>Q0376</v>
      </c>
      <c r="B2490" t="str">
        <f>检查点拆解!D2490</f>
        <v>C27</v>
      </c>
      <c r="C2490" s="2">
        <f>--(COUNTIFS($A$2:A2490,A2490,$B$2:B2490,B2490)=1)</f>
        <v>1</v>
      </c>
      <c r="D2490" t="str">
        <f>检查点拆解!F2490</f>
        <v>D11.01.01</v>
      </c>
      <c r="E2490" s="2">
        <f>--(COUNTIFS($A$2:A2490,A2490,$D$2:D2490,D2490)=1)</f>
        <v>1</v>
      </c>
    </row>
    <row r="2491" spans="1:5">
      <c r="A2491" t="str">
        <f>检查点拆解!A2491</f>
        <v>Q0376</v>
      </c>
      <c r="B2491" t="str">
        <f>检查点拆解!D2491</f>
        <v>C06</v>
      </c>
      <c r="C2491" s="2">
        <f>--(COUNTIFS($A$2:A2491,A2491,$B$2:B2491,B2491)=1)</f>
        <v>1</v>
      </c>
      <c r="D2491" t="str">
        <f>检查点拆解!F2491</f>
        <v>D03.01.02</v>
      </c>
      <c r="E2491" s="2">
        <f>--(COUNTIFS($A$2:A2491,A2491,$D$2:D2491,D2491)=1)</f>
        <v>1</v>
      </c>
    </row>
    <row r="2492" spans="1:5">
      <c r="A2492" t="str">
        <f>检查点拆解!A2492</f>
        <v>Q0376</v>
      </c>
      <c r="B2492" t="str">
        <f>检查点拆解!D2492</f>
        <v>C26</v>
      </c>
      <c r="C2492" s="2">
        <f>--(COUNTIFS($A$2:A2492,A2492,$B$2:B2492,B2492)=1)</f>
        <v>1</v>
      </c>
      <c r="D2492" t="str">
        <f>检查点拆解!F2492</f>
        <v>D10.02.01</v>
      </c>
      <c r="E2492" s="2">
        <f>--(COUNTIFS($A$2:A2492,A2492,$D$2:D2492,D2492)=1)</f>
        <v>1</v>
      </c>
    </row>
    <row r="2493" spans="1:5">
      <c r="A2493" t="str">
        <f>检查点拆解!A2493</f>
        <v>Q0376</v>
      </c>
      <c r="B2493" t="str">
        <f>检查点拆解!D2493</f>
        <v>C28</v>
      </c>
      <c r="C2493" s="2">
        <f>--(COUNTIFS($A$2:A2493,A2493,$B$2:B2493,B2493)=1)</f>
        <v>1</v>
      </c>
      <c r="D2493" t="str">
        <f>检查点拆解!F2493</f>
        <v>D12.01.01</v>
      </c>
      <c r="E2493" s="2">
        <f>--(COUNTIFS($A$2:A2493,A2493,$D$2:D2493,D2493)=1)</f>
        <v>1</v>
      </c>
    </row>
    <row r="2494" spans="1:5">
      <c r="A2494" t="str">
        <f>检查点拆解!A2494</f>
        <v>Q0376</v>
      </c>
      <c r="B2494" t="str">
        <f>检查点拆解!D2494</f>
        <v>C28</v>
      </c>
      <c r="C2494" s="2">
        <f>--(COUNTIFS($A$2:A2494,A2494,$B$2:B2494,B2494)=1)</f>
        <v>0</v>
      </c>
      <c r="D2494" t="str">
        <f>检查点拆解!F2494</f>
        <v>D12.01.02</v>
      </c>
      <c r="E2494" s="2">
        <f>--(COUNTIFS($A$2:A2494,A2494,$D$2:D2494,D2494)=1)</f>
        <v>1</v>
      </c>
    </row>
    <row r="2495" spans="1:5">
      <c r="A2495" t="str">
        <f>检查点拆解!A2495</f>
        <v>Q0376</v>
      </c>
      <c r="B2495" t="str">
        <f>检查点拆解!D2495</f>
        <v>C06</v>
      </c>
      <c r="C2495" s="2">
        <f>--(COUNTIFS($A$2:A2495,A2495,$B$2:B2495,B2495)=1)</f>
        <v>0</v>
      </c>
      <c r="D2495" t="str">
        <f>检查点拆解!F2495</f>
        <v>D03.01.01</v>
      </c>
      <c r="E2495" s="2">
        <f>--(COUNTIFS($A$2:A2495,A2495,$D$2:D2495,D2495)=1)</f>
        <v>1</v>
      </c>
    </row>
    <row r="2496" spans="1:5">
      <c r="A2496" t="str">
        <f>检查点拆解!A2496</f>
        <v>Q0376</v>
      </c>
      <c r="B2496" t="str">
        <f>检查点拆解!D2496</f>
        <v>C03</v>
      </c>
      <c r="C2496" s="2">
        <f>--(COUNTIFS($A$2:A2496,A2496,$B$2:B2496,B2496)=1)</f>
        <v>1</v>
      </c>
      <c r="D2496" t="str">
        <f>检查点拆解!F2496</f>
        <v>D02.01.01</v>
      </c>
      <c r="E2496" s="2">
        <f>--(COUNTIFS($A$2:A2496,A2496,$D$2:D2496,D2496)=1)</f>
        <v>1</v>
      </c>
    </row>
    <row r="2497" spans="1:5">
      <c r="A2497" t="str">
        <f>检查点拆解!A2497</f>
        <v>Q0376</v>
      </c>
      <c r="B2497" t="str">
        <f>检查点拆解!D2497</f>
        <v>C05</v>
      </c>
      <c r="C2497" s="2">
        <f>--(COUNTIFS($A$2:A2497,A2497,$B$2:B2497,B2497)=1)</f>
        <v>1</v>
      </c>
      <c r="D2497" t="str">
        <f>检查点拆解!F2497</f>
        <v>D02.03.01</v>
      </c>
      <c r="E2497" s="2">
        <f>--(COUNTIFS($A$2:A2497,A2497,$D$2:D2497,D2497)=1)</f>
        <v>1</v>
      </c>
    </row>
    <row r="2498" spans="1:5">
      <c r="A2498" t="str">
        <f>检查点拆解!A2498</f>
        <v>Q0376</v>
      </c>
      <c r="B2498" t="str">
        <f>检查点拆解!D2498</f>
        <v>C08</v>
      </c>
      <c r="C2498" s="2">
        <f>--(COUNTIFS($A$2:A2498,A2498,$B$2:B2498,B2498)=1)</f>
        <v>1</v>
      </c>
      <c r="D2498" t="str">
        <f>检查点拆解!F2498</f>
        <v>D03.03.01</v>
      </c>
      <c r="E2498" s="2">
        <f>--(COUNTIFS($A$2:A2498,A2498,$D$2:D2498,D2498)=1)</f>
        <v>1</v>
      </c>
    </row>
    <row r="2499" spans="1:5">
      <c r="A2499" t="str">
        <f>检查点拆解!A2499</f>
        <v>Q0377</v>
      </c>
      <c r="B2499" t="str">
        <f>检查点拆解!D2499</f>
        <v>C27</v>
      </c>
      <c r="C2499" s="2">
        <f>--(COUNTIFS($A$2:A2499,A2499,$B$2:B2499,B2499)=1)</f>
        <v>1</v>
      </c>
      <c r="D2499" t="str">
        <f>检查点拆解!F2499</f>
        <v>D11.02.01</v>
      </c>
      <c r="E2499" s="2">
        <f>--(COUNTIFS($A$2:A2499,A2499,$D$2:D2499,D2499)=1)</f>
        <v>1</v>
      </c>
    </row>
    <row r="2500" spans="1:5">
      <c r="A2500" t="str">
        <f>检查点拆解!A2500</f>
        <v>Q0377</v>
      </c>
      <c r="B2500" t="str">
        <f>检查点拆解!D2500</f>
        <v>C24</v>
      </c>
      <c r="C2500" s="2">
        <f>--(COUNTIFS($A$2:A2500,A2500,$B$2:B2500,B2500)=1)</f>
        <v>1</v>
      </c>
      <c r="D2500" t="str">
        <f>检查点拆解!F2500</f>
        <v>D09.03.03</v>
      </c>
      <c r="E2500" s="2">
        <f>--(COUNTIFS($A$2:A2500,A2500,$D$2:D2500,D2500)=1)</f>
        <v>1</v>
      </c>
    </row>
    <row r="2501" spans="1:5">
      <c r="A2501" t="str">
        <f>检查点拆解!A2501</f>
        <v>Q0377</v>
      </c>
      <c r="B2501" t="str">
        <f>检查点拆解!D2501</f>
        <v>C27</v>
      </c>
      <c r="C2501" s="2">
        <f>--(COUNTIFS($A$2:A2501,A2501,$B$2:B2501,B2501)=1)</f>
        <v>0</v>
      </c>
      <c r="D2501" t="str">
        <f>检查点拆解!F2501</f>
        <v>D11.01.03</v>
      </c>
      <c r="E2501" s="2">
        <f>--(COUNTIFS($A$2:A2501,A2501,$D$2:D2501,D2501)=1)</f>
        <v>1</v>
      </c>
    </row>
    <row r="2502" spans="1:5">
      <c r="A2502" t="str">
        <f>检查点拆解!A2502</f>
        <v>Q0377</v>
      </c>
      <c r="B2502" t="str">
        <f>检查点拆解!D2502</f>
        <v>C25</v>
      </c>
      <c r="C2502" s="2">
        <f>--(COUNTIFS($A$2:A2502,A2502,$B$2:B2502,B2502)=1)</f>
        <v>1</v>
      </c>
      <c r="D2502" t="str">
        <f>检查点拆解!F2502</f>
        <v>D10.01.01</v>
      </c>
      <c r="E2502" s="2">
        <f>--(COUNTIFS($A$2:A2502,A2502,$D$2:D2502,D2502)=1)</f>
        <v>1</v>
      </c>
    </row>
    <row r="2503" spans="1:5">
      <c r="A2503" t="str">
        <f>检查点拆解!A2503</f>
        <v>Q0377</v>
      </c>
      <c r="B2503" t="str">
        <f>检查点拆解!D2503</f>
        <v>C23</v>
      </c>
      <c r="C2503" s="2">
        <f>--(COUNTIFS($A$2:A2503,A2503,$B$2:B2503,B2503)=1)</f>
        <v>1</v>
      </c>
      <c r="D2503" t="str">
        <f>检查点拆解!F2503</f>
        <v>D09.01.01</v>
      </c>
      <c r="E2503" s="2">
        <f>--(COUNTIFS($A$2:A2503,A2503,$D$2:D2503,D2503)=1)</f>
        <v>1</v>
      </c>
    </row>
    <row r="2504" spans="1:5">
      <c r="A2504" t="str">
        <f>检查点拆解!A2504</f>
        <v>Q0377</v>
      </c>
      <c r="B2504" t="str">
        <f>检查点拆解!D2504</f>
        <v>C28</v>
      </c>
      <c r="C2504" s="2">
        <f>--(COUNTIFS($A$2:A2504,A2504,$B$2:B2504,B2504)=1)</f>
        <v>1</v>
      </c>
      <c r="D2504" t="str">
        <f>检查点拆解!F2504</f>
        <v>D12.02.01</v>
      </c>
      <c r="E2504" s="2">
        <f>--(COUNTIFS($A$2:A2504,A2504,$D$2:D2504,D2504)=1)</f>
        <v>1</v>
      </c>
    </row>
    <row r="2505" spans="1:5">
      <c r="A2505" t="str">
        <f>检查点拆解!A2505</f>
        <v>Q0377</v>
      </c>
      <c r="B2505" t="str">
        <f>检查点拆解!D2505</f>
        <v>C26</v>
      </c>
      <c r="C2505" s="2">
        <f>--(COUNTIFS($A$2:A2505,A2505,$B$2:B2505,B2505)=1)</f>
        <v>1</v>
      </c>
      <c r="D2505" t="str">
        <f>检查点拆解!F2505</f>
        <v>D10.02.01</v>
      </c>
      <c r="E2505" s="2">
        <f>--(COUNTIFS($A$2:A2505,A2505,$D$2:D2505,D2505)=1)</f>
        <v>1</v>
      </c>
    </row>
    <row r="2506" spans="1:5">
      <c r="A2506" t="str">
        <f>检查点拆解!A2506</f>
        <v>Q0377</v>
      </c>
      <c r="B2506" t="str">
        <f>检查点拆解!D2506</f>
        <v>C28</v>
      </c>
      <c r="C2506" s="2">
        <f>--(COUNTIFS($A$2:A2506,A2506,$B$2:B2506,B2506)=1)</f>
        <v>0</v>
      </c>
      <c r="D2506" t="str">
        <f>检查点拆解!F2506</f>
        <v>D12.01.01</v>
      </c>
      <c r="E2506" s="2">
        <f>--(COUNTIFS($A$2:A2506,A2506,$D$2:D2506,D2506)=1)</f>
        <v>1</v>
      </c>
    </row>
    <row r="2507" spans="1:5">
      <c r="A2507" t="str">
        <f>检查点拆解!A2507</f>
        <v>Q0377</v>
      </c>
      <c r="B2507" t="str">
        <f>检查点拆解!D2507</f>
        <v>C06</v>
      </c>
      <c r="C2507" s="2">
        <f>--(COUNTIFS($A$2:A2507,A2507,$B$2:B2507,B2507)=1)</f>
        <v>1</v>
      </c>
      <c r="D2507" t="str">
        <f>检查点拆解!F2507</f>
        <v>D03.01.01</v>
      </c>
      <c r="E2507" s="2">
        <f>--(COUNTIFS($A$2:A2507,A2507,$D$2:D2507,D2507)=1)</f>
        <v>1</v>
      </c>
    </row>
    <row r="2508" spans="1:5">
      <c r="A2508" t="str">
        <f>检查点拆解!A2508</f>
        <v>Q0377</v>
      </c>
      <c r="B2508" t="str">
        <f>检查点拆解!D2508</f>
        <v>C28</v>
      </c>
      <c r="C2508" s="2">
        <f>--(COUNTIFS($A$2:A2508,A2508,$B$2:B2508,B2508)=1)</f>
        <v>0</v>
      </c>
      <c r="D2508" t="str">
        <f>检查点拆解!F2508</f>
        <v>D13.01.01</v>
      </c>
      <c r="E2508" s="2">
        <f>--(COUNTIFS($A$2:A2508,A2508,$D$2:D2508,D2508)=1)</f>
        <v>1</v>
      </c>
    </row>
    <row r="2509" spans="1:5">
      <c r="A2509" t="str">
        <f>检查点拆解!A2509</f>
        <v>Q0377</v>
      </c>
      <c r="B2509" t="str">
        <f>检查点拆解!D2509</f>
        <v>C05</v>
      </c>
      <c r="C2509" s="2">
        <f>--(COUNTIFS($A$2:A2509,A2509,$B$2:B2509,B2509)=1)</f>
        <v>1</v>
      </c>
      <c r="D2509" t="str">
        <f>检查点拆解!F2509</f>
        <v>D02.03.02</v>
      </c>
      <c r="E2509" s="2">
        <f>--(COUNTIFS($A$2:A2509,A2509,$D$2:D2509,D2509)=1)</f>
        <v>1</v>
      </c>
    </row>
    <row r="2510" spans="1:5">
      <c r="A2510" t="str">
        <f>检查点拆解!A2510</f>
        <v>Q0378</v>
      </c>
      <c r="B2510" t="str">
        <f>检查点拆解!D2510</f>
        <v>C24</v>
      </c>
      <c r="C2510" s="2">
        <f>--(COUNTIFS($A$2:A2510,A2510,$B$2:B2510,B2510)=1)</f>
        <v>1</v>
      </c>
      <c r="D2510" t="str">
        <f>检查点拆解!F2510</f>
        <v>D09.02.02</v>
      </c>
      <c r="E2510" s="2">
        <f>--(COUNTIFS($A$2:A2510,A2510,$D$2:D2510,D2510)=1)</f>
        <v>1</v>
      </c>
    </row>
    <row r="2511" spans="1:5">
      <c r="A2511" t="str">
        <f>检查点拆解!A2511</f>
        <v>Q0378</v>
      </c>
      <c r="B2511" t="str">
        <f>检查点拆解!D2511</f>
        <v>C17</v>
      </c>
      <c r="C2511" s="2">
        <f>--(COUNTIFS($A$2:A2511,A2511,$B$2:B2511,B2511)=1)</f>
        <v>1</v>
      </c>
      <c r="D2511" t="str">
        <f>检查点拆解!F2511</f>
        <v>D06.03.01</v>
      </c>
      <c r="E2511" s="2">
        <f>--(COUNTIFS($A$2:A2511,A2511,$D$2:D2511,D2511)=1)</f>
        <v>1</v>
      </c>
    </row>
    <row r="2512" spans="1:5">
      <c r="A2512" t="str">
        <f>检查点拆解!A2512</f>
        <v>Q0378</v>
      </c>
      <c r="B2512" t="str">
        <f>检查点拆解!D2512</f>
        <v>C24</v>
      </c>
      <c r="C2512" s="2">
        <f>--(COUNTIFS($A$2:A2512,A2512,$B$2:B2512,B2512)=1)</f>
        <v>0</v>
      </c>
      <c r="D2512" t="str">
        <f>检查点拆解!F2512</f>
        <v>D09.03.03</v>
      </c>
      <c r="E2512" s="2">
        <f>--(COUNTIFS($A$2:A2512,A2512,$D$2:D2512,D2512)=1)</f>
        <v>1</v>
      </c>
    </row>
    <row r="2513" spans="1:5">
      <c r="A2513" t="str">
        <f>检查点拆解!A2513</f>
        <v>Q0378</v>
      </c>
      <c r="B2513" t="str">
        <f>检查点拆解!D2513</f>
        <v>C27</v>
      </c>
      <c r="C2513" s="2">
        <f>--(COUNTIFS($A$2:A2513,A2513,$B$2:B2513,B2513)=1)</f>
        <v>1</v>
      </c>
      <c r="D2513" t="str">
        <f>检查点拆解!F2513</f>
        <v>D11.01.03</v>
      </c>
      <c r="E2513" s="2">
        <f>--(COUNTIFS($A$2:A2513,A2513,$D$2:D2513,D2513)=1)</f>
        <v>1</v>
      </c>
    </row>
    <row r="2514" spans="1:5">
      <c r="A2514" t="str">
        <f>检查点拆解!A2514</f>
        <v>Q0378</v>
      </c>
      <c r="B2514" t="str">
        <f>检查点拆解!D2514</f>
        <v>C08</v>
      </c>
      <c r="C2514" s="2">
        <f>--(COUNTIFS($A$2:A2514,A2514,$B$2:B2514,B2514)=1)</f>
        <v>1</v>
      </c>
      <c r="D2514" t="str">
        <f>检查点拆解!F2514</f>
        <v>D04.01.02</v>
      </c>
      <c r="E2514" s="2">
        <f>--(COUNTIFS($A$2:A2514,A2514,$D$2:D2514,D2514)=1)</f>
        <v>1</v>
      </c>
    </row>
    <row r="2515" spans="1:5">
      <c r="A2515" t="str">
        <f>检查点拆解!A2515</f>
        <v>Q0378</v>
      </c>
      <c r="B2515" t="str">
        <f>检查点拆解!D2515</f>
        <v>C28</v>
      </c>
      <c r="C2515" s="2">
        <f>--(COUNTIFS($A$2:A2515,A2515,$B$2:B2515,B2515)=1)</f>
        <v>1</v>
      </c>
      <c r="D2515" t="str">
        <f>检查点拆解!F2515</f>
        <v>D12.01.01</v>
      </c>
      <c r="E2515" s="2">
        <f>--(COUNTIFS($A$2:A2515,A2515,$D$2:D2515,D2515)=1)</f>
        <v>1</v>
      </c>
    </row>
    <row r="2516" spans="1:5">
      <c r="A2516" t="str">
        <f>检查点拆解!A2516</f>
        <v>Q0379</v>
      </c>
      <c r="B2516" t="str">
        <f>检查点拆解!D2516</f>
        <v>C11</v>
      </c>
      <c r="C2516" s="2">
        <f>--(COUNTIFS($A$2:A2516,A2516,$B$2:B2516,B2516)=1)</f>
        <v>1</v>
      </c>
      <c r="D2516" t="str">
        <f>检查点拆解!F2516</f>
        <v>D04.03.02</v>
      </c>
      <c r="E2516" s="2">
        <f>--(COUNTIFS($A$2:A2516,A2516,$D$2:D2516,D2516)=1)</f>
        <v>1</v>
      </c>
    </row>
    <row r="2517" spans="1:5">
      <c r="A2517" t="str">
        <f>检查点拆解!A2517</f>
        <v>Q0379</v>
      </c>
      <c r="B2517" t="str">
        <f>检查点拆解!D2517</f>
        <v>C27</v>
      </c>
      <c r="C2517" s="2">
        <f>--(COUNTIFS($A$2:A2517,A2517,$B$2:B2517,B2517)=1)</f>
        <v>1</v>
      </c>
      <c r="D2517" t="str">
        <f>检查点拆解!F2517</f>
        <v>D11.02.01</v>
      </c>
      <c r="E2517" s="2">
        <f>--(COUNTIFS($A$2:A2517,A2517,$D$2:D2517,D2517)=1)</f>
        <v>1</v>
      </c>
    </row>
    <row r="2518" spans="1:5">
      <c r="A2518" t="str">
        <f>检查点拆解!A2518</f>
        <v>Q0379</v>
      </c>
      <c r="B2518" t="str">
        <f>检查点拆解!D2518</f>
        <v>C27</v>
      </c>
      <c r="C2518" s="2">
        <f>--(COUNTIFS($A$2:A2518,A2518,$B$2:B2518,B2518)=1)</f>
        <v>0</v>
      </c>
      <c r="D2518" t="str">
        <f>检查点拆解!F2518</f>
        <v>D11.01.02</v>
      </c>
      <c r="E2518" s="2">
        <f>--(COUNTIFS($A$2:A2518,A2518,$D$2:D2518,D2518)=1)</f>
        <v>1</v>
      </c>
    </row>
    <row r="2519" spans="1:5">
      <c r="A2519" t="str">
        <f>检查点拆解!A2519</f>
        <v>Q0379</v>
      </c>
      <c r="B2519" t="str">
        <f>检查点拆解!D2519</f>
        <v>C27</v>
      </c>
      <c r="C2519" s="2">
        <f>--(COUNTIFS($A$2:A2519,A2519,$B$2:B2519,B2519)=1)</f>
        <v>0</v>
      </c>
      <c r="D2519" t="str">
        <f>检查点拆解!F2519</f>
        <v>D11.01.03</v>
      </c>
      <c r="E2519" s="2">
        <f>--(COUNTIFS($A$2:A2519,A2519,$D$2:D2519,D2519)=1)</f>
        <v>1</v>
      </c>
    </row>
    <row r="2520" spans="1:5">
      <c r="A2520" t="str">
        <f>检查点拆解!A2520</f>
        <v>Q0380</v>
      </c>
      <c r="B2520" t="str">
        <f>检查点拆解!D2520</f>
        <v>C23</v>
      </c>
      <c r="C2520" s="2">
        <f>--(COUNTIFS($A$2:A2520,A2520,$B$2:B2520,B2520)=1)</f>
        <v>1</v>
      </c>
      <c r="D2520" t="str">
        <f>检查点拆解!F2520</f>
        <v>D09.01.02</v>
      </c>
      <c r="E2520" s="2">
        <f>--(COUNTIFS($A$2:A2520,A2520,$D$2:D2520,D2520)=1)</f>
        <v>1</v>
      </c>
    </row>
    <row r="2521" spans="1:5">
      <c r="A2521" t="str">
        <f>检查点拆解!A2521</f>
        <v>Q0380</v>
      </c>
      <c r="B2521" t="str">
        <f>检查点拆解!D2521</f>
        <v>C24</v>
      </c>
      <c r="C2521" s="2">
        <f>--(COUNTIFS($A$2:A2521,A2521,$B$2:B2521,B2521)=1)</f>
        <v>1</v>
      </c>
      <c r="D2521" t="str">
        <f>检查点拆解!F2521</f>
        <v>D09.02.02</v>
      </c>
      <c r="E2521" s="2">
        <f>--(COUNTIFS($A$2:A2521,A2521,$D$2:D2521,D2521)=1)</f>
        <v>1</v>
      </c>
    </row>
    <row r="2522" spans="1:5">
      <c r="A2522" t="str">
        <f>检查点拆解!A2522</f>
        <v>Q0380</v>
      </c>
      <c r="B2522" t="str">
        <f>检查点拆解!D2522</f>
        <v>C27</v>
      </c>
      <c r="C2522" s="2">
        <f>--(COUNTIFS($A$2:A2522,A2522,$B$2:B2522,B2522)=1)</f>
        <v>1</v>
      </c>
      <c r="D2522" t="str">
        <f>检查点拆解!F2522</f>
        <v>D11.01.03</v>
      </c>
      <c r="E2522" s="2">
        <f>--(COUNTIFS($A$2:A2522,A2522,$D$2:D2522,D2522)=1)</f>
        <v>1</v>
      </c>
    </row>
    <row r="2523" spans="1:5">
      <c r="A2523" t="str">
        <f>检查点拆解!A2523</f>
        <v>Q0380</v>
      </c>
      <c r="B2523" t="str">
        <f>检查点拆解!D2523</f>
        <v>C25</v>
      </c>
      <c r="C2523" s="2">
        <f>--(COUNTIFS($A$2:A2523,A2523,$B$2:B2523,B2523)=1)</f>
        <v>1</v>
      </c>
      <c r="D2523" t="str">
        <f>检查点拆解!F2523</f>
        <v>D10.01.01</v>
      </c>
      <c r="E2523" s="2">
        <f>--(COUNTIFS($A$2:A2523,A2523,$D$2:D2523,D2523)=1)</f>
        <v>1</v>
      </c>
    </row>
    <row r="2524" spans="1:5">
      <c r="A2524" t="str">
        <f>检查点拆解!A2524</f>
        <v>Q0380</v>
      </c>
      <c r="B2524" t="str">
        <f>检查点拆解!D2524</f>
        <v>C23</v>
      </c>
      <c r="C2524" s="2">
        <f>--(COUNTIFS($A$2:A2524,A2524,$B$2:B2524,B2524)=1)</f>
        <v>0</v>
      </c>
      <c r="D2524" t="str">
        <f>检查点拆解!F2524</f>
        <v>D09.01.01</v>
      </c>
      <c r="E2524" s="2">
        <f>--(COUNTIFS($A$2:A2524,A2524,$D$2:D2524,D2524)=1)</f>
        <v>1</v>
      </c>
    </row>
    <row r="2525" spans="1:5">
      <c r="A2525" t="str">
        <f>检查点拆解!A2525</f>
        <v>Q0380</v>
      </c>
      <c r="B2525" t="str">
        <f>检查点拆解!D2525</f>
        <v>C26</v>
      </c>
      <c r="C2525" s="2">
        <f>--(COUNTIFS($A$2:A2525,A2525,$B$2:B2525,B2525)=1)</f>
        <v>1</v>
      </c>
      <c r="D2525" t="str">
        <f>检查点拆解!F2525</f>
        <v>D10.02.01</v>
      </c>
      <c r="E2525" s="2">
        <f>--(COUNTIFS($A$2:A2525,A2525,$D$2:D2525,D2525)=1)</f>
        <v>1</v>
      </c>
    </row>
    <row r="2526" spans="1:5">
      <c r="A2526" t="str">
        <f>检查点拆解!A2526</f>
        <v>Q0380</v>
      </c>
      <c r="B2526" t="str">
        <f>检查点拆解!D2526</f>
        <v>C28</v>
      </c>
      <c r="C2526" s="2">
        <f>--(COUNTIFS($A$2:A2526,A2526,$B$2:B2526,B2526)=1)</f>
        <v>1</v>
      </c>
      <c r="D2526" t="str">
        <f>检查点拆解!F2526</f>
        <v>D12.01.01</v>
      </c>
      <c r="E2526" s="2">
        <f>--(COUNTIFS($A$2:A2526,A2526,$D$2:D2526,D2526)=1)</f>
        <v>1</v>
      </c>
    </row>
    <row r="2527" spans="1:5">
      <c r="A2527" t="str">
        <f>检查点拆解!A2527</f>
        <v>Q0380</v>
      </c>
      <c r="B2527" t="str">
        <f>检查点拆解!D2527</f>
        <v>C28</v>
      </c>
      <c r="C2527" s="2">
        <f>--(COUNTIFS($A$2:A2527,A2527,$B$2:B2527,B2527)=1)</f>
        <v>0</v>
      </c>
      <c r="D2527" t="str">
        <f>检查点拆解!F2527</f>
        <v>D12.01.02</v>
      </c>
      <c r="E2527" s="2">
        <f>--(COUNTIFS($A$2:A2527,A2527,$D$2:D2527,D2527)=1)</f>
        <v>1</v>
      </c>
    </row>
    <row r="2528" spans="1:5">
      <c r="A2528" t="str">
        <f>检查点拆解!A2528</f>
        <v>Q0381</v>
      </c>
      <c r="B2528" t="str">
        <f>检查点拆解!D2528</f>
        <v>C27</v>
      </c>
      <c r="C2528" s="2">
        <f>--(COUNTIFS($A$2:A2528,A2528,$B$2:B2528,B2528)=1)</f>
        <v>1</v>
      </c>
      <c r="D2528" t="str">
        <f>检查点拆解!F2528</f>
        <v>D11.01.02</v>
      </c>
      <c r="E2528" s="2">
        <f>--(COUNTIFS($A$2:A2528,A2528,$D$2:D2528,D2528)=1)</f>
        <v>1</v>
      </c>
    </row>
    <row r="2529" spans="1:5">
      <c r="A2529" t="str">
        <f>检查点拆解!A2529</f>
        <v>Q0381</v>
      </c>
      <c r="B2529" t="str">
        <f>检查点拆解!D2529</f>
        <v>C27</v>
      </c>
      <c r="C2529" s="2">
        <f>--(COUNTIFS($A$2:A2529,A2529,$B$2:B2529,B2529)=1)</f>
        <v>0</v>
      </c>
      <c r="D2529" t="str">
        <f>检查点拆解!F2529</f>
        <v>D11.02.04</v>
      </c>
      <c r="E2529" s="2">
        <f>--(COUNTIFS($A$2:A2529,A2529,$D$2:D2529,D2529)=1)</f>
        <v>1</v>
      </c>
    </row>
    <row r="2530" spans="1:5">
      <c r="A2530" t="str">
        <f>检查点拆解!A2530</f>
        <v>Q0381</v>
      </c>
      <c r="B2530" t="str">
        <f>检查点拆解!D2530</f>
        <v>C06</v>
      </c>
      <c r="C2530" s="2">
        <f>--(COUNTIFS($A$2:A2530,A2530,$B$2:B2530,B2530)=1)</f>
        <v>1</v>
      </c>
      <c r="D2530" t="str">
        <f>检查点拆解!F2530</f>
        <v>D03.01.02</v>
      </c>
      <c r="E2530" s="2">
        <f>--(COUNTIFS($A$2:A2530,A2530,$D$2:D2530,D2530)=1)</f>
        <v>1</v>
      </c>
    </row>
    <row r="2531" spans="1:5">
      <c r="A2531" t="str">
        <f>检查点拆解!A2531</f>
        <v>Q0381</v>
      </c>
      <c r="B2531" t="str">
        <f>检查点拆解!D2531</f>
        <v>C28</v>
      </c>
      <c r="C2531" s="2">
        <f>--(COUNTIFS($A$2:A2531,A2531,$B$2:B2531,B2531)=1)</f>
        <v>1</v>
      </c>
      <c r="D2531" t="str">
        <f>检查点拆解!F2531</f>
        <v>D13.02.02</v>
      </c>
      <c r="E2531" s="2">
        <f>--(COUNTIFS($A$2:A2531,A2531,$D$2:D2531,D2531)=1)</f>
        <v>1</v>
      </c>
    </row>
    <row r="2532" spans="1:5">
      <c r="A2532" t="str">
        <f>检查点拆解!A2532</f>
        <v>Q0381</v>
      </c>
      <c r="B2532" t="str">
        <f>检查点拆解!D2532</f>
        <v>C28</v>
      </c>
      <c r="C2532" s="2">
        <f>--(COUNTIFS($A$2:A2532,A2532,$B$2:B2532,B2532)=1)</f>
        <v>0</v>
      </c>
      <c r="D2532" t="str">
        <f>检查点拆解!F2532</f>
        <v>D12.01.01</v>
      </c>
      <c r="E2532" s="2">
        <f>--(COUNTIFS($A$2:A2532,A2532,$D$2:D2532,D2532)=1)</f>
        <v>1</v>
      </c>
    </row>
    <row r="2533" spans="1:5">
      <c r="A2533" t="str">
        <f>检查点拆解!A2533</f>
        <v>Q0381</v>
      </c>
      <c r="B2533" t="str">
        <f>检查点拆解!D2533</f>
        <v>C04</v>
      </c>
      <c r="C2533" s="2">
        <f>--(COUNTIFS($A$2:A2533,A2533,$B$2:B2533,B2533)=1)</f>
        <v>1</v>
      </c>
      <c r="D2533" t="str">
        <f>检查点拆解!F2533</f>
        <v>D02.02.01</v>
      </c>
      <c r="E2533" s="2">
        <f>--(COUNTIFS($A$2:A2533,A2533,$D$2:D2533,D2533)=1)</f>
        <v>1</v>
      </c>
    </row>
    <row r="2534" spans="1:5">
      <c r="A2534" t="str">
        <f>检查点拆解!A2534</f>
        <v>Q0381</v>
      </c>
      <c r="B2534" t="str">
        <f>检查点拆解!D2534</f>
        <v>C06</v>
      </c>
      <c r="C2534" s="2">
        <f>--(COUNTIFS($A$2:A2534,A2534,$B$2:B2534,B2534)=1)</f>
        <v>0</v>
      </c>
      <c r="D2534" t="str">
        <f>检查点拆解!F2534</f>
        <v>D03.01.01</v>
      </c>
      <c r="E2534" s="2">
        <f>--(COUNTIFS($A$2:A2534,A2534,$D$2:D2534,D2534)=1)</f>
        <v>1</v>
      </c>
    </row>
    <row r="2535" spans="1:5">
      <c r="A2535" t="str">
        <f>检查点拆解!A2535</f>
        <v>Q0381</v>
      </c>
      <c r="B2535" t="str">
        <f>检查点拆解!D2535</f>
        <v>C07</v>
      </c>
      <c r="C2535" s="2">
        <f>--(COUNTIFS($A$2:A2535,A2535,$B$2:B2535,B2535)=1)</f>
        <v>1</v>
      </c>
      <c r="D2535" t="str">
        <f>检查点拆解!F2535</f>
        <v>D03.02.02</v>
      </c>
      <c r="E2535" s="2">
        <f>--(COUNTIFS($A$2:A2535,A2535,$D$2:D2535,D2535)=1)</f>
        <v>1</v>
      </c>
    </row>
    <row r="2536" spans="1:5">
      <c r="A2536" t="str">
        <f>检查点拆解!A2536</f>
        <v>Q0382</v>
      </c>
      <c r="B2536" t="str">
        <f>检查点拆解!D2536</f>
        <v>C06</v>
      </c>
      <c r="C2536" s="2">
        <f>--(COUNTIFS($A$2:A2536,A2536,$B$2:B2536,B2536)=1)</f>
        <v>1</v>
      </c>
      <c r="D2536" t="str">
        <f>检查点拆解!F2536</f>
        <v>D03.01.03</v>
      </c>
      <c r="E2536" s="2">
        <f>--(COUNTIFS($A$2:A2536,A2536,$D$2:D2536,D2536)=1)</f>
        <v>1</v>
      </c>
    </row>
    <row r="2537" spans="1:5">
      <c r="A2537" t="str">
        <f>检查点拆解!A2537</f>
        <v>Q0382</v>
      </c>
      <c r="B2537" t="str">
        <f>检查点拆解!D2537</f>
        <v>C27</v>
      </c>
      <c r="C2537" s="2">
        <f>--(COUNTIFS($A$2:A2537,A2537,$B$2:B2537,B2537)=1)</f>
        <v>1</v>
      </c>
      <c r="D2537" t="str">
        <f>检查点拆解!F2537</f>
        <v>D11.02.04</v>
      </c>
      <c r="E2537" s="2">
        <f>--(COUNTIFS($A$2:A2537,A2537,$D$2:D2537,D2537)=1)</f>
        <v>1</v>
      </c>
    </row>
    <row r="2538" spans="1:5">
      <c r="A2538" t="str">
        <f>检查点拆解!A2538</f>
        <v>Q0382</v>
      </c>
      <c r="B2538" t="str">
        <f>检查点拆解!D2538</f>
        <v>C28</v>
      </c>
      <c r="C2538" s="2">
        <f>--(COUNTIFS($A$2:A2538,A2538,$B$2:B2538,B2538)=1)</f>
        <v>1</v>
      </c>
      <c r="D2538" t="str">
        <f>检查点拆解!F2538</f>
        <v>D12.02.01</v>
      </c>
      <c r="E2538" s="2">
        <f>--(COUNTIFS($A$2:A2538,A2538,$D$2:D2538,D2538)=1)</f>
        <v>1</v>
      </c>
    </row>
    <row r="2539" spans="1:5">
      <c r="A2539" t="str">
        <f>检查点拆解!A2539</f>
        <v>Q0382</v>
      </c>
      <c r="B2539" t="str">
        <f>检查点拆解!D2539</f>
        <v>C26</v>
      </c>
      <c r="C2539" s="2">
        <f>--(COUNTIFS($A$2:A2539,A2539,$B$2:B2539,B2539)=1)</f>
        <v>1</v>
      </c>
      <c r="D2539" t="str">
        <f>检查点拆解!F2539</f>
        <v>D10.02.01</v>
      </c>
      <c r="E2539" s="2">
        <f>--(COUNTIFS($A$2:A2539,A2539,$D$2:D2539,D2539)=1)</f>
        <v>1</v>
      </c>
    </row>
    <row r="2540" spans="1:5">
      <c r="A2540" t="str">
        <f>检查点拆解!A2540</f>
        <v>Q0382</v>
      </c>
      <c r="B2540" t="str">
        <f>检查点拆解!D2540</f>
        <v>C28</v>
      </c>
      <c r="C2540" s="2">
        <f>--(COUNTIFS($A$2:A2540,A2540,$B$2:B2540,B2540)=1)</f>
        <v>0</v>
      </c>
      <c r="D2540" t="str">
        <f>检查点拆解!F2540</f>
        <v>D12.01.01</v>
      </c>
      <c r="E2540" s="2">
        <f>--(COUNTIFS($A$2:A2540,A2540,$D$2:D2540,D2540)=1)</f>
        <v>1</v>
      </c>
    </row>
    <row r="2541" spans="1:5">
      <c r="A2541" t="str">
        <f>检查点拆解!A2541</f>
        <v>Q0382</v>
      </c>
      <c r="B2541" t="str">
        <f>检查点拆解!D2541</f>
        <v>C28</v>
      </c>
      <c r="C2541" s="2">
        <f>--(COUNTIFS($A$2:A2541,A2541,$B$2:B2541,B2541)=1)</f>
        <v>0</v>
      </c>
      <c r="D2541" t="str">
        <f>检查点拆解!F2541</f>
        <v>D12.01.02</v>
      </c>
      <c r="E2541" s="2">
        <f>--(COUNTIFS($A$2:A2541,A2541,$D$2:D2541,D2541)=1)</f>
        <v>1</v>
      </c>
    </row>
    <row r="2542" spans="1:5">
      <c r="A2542" t="str">
        <f>检查点拆解!A2542</f>
        <v>Q0382</v>
      </c>
      <c r="B2542" t="str">
        <f>检查点拆解!D2542</f>
        <v>C04</v>
      </c>
      <c r="C2542" s="2">
        <f>--(COUNTIFS($A$2:A2542,A2542,$B$2:B2542,B2542)=1)</f>
        <v>1</v>
      </c>
      <c r="D2542" t="str">
        <f>检查点拆解!F2542</f>
        <v>D02.02.01</v>
      </c>
      <c r="E2542" s="2">
        <f>--(COUNTIFS($A$2:A2542,A2542,$D$2:D2542,D2542)=1)</f>
        <v>1</v>
      </c>
    </row>
    <row r="2543" spans="1:5">
      <c r="A2543" t="str">
        <f>检查点拆解!A2543</f>
        <v>Q0382</v>
      </c>
      <c r="B2543" t="str">
        <f>检查点拆解!D2543</f>
        <v>C06</v>
      </c>
      <c r="C2543" s="2">
        <f>--(COUNTIFS($A$2:A2543,A2543,$B$2:B2543,B2543)=1)</f>
        <v>0</v>
      </c>
      <c r="D2543" t="str">
        <f>检查点拆解!F2543</f>
        <v>D03.01.01</v>
      </c>
      <c r="E2543" s="2">
        <f>--(COUNTIFS($A$2:A2543,A2543,$D$2:D2543,D2543)=1)</f>
        <v>1</v>
      </c>
    </row>
    <row r="2544" spans="1:5">
      <c r="A2544" t="str">
        <f>检查点拆解!A2544</f>
        <v>Q0382</v>
      </c>
      <c r="B2544" t="str">
        <f>检查点拆解!D2544</f>
        <v>C14</v>
      </c>
      <c r="C2544" s="2">
        <f>--(COUNTIFS($A$2:A2544,A2544,$B$2:B2544,B2544)=1)</f>
        <v>1</v>
      </c>
      <c r="D2544" t="str">
        <f>检查点拆解!F2544</f>
        <v>D05.01.01</v>
      </c>
      <c r="E2544" s="2">
        <f>--(COUNTIFS($A$2:A2544,A2544,$D$2:D2544,D2544)=1)</f>
        <v>1</v>
      </c>
    </row>
    <row r="2545" spans="1:5">
      <c r="A2545" t="str">
        <f>检查点拆解!A2545</f>
        <v>Q0383</v>
      </c>
      <c r="B2545" t="str">
        <f>检查点拆解!D2545</f>
        <v>C24</v>
      </c>
      <c r="C2545" s="2">
        <f>--(COUNTIFS($A$2:A2545,A2545,$B$2:B2545,B2545)=1)</f>
        <v>1</v>
      </c>
      <c r="D2545" t="str">
        <f>检查点拆解!F2545</f>
        <v>D09.03.03</v>
      </c>
      <c r="E2545" s="2">
        <f>--(COUNTIFS($A$2:A2545,A2545,$D$2:D2545,D2545)=1)</f>
        <v>1</v>
      </c>
    </row>
    <row r="2546" spans="1:5">
      <c r="A2546" t="str">
        <f>检查点拆解!A2546</f>
        <v>Q0383</v>
      </c>
      <c r="B2546" t="str">
        <f>检查点拆解!D2546</f>
        <v>C27</v>
      </c>
      <c r="C2546" s="2">
        <f>--(COUNTIFS($A$2:A2546,A2546,$B$2:B2546,B2546)=1)</f>
        <v>1</v>
      </c>
      <c r="D2546" t="str">
        <f>检查点拆解!F2546</f>
        <v>D11.01.03</v>
      </c>
      <c r="E2546" s="2">
        <f>--(COUNTIFS($A$2:A2546,A2546,$D$2:D2546,D2546)=1)</f>
        <v>1</v>
      </c>
    </row>
    <row r="2547" spans="1:5">
      <c r="A2547" t="str">
        <f>检查点拆解!A2547</f>
        <v>Q0383</v>
      </c>
      <c r="B2547" t="str">
        <f>检查点拆解!D2547</f>
        <v>C24</v>
      </c>
      <c r="C2547" s="2">
        <f>--(COUNTIFS($A$2:A2547,A2547,$B$2:B2547,B2547)=1)</f>
        <v>0</v>
      </c>
      <c r="D2547" t="str">
        <f>检查点拆解!F2547</f>
        <v>D09.02.03</v>
      </c>
      <c r="E2547" s="2">
        <f>--(COUNTIFS($A$2:A2547,A2547,$D$2:D2547,D2547)=1)</f>
        <v>1</v>
      </c>
    </row>
    <row r="2548" spans="1:5">
      <c r="A2548" t="str">
        <f>检查点拆解!A2548</f>
        <v>Q0383</v>
      </c>
      <c r="B2548" t="str">
        <f>检查点拆解!D2548</f>
        <v>C25</v>
      </c>
      <c r="C2548" s="2">
        <f>--(COUNTIFS($A$2:A2548,A2548,$B$2:B2548,B2548)=1)</f>
        <v>1</v>
      </c>
      <c r="D2548" t="str">
        <f>检查点拆解!F2548</f>
        <v>D10.01.01</v>
      </c>
      <c r="E2548" s="2">
        <f>--(COUNTIFS($A$2:A2548,A2548,$D$2:D2548,D2548)=1)</f>
        <v>1</v>
      </c>
    </row>
    <row r="2549" spans="1:5">
      <c r="A2549" t="str">
        <f>检查点拆解!A2549</f>
        <v>Q0383</v>
      </c>
      <c r="B2549" t="str">
        <f>检查点拆解!D2549</f>
        <v>C30</v>
      </c>
      <c r="C2549" s="2">
        <f>--(COUNTIFS($A$2:A2549,A2549,$B$2:B2549,B2549)=1)</f>
        <v>1</v>
      </c>
      <c r="D2549" t="str">
        <f>检查点拆解!F2549</f>
        <v>D15.01.04</v>
      </c>
      <c r="E2549" s="2">
        <f>--(COUNTIFS($A$2:A2549,A2549,$D$2:D2549,D2549)=1)</f>
        <v>1</v>
      </c>
    </row>
    <row r="2550" spans="1:5">
      <c r="A2550" t="str">
        <f>检查点拆解!A2550</f>
        <v>Q0383</v>
      </c>
      <c r="B2550" t="str">
        <f>检查点拆解!D2550</f>
        <v>C06</v>
      </c>
      <c r="C2550" s="2">
        <f>--(COUNTIFS($A$2:A2550,A2550,$B$2:B2550,B2550)=1)</f>
        <v>1</v>
      </c>
      <c r="D2550" t="str">
        <f>检查点拆解!F2550</f>
        <v>D03.01.02</v>
      </c>
      <c r="E2550" s="2">
        <f>--(COUNTIFS($A$2:A2550,A2550,$D$2:D2550,D2550)=1)</f>
        <v>1</v>
      </c>
    </row>
    <row r="2551" spans="1:5">
      <c r="A2551" t="str">
        <f>检查点拆解!A2551</f>
        <v>Q0383</v>
      </c>
      <c r="B2551" t="str">
        <f>检查点拆解!D2551</f>
        <v>C28</v>
      </c>
      <c r="C2551" s="2">
        <f>--(COUNTIFS($A$2:A2551,A2551,$B$2:B2551,B2551)=1)</f>
        <v>1</v>
      </c>
      <c r="D2551" t="str">
        <f>检查点拆解!F2551</f>
        <v>D12.02.01</v>
      </c>
      <c r="E2551" s="2">
        <f>--(COUNTIFS($A$2:A2551,A2551,$D$2:D2551,D2551)=1)</f>
        <v>1</v>
      </c>
    </row>
    <row r="2552" spans="1:5">
      <c r="A2552" t="str">
        <f>检查点拆解!A2552</f>
        <v>Q0383</v>
      </c>
      <c r="B2552" t="str">
        <f>检查点拆解!D2552</f>
        <v>C26</v>
      </c>
      <c r="C2552" s="2">
        <f>--(COUNTIFS($A$2:A2552,A2552,$B$2:B2552,B2552)=1)</f>
        <v>1</v>
      </c>
      <c r="D2552" t="str">
        <f>检查点拆解!F2552</f>
        <v>D10.02.01</v>
      </c>
      <c r="E2552" s="2">
        <f>--(COUNTIFS($A$2:A2552,A2552,$D$2:D2552,D2552)=1)</f>
        <v>1</v>
      </c>
    </row>
    <row r="2553" spans="1:5">
      <c r="A2553" t="str">
        <f>检查点拆解!A2553</f>
        <v>Q0384</v>
      </c>
      <c r="B2553" t="str">
        <f>检查点拆解!D2553</f>
        <v>C30</v>
      </c>
      <c r="C2553" s="2">
        <f>--(COUNTIFS($A$2:A2553,A2553,$B$2:B2553,B2553)=1)</f>
        <v>1</v>
      </c>
      <c r="D2553" t="str">
        <f>检查点拆解!F2553</f>
        <v>D15.01.02</v>
      </c>
      <c r="E2553" s="2">
        <f>--(COUNTIFS($A$2:A2553,A2553,$D$2:D2553,D2553)=1)</f>
        <v>1</v>
      </c>
    </row>
    <row r="2554" spans="1:5">
      <c r="A2554" t="str">
        <f>检查点拆解!A2554</f>
        <v>Q0384</v>
      </c>
      <c r="B2554" t="str">
        <f>检查点拆解!D2554</f>
        <v>C27</v>
      </c>
      <c r="C2554" s="2">
        <f>--(COUNTIFS($A$2:A2554,A2554,$B$2:B2554,B2554)=1)</f>
        <v>1</v>
      </c>
      <c r="D2554" t="str">
        <f>检查点拆解!F2554</f>
        <v>D11.02.02</v>
      </c>
      <c r="E2554" s="2">
        <f>--(COUNTIFS($A$2:A2554,A2554,$D$2:D2554,D2554)=1)</f>
        <v>1</v>
      </c>
    </row>
    <row r="2555" spans="1:5">
      <c r="A2555" t="str">
        <f>检查点拆解!A2555</f>
        <v>Q0384</v>
      </c>
      <c r="B2555" t="str">
        <f>检查点拆解!D2555</f>
        <v>C27</v>
      </c>
      <c r="C2555" s="2">
        <f>--(COUNTIFS($A$2:A2555,A2555,$B$2:B2555,B2555)=1)</f>
        <v>0</v>
      </c>
      <c r="D2555" t="str">
        <f>检查点拆解!F2555</f>
        <v>D11.02.03</v>
      </c>
      <c r="E2555" s="2">
        <f>--(COUNTIFS($A$2:A2555,A2555,$D$2:D2555,D2555)=1)</f>
        <v>1</v>
      </c>
    </row>
    <row r="2556" spans="1:5">
      <c r="A2556" t="str">
        <f>检查点拆解!A2556</f>
        <v>Q0384</v>
      </c>
      <c r="B2556" t="str">
        <f>检查点拆解!D2556</f>
        <v>C24</v>
      </c>
      <c r="C2556" s="2">
        <f>--(COUNTIFS($A$2:A2556,A2556,$B$2:B2556,B2556)=1)</f>
        <v>1</v>
      </c>
      <c r="D2556" t="str">
        <f>检查点拆解!F2556</f>
        <v>D09.03.03</v>
      </c>
      <c r="E2556" s="2">
        <f>--(COUNTIFS($A$2:A2556,A2556,$D$2:D2556,D2556)=1)</f>
        <v>1</v>
      </c>
    </row>
    <row r="2557" spans="1:5">
      <c r="A2557" t="str">
        <f>检查点拆解!A2557</f>
        <v>Q0384</v>
      </c>
      <c r="B2557" t="str">
        <f>检查点拆解!D2557</f>
        <v>C25</v>
      </c>
      <c r="C2557" s="2">
        <f>--(COUNTIFS($A$2:A2557,A2557,$B$2:B2557,B2557)=1)</f>
        <v>1</v>
      </c>
      <c r="D2557" t="str">
        <f>检查点拆解!F2557</f>
        <v>D10.01.01</v>
      </c>
      <c r="E2557" s="2">
        <f>--(COUNTIFS($A$2:A2557,A2557,$D$2:D2557,D2557)=1)</f>
        <v>1</v>
      </c>
    </row>
    <row r="2558" spans="1:5">
      <c r="A2558" t="str">
        <f>检查点拆解!A2558</f>
        <v>Q0384</v>
      </c>
      <c r="B2558" t="str">
        <f>检查点拆解!D2558</f>
        <v>C28</v>
      </c>
      <c r="C2558" s="2">
        <f>--(COUNTIFS($A$2:A2558,A2558,$B$2:B2558,B2558)=1)</f>
        <v>1</v>
      </c>
      <c r="D2558" t="str">
        <f>检查点拆解!F2558</f>
        <v>D12.02.01</v>
      </c>
      <c r="E2558" s="2">
        <f>--(COUNTIFS($A$2:A2558,A2558,$D$2:D2558,D2558)=1)</f>
        <v>1</v>
      </c>
    </row>
    <row r="2559" spans="1:5">
      <c r="A2559" t="str">
        <f>检查点拆解!A2559</f>
        <v>Q0385</v>
      </c>
      <c r="B2559" t="str">
        <f>检查点拆解!D2559</f>
        <v>C28</v>
      </c>
      <c r="C2559" s="2">
        <f>--(COUNTIFS($A$2:A2559,A2559,$B$2:B2559,B2559)=1)</f>
        <v>1</v>
      </c>
      <c r="D2559" t="str">
        <f>检查点拆解!F2559</f>
        <v>D12.01.02</v>
      </c>
      <c r="E2559" s="2">
        <f>--(COUNTIFS($A$2:A2559,A2559,$D$2:D2559,D2559)=1)</f>
        <v>1</v>
      </c>
    </row>
    <row r="2560" spans="1:5">
      <c r="A2560" t="str">
        <f>检查点拆解!A2560</f>
        <v>Q0385</v>
      </c>
      <c r="B2560" t="str">
        <f>检查点拆解!D2560</f>
        <v>C28</v>
      </c>
      <c r="C2560" s="2">
        <f>--(COUNTIFS($A$2:A2560,A2560,$B$2:B2560,B2560)=1)</f>
        <v>0</v>
      </c>
      <c r="D2560" t="str">
        <f>检查点拆解!F2560</f>
        <v>D12.01.03</v>
      </c>
      <c r="E2560" s="2">
        <f>--(COUNTIFS($A$2:A2560,A2560,$D$2:D2560,D2560)=1)</f>
        <v>1</v>
      </c>
    </row>
    <row r="2561" spans="1:5">
      <c r="A2561" t="str">
        <f>检查点拆解!A2561</f>
        <v>Q0385</v>
      </c>
      <c r="B2561" t="str">
        <f>检查点拆解!D2561</f>
        <v>C05</v>
      </c>
      <c r="C2561" s="2">
        <f>--(COUNTIFS($A$2:A2561,A2561,$B$2:B2561,B2561)=1)</f>
        <v>1</v>
      </c>
      <c r="D2561" t="str">
        <f>检查点拆解!F2561</f>
        <v>D02.03.01</v>
      </c>
      <c r="E2561" s="2">
        <f>--(COUNTIFS($A$2:A2561,A2561,$D$2:D2561,D2561)=1)</f>
        <v>1</v>
      </c>
    </row>
    <row r="2562" spans="1:5">
      <c r="A2562" t="str">
        <f>检查点拆解!A2562</f>
        <v>Q0386</v>
      </c>
      <c r="B2562" t="str">
        <f>检查点拆解!D2562</f>
        <v>C27</v>
      </c>
      <c r="C2562" s="2">
        <f>--(COUNTIFS($A$2:A2562,A2562,$B$2:B2562,B2562)=1)</f>
        <v>1</v>
      </c>
      <c r="D2562" t="str">
        <f>检查点拆解!F2562</f>
        <v>D11.01.01</v>
      </c>
      <c r="E2562" s="2">
        <f>--(COUNTIFS($A$2:A2562,A2562,$D$2:D2562,D2562)=1)</f>
        <v>1</v>
      </c>
    </row>
    <row r="2563" spans="1:5">
      <c r="A2563" t="str">
        <f>检查点拆解!A2563</f>
        <v>Q0386</v>
      </c>
      <c r="B2563" t="str">
        <f>检查点拆解!D2563</f>
        <v>C28</v>
      </c>
      <c r="C2563" s="2">
        <f>--(COUNTIFS($A$2:A2563,A2563,$B$2:B2563,B2563)=1)</f>
        <v>1</v>
      </c>
      <c r="D2563" t="str">
        <f>检查点拆解!F2563</f>
        <v>D12.02.01</v>
      </c>
      <c r="E2563" s="2">
        <f>--(COUNTIFS($A$2:A2563,A2563,$D$2:D2563,D2563)=1)</f>
        <v>1</v>
      </c>
    </row>
    <row r="2564" spans="1:5">
      <c r="A2564" t="str">
        <f>检查点拆解!A2564</f>
        <v>Q0386</v>
      </c>
      <c r="B2564" t="str">
        <f>检查点拆解!D2564</f>
        <v>C28</v>
      </c>
      <c r="C2564" s="2">
        <f>--(COUNTIFS($A$2:A2564,A2564,$B$2:B2564,B2564)=1)</f>
        <v>0</v>
      </c>
      <c r="D2564" t="str">
        <f>检查点拆解!F2564</f>
        <v>D12.01.02</v>
      </c>
      <c r="E2564" s="2">
        <f>--(COUNTIFS($A$2:A2564,A2564,$D$2:D2564,D2564)=1)</f>
        <v>1</v>
      </c>
    </row>
    <row r="2565" spans="1:5">
      <c r="A2565" t="str">
        <f>检查点拆解!A2565</f>
        <v>Q0386</v>
      </c>
      <c r="B2565" t="str">
        <f>检查点拆解!D2565</f>
        <v>C14</v>
      </c>
      <c r="C2565" s="2">
        <f>--(COUNTIFS($A$2:A2565,A2565,$B$2:B2565,B2565)=1)</f>
        <v>1</v>
      </c>
      <c r="D2565" t="str">
        <f>检查点拆解!F2565</f>
        <v>D05.01.01</v>
      </c>
      <c r="E2565" s="2">
        <f>--(COUNTIFS($A$2:A2565,A2565,$D$2:D2565,D2565)=1)</f>
        <v>1</v>
      </c>
    </row>
    <row r="2566" spans="1:5">
      <c r="A2566" t="str">
        <f>检查点拆解!A2566</f>
        <v>Q0386</v>
      </c>
      <c r="B2566" t="str">
        <f>检查点拆解!D2566</f>
        <v>C04</v>
      </c>
      <c r="C2566" s="2">
        <f>--(COUNTIFS($A$2:A2566,A2566,$B$2:B2566,B2566)=1)</f>
        <v>1</v>
      </c>
      <c r="D2566" t="str">
        <f>检查点拆解!F2566</f>
        <v>D02.02.02</v>
      </c>
      <c r="E2566" s="2">
        <f>--(COUNTIFS($A$2:A2566,A2566,$D$2:D2566,D2566)=1)</f>
        <v>1</v>
      </c>
    </row>
    <row r="2567" spans="1:5">
      <c r="A2567" t="str">
        <f>检查点拆解!A2567</f>
        <v>Q0386</v>
      </c>
      <c r="B2567" t="str">
        <f>检查点拆解!D2567</f>
        <v>C05</v>
      </c>
      <c r="C2567" s="2">
        <f>--(COUNTIFS($A$2:A2567,A2567,$B$2:B2567,B2567)=1)</f>
        <v>1</v>
      </c>
      <c r="D2567" t="str">
        <f>检查点拆解!F2567</f>
        <v>D02.03.01</v>
      </c>
      <c r="E2567" s="2">
        <f>--(COUNTIFS($A$2:A2567,A2567,$D$2:D2567,D2567)=1)</f>
        <v>1</v>
      </c>
    </row>
    <row r="2568" spans="1:5">
      <c r="A2568" t="str">
        <f>检查点拆解!A2568</f>
        <v>Q0387</v>
      </c>
      <c r="B2568" t="str">
        <f>检查点拆解!D2568</f>
        <v>C24</v>
      </c>
      <c r="C2568" s="2">
        <f>--(COUNTIFS($A$2:A2568,A2568,$B$2:B2568,B2568)=1)</f>
        <v>1</v>
      </c>
      <c r="D2568" t="str">
        <f>检查点拆解!F2568</f>
        <v>D09.02.02</v>
      </c>
      <c r="E2568" s="2">
        <f>--(COUNTIFS($A$2:A2568,A2568,$D$2:D2568,D2568)=1)</f>
        <v>1</v>
      </c>
    </row>
    <row r="2569" spans="1:5">
      <c r="A2569" t="str">
        <f>检查点拆解!A2569</f>
        <v>Q0387</v>
      </c>
      <c r="B2569" t="str">
        <f>检查点拆解!D2569</f>
        <v>C06</v>
      </c>
      <c r="C2569" s="2">
        <f>--(COUNTIFS($A$2:A2569,A2569,$B$2:B2569,B2569)=1)</f>
        <v>1</v>
      </c>
      <c r="D2569" t="str">
        <f>检查点拆解!F2569</f>
        <v>D03.01.03</v>
      </c>
      <c r="E2569" s="2">
        <f>--(COUNTIFS($A$2:A2569,A2569,$D$2:D2569,D2569)=1)</f>
        <v>1</v>
      </c>
    </row>
    <row r="2570" spans="1:5">
      <c r="A2570" t="str">
        <f>检查点拆解!A2570</f>
        <v>Q0387</v>
      </c>
      <c r="B2570" t="str">
        <f>检查点拆解!D2570</f>
        <v>C18</v>
      </c>
      <c r="C2570" s="2">
        <f>--(COUNTIFS($A$2:A2570,A2570,$B$2:B2570,B2570)=1)</f>
        <v>1</v>
      </c>
      <c r="D2570" t="str">
        <f>检查点拆解!F2570</f>
        <v>D07.01.01</v>
      </c>
      <c r="E2570" s="2">
        <f>--(COUNTIFS($A$2:A2570,A2570,$D$2:D2570,D2570)=1)</f>
        <v>1</v>
      </c>
    </row>
    <row r="2571" spans="1:5">
      <c r="A2571" t="str">
        <f>检查点拆解!A2571</f>
        <v>Q0387</v>
      </c>
      <c r="B2571" t="str">
        <f>检查点拆解!D2571</f>
        <v>C25</v>
      </c>
      <c r="C2571" s="2">
        <f>--(COUNTIFS($A$2:A2571,A2571,$B$2:B2571,B2571)=1)</f>
        <v>1</v>
      </c>
      <c r="D2571" t="str">
        <f>检查点拆解!F2571</f>
        <v>D10.01.01</v>
      </c>
      <c r="E2571" s="2">
        <f>--(COUNTIFS($A$2:A2571,A2571,$D$2:D2571,D2571)=1)</f>
        <v>1</v>
      </c>
    </row>
    <row r="2572" spans="1:5">
      <c r="A2572" t="str">
        <f>检查点拆解!A2572</f>
        <v>Q0388</v>
      </c>
      <c r="B2572" t="str">
        <f>检查点拆解!D2572</f>
        <v>C17</v>
      </c>
      <c r="C2572" s="2">
        <f>--(COUNTIFS($A$2:A2572,A2572,$B$2:B2572,B2572)=1)</f>
        <v>1</v>
      </c>
      <c r="D2572" t="str">
        <f>检查点拆解!F2572</f>
        <v>D06.02.01</v>
      </c>
      <c r="E2572" s="2">
        <f>--(COUNTIFS($A$2:A2572,A2572,$D$2:D2572,D2572)=1)</f>
        <v>1</v>
      </c>
    </row>
    <row r="2573" spans="1:5">
      <c r="A2573" t="str">
        <f>检查点拆解!A2573</f>
        <v>Q0388</v>
      </c>
      <c r="B2573" t="str">
        <f>检查点拆解!D2573</f>
        <v>C28</v>
      </c>
      <c r="C2573" s="2">
        <f>--(COUNTIFS($A$2:A2573,A2573,$B$2:B2573,B2573)=1)</f>
        <v>1</v>
      </c>
      <c r="D2573" t="str">
        <f>检查点拆解!F2573</f>
        <v>D12.01.02</v>
      </c>
      <c r="E2573" s="2">
        <f>--(COUNTIFS($A$2:A2573,A2573,$D$2:D2573,D2573)=1)</f>
        <v>1</v>
      </c>
    </row>
    <row r="2574" spans="1:5">
      <c r="A2574" t="str">
        <f>检查点拆解!A2574</f>
        <v>Q0388</v>
      </c>
      <c r="B2574" t="str">
        <f>检查点拆解!D2574</f>
        <v>C04</v>
      </c>
      <c r="C2574" s="2">
        <f>--(COUNTIFS($A$2:A2574,A2574,$B$2:B2574,B2574)=1)</f>
        <v>1</v>
      </c>
      <c r="D2574" t="str">
        <f>检查点拆解!F2574</f>
        <v>D02.02.01</v>
      </c>
      <c r="E2574" s="2">
        <f>--(COUNTIFS($A$2:A2574,A2574,$D$2:D2574,D2574)=1)</f>
        <v>1</v>
      </c>
    </row>
    <row r="2575" spans="1:5">
      <c r="A2575" t="str">
        <f>检查点拆解!A2575</f>
        <v>Q0389</v>
      </c>
      <c r="B2575" t="str">
        <f>检查点拆解!D2575</f>
        <v>C14</v>
      </c>
      <c r="C2575" s="2">
        <f>--(COUNTIFS($A$2:A2575,A2575,$B$2:B2575,B2575)=1)</f>
        <v>1</v>
      </c>
      <c r="D2575" t="str">
        <f>检查点拆解!F2575</f>
        <v>D08.01.01</v>
      </c>
      <c r="E2575" s="2">
        <f>--(COUNTIFS($A$2:A2575,A2575,$D$2:D2575,D2575)=1)</f>
        <v>1</v>
      </c>
    </row>
    <row r="2576" spans="1:5">
      <c r="A2576" t="str">
        <f>检查点拆解!A2576</f>
        <v>Q0389</v>
      </c>
      <c r="B2576" t="str">
        <f>检查点拆解!D2576</f>
        <v>C04</v>
      </c>
      <c r="C2576" s="2">
        <f>--(COUNTIFS($A$2:A2576,A2576,$B$2:B2576,B2576)=1)</f>
        <v>1</v>
      </c>
      <c r="D2576" t="str">
        <f>检查点拆解!F2576</f>
        <v>D02.02.01</v>
      </c>
      <c r="E2576" s="2">
        <f>--(COUNTIFS($A$2:A2576,A2576,$D$2:D2576,D2576)=1)</f>
        <v>1</v>
      </c>
    </row>
    <row r="2577" spans="1:5">
      <c r="A2577" t="str">
        <f>检查点拆解!A2577</f>
        <v>Q0390</v>
      </c>
      <c r="B2577" t="str">
        <f>检查点拆解!D2577</f>
        <v>C06</v>
      </c>
      <c r="C2577" s="2">
        <f>--(COUNTIFS($A$2:A2577,A2577,$B$2:B2577,B2577)=1)</f>
        <v>1</v>
      </c>
      <c r="D2577" t="str">
        <f>检查点拆解!F2577</f>
        <v>D03.01.03</v>
      </c>
      <c r="E2577" s="2">
        <f>--(COUNTIFS($A$2:A2577,A2577,$D$2:D2577,D2577)=1)</f>
        <v>1</v>
      </c>
    </row>
    <row r="2578" spans="1:5">
      <c r="A2578" t="str">
        <f>检查点拆解!A2578</f>
        <v>Q0390</v>
      </c>
      <c r="B2578" t="str">
        <f>检查点拆解!D2578</f>
        <v>C17</v>
      </c>
      <c r="C2578" s="2">
        <f>--(COUNTIFS($A$2:A2578,A2578,$B$2:B2578,B2578)=1)</f>
        <v>1</v>
      </c>
      <c r="D2578" t="str">
        <f>检查点拆解!F2578</f>
        <v>D06.01.01</v>
      </c>
      <c r="E2578" s="2">
        <f>--(COUNTIFS($A$2:A2578,A2578,$D$2:D2578,D2578)=1)</f>
        <v>1</v>
      </c>
    </row>
    <row r="2579" spans="1:5">
      <c r="A2579" t="str">
        <f>检查点拆解!A2579</f>
        <v>Q0390</v>
      </c>
      <c r="B2579" t="str">
        <f>检查点拆解!D2579</f>
        <v>C04</v>
      </c>
      <c r="C2579" s="2">
        <f>--(COUNTIFS($A$2:A2579,A2579,$B$2:B2579,B2579)=1)</f>
        <v>1</v>
      </c>
      <c r="D2579" t="str">
        <f>检查点拆解!F2579</f>
        <v>D02.02.01</v>
      </c>
      <c r="E2579" s="2">
        <f>--(COUNTIFS($A$2:A2579,A2579,$D$2:D2579,D2579)=1)</f>
        <v>1</v>
      </c>
    </row>
    <row r="2580" spans="1:5">
      <c r="A2580" t="str">
        <f>检查点拆解!A2580</f>
        <v>Q0391</v>
      </c>
      <c r="B2580" t="str">
        <f>检查点拆解!D2580</f>
        <v>C30</v>
      </c>
      <c r="C2580" s="2">
        <f>--(COUNTIFS($A$2:A2580,A2580,$B$2:B2580,B2580)=1)</f>
        <v>1</v>
      </c>
      <c r="D2580" t="str">
        <f>检查点拆解!F2580</f>
        <v>D15.01.02</v>
      </c>
      <c r="E2580" s="2">
        <f>--(COUNTIFS($A$2:A2580,A2580,$D$2:D2580,D2580)=1)</f>
        <v>1</v>
      </c>
    </row>
    <row r="2581" spans="1:5">
      <c r="A2581" t="str">
        <f>检查点拆解!A2581</f>
        <v>Q0391</v>
      </c>
      <c r="B2581" t="str">
        <f>检查点拆解!D2581</f>
        <v>C25</v>
      </c>
      <c r="C2581" s="2">
        <f>--(COUNTIFS($A$2:A2581,A2581,$B$2:B2581,B2581)=1)</f>
        <v>1</v>
      </c>
      <c r="D2581" t="str">
        <f>检查点拆解!F2581</f>
        <v>D10.01.01</v>
      </c>
      <c r="E2581" s="2">
        <f>--(COUNTIFS($A$2:A2581,A2581,$D$2:D2581,D2581)=1)</f>
        <v>1</v>
      </c>
    </row>
    <row r="2582" spans="1:5">
      <c r="A2582" t="str">
        <f>检查点拆解!A2582</f>
        <v>Q0391</v>
      </c>
      <c r="B2582" t="str">
        <f>检查点拆解!D2582</f>
        <v>C06</v>
      </c>
      <c r="C2582" s="2">
        <f>--(COUNTIFS($A$2:A2582,A2582,$B$2:B2582,B2582)=1)</f>
        <v>1</v>
      </c>
      <c r="D2582" t="str">
        <f>检查点拆解!F2582</f>
        <v>D03.01.02</v>
      </c>
      <c r="E2582" s="2">
        <f>--(COUNTIFS($A$2:A2582,A2582,$D$2:D2582,D2582)=1)</f>
        <v>1</v>
      </c>
    </row>
    <row r="2583" spans="1:5">
      <c r="A2583" t="str">
        <f>检查点拆解!A2583</f>
        <v>Q0391</v>
      </c>
      <c r="B2583" t="str">
        <f>检查点拆解!D2583</f>
        <v>C28</v>
      </c>
      <c r="C2583" s="2">
        <f>--(COUNTIFS($A$2:A2583,A2583,$B$2:B2583,B2583)=1)</f>
        <v>1</v>
      </c>
      <c r="D2583" t="str">
        <f>检查点拆解!F2583</f>
        <v>D12.01.01</v>
      </c>
      <c r="E2583" s="2">
        <f>--(COUNTIFS($A$2:A2583,A2583,$D$2:D2583,D2583)=1)</f>
        <v>1</v>
      </c>
    </row>
    <row r="2584" spans="1:5">
      <c r="A2584" t="str">
        <f>检查点拆解!A2584</f>
        <v>Q0391</v>
      </c>
      <c r="B2584" t="str">
        <f>检查点拆解!D2584</f>
        <v>C28</v>
      </c>
      <c r="C2584" s="2">
        <f>--(COUNTIFS($A$2:A2584,A2584,$B$2:B2584,B2584)=1)</f>
        <v>0</v>
      </c>
      <c r="D2584" t="str">
        <f>检查点拆解!F2584</f>
        <v>D12.01.02</v>
      </c>
      <c r="E2584" s="2">
        <f>--(COUNTIFS($A$2:A2584,A2584,$D$2:D2584,D2584)=1)</f>
        <v>1</v>
      </c>
    </row>
    <row r="2585" spans="1:5">
      <c r="A2585" t="str">
        <f>检查点拆解!A2585</f>
        <v>Q0391</v>
      </c>
      <c r="B2585" t="str">
        <f>检查点拆解!D2585</f>
        <v>C04</v>
      </c>
      <c r="C2585" s="2">
        <f>--(COUNTIFS($A$2:A2585,A2585,$B$2:B2585,B2585)=1)</f>
        <v>1</v>
      </c>
      <c r="D2585" t="str">
        <f>检查点拆解!F2585</f>
        <v>D02.02.01</v>
      </c>
      <c r="E2585" s="2">
        <f>--(COUNTIFS($A$2:A2585,A2585,$D$2:D2585,D2585)=1)</f>
        <v>1</v>
      </c>
    </row>
    <row r="2586" spans="1:5">
      <c r="A2586" t="str">
        <f>检查点拆解!A2586</f>
        <v>Q0392</v>
      </c>
      <c r="B2586" t="str">
        <f>检查点拆解!D2586</f>
        <v>C30</v>
      </c>
      <c r="C2586" s="2">
        <f>--(COUNTIFS($A$2:A2586,A2586,$B$2:B2586,B2586)=1)</f>
        <v>1</v>
      </c>
      <c r="D2586" t="str">
        <f>检查点拆解!F2586</f>
        <v>D15.01.02</v>
      </c>
      <c r="E2586" s="2">
        <f>--(COUNTIFS($A$2:A2586,A2586,$D$2:D2586,D2586)=1)</f>
        <v>1</v>
      </c>
    </row>
    <row r="2587" spans="1:5">
      <c r="A2587" t="str">
        <f>检查点拆解!A2587</f>
        <v>Q0392</v>
      </c>
      <c r="B2587" t="str">
        <f>检查点拆解!D2587</f>
        <v>C06</v>
      </c>
      <c r="C2587" s="2">
        <f>--(COUNTIFS($A$2:A2587,A2587,$B$2:B2587,B2587)=1)</f>
        <v>1</v>
      </c>
      <c r="D2587" t="str">
        <f>检查点拆解!F2587</f>
        <v>D03.01.03</v>
      </c>
      <c r="E2587" s="2">
        <f>--(COUNTIFS($A$2:A2587,A2587,$D$2:D2587,D2587)=1)</f>
        <v>1</v>
      </c>
    </row>
    <row r="2588" spans="1:5">
      <c r="A2588" t="str">
        <f>检查点拆解!A2588</f>
        <v>Q0392</v>
      </c>
      <c r="B2588" t="str">
        <f>检查点拆解!D2588</f>
        <v>C28</v>
      </c>
      <c r="C2588" s="2">
        <f>--(COUNTIFS($A$2:A2588,A2588,$B$2:B2588,B2588)=1)</f>
        <v>1</v>
      </c>
      <c r="D2588" t="str">
        <f>检查点拆解!F2588</f>
        <v>D12.01.01</v>
      </c>
      <c r="E2588" s="2">
        <f>--(COUNTIFS($A$2:A2588,A2588,$D$2:D2588,D2588)=1)</f>
        <v>1</v>
      </c>
    </row>
    <row r="2589" spans="1:5">
      <c r="A2589" t="str">
        <f>检查点拆解!A2589</f>
        <v>Q0392</v>
      </c>
      <c r="B2589" t="str">
        <f>检查点拆解!D2589</f>
        <v>C04</v>
      </c>
      <c r="C2589" s="2">
        <f>--(COUNTIFS($A$2:A2589,A2589,$B$2:B2589,B2589)=1)</f>
        <v>1</v>
      </c>
      <c r="D2589" t="str">
        <f>检查点拆解!F2589</f>
        <v>D02.02.01</v>
      </c>
      <c r="E2589" s="2">
        <f>--(COUNTIFS($A$2:A2589,A2589,$D$2:D2589,D2589)=1)</f>
        <v>1</v>
      </c>
    </row>
    <row r="2590" spans="1:5">
      <c r="A2590" t="str">
        <f>检查点拆解!A2590</f>
        <v>Q0392</v>
      </c>
      <c r="B2590" t="str">
        <f>检查点拆解!D2590</f>
        <v>C06</v>
      </c>
      <c r="C2590" s="2">
        <f>--(COUNTIFS($A$2:A2590,A2590,$B$2:B2590,B2590)=1)</f>
        <v>0</v>
      </c>
      <c r="D2590" t="str">
        <f>检查点拆解!F2590</f>
        <v>D03.01.01</v>
      </c>
      <c r="E2590" s="2">
        <f>--(COUNTIFS($A$2:A2590,A2590,$D$2:D2590,D2590)=1)</f>
        <v>1</v>
      </c>
    </row>
    <row r="2591" spans="1:5">
      <c r="A2591" t="str">
        <f>检查点拆解!A2591</f>
        <v>Q0392</v>
      </c>
      <c r="B2591" t="str">
        <f>检查点拆解!D2591</f>
        <v>C28</v>
      </c>
      <c r="C2591" s="2">
        <f>--(COUNTIFS($A$2:A2591,A2591,$B$2:B2591,B2591)=1)</f>
        <v>0</v>
      </c>
      <c r="D2591" t="str">
        <f>检查点拆解!F2591</f>
        <v>D12.01.03</v>
      </c>
      <c r="E2591" s="2">
        <f>--(COUNTIFS($A$2:A2591,A2591,$D$2:D2591,D2591)=1)</f>
        <v>1</v>
      </c>
    </row>
    <row r="2592" spans="1:5">
      <c r="A2592" t="str">
        <f>检查点拆解!A2592</f>
        <v>Q0393</v>
      </c>
      <c r="B2592" t="str">
        <f>检查点拆解!D2592</f>
        <v>C19</v>
      </c>
      <c r="C2592" s="2">
        <f>--(COUNTIFS($A$2:A2592,A2592,$B$2:B2592,B2592)=1)</f>
        <v>1</v>
      </c>
      <c r="D2592" t="str">
        <f>检查点拆解!F2592</f>
        <v>D07.02.02</v>
      </c>
      <c r="E2592" s="2">
        <f>--(COUNTIFS($A$2:A2592,A2592,$D$2:D2592,D2592)=1)</f>
        <v>1</v>
      </c>
    </row>
    <row r="2593" spans="1:5">
      <c r="A2593" t="str">
        <f>检查点拆解!A2593</f>
        <v>Q0393</v>
      </c>
      <c r="B2593" t="str">
        <f>检查点拆解!D2593</f>
        <v>C17</v>
      </c>
      <c r="C2593" s="2">
        <f>--(COUNTIFS($A$2:A2593,A2593,$B$2:B2593,B2593)=1)</f>
        <v>1</v>
      </c>
      <c r="D2593" t="str">
        <f>检查点拆解!F2593</f>
        <v>D06.01.02</v>
      </c>
      <c r="E2593" s="2">
        <f>--(COUNTIFS($A$2:A2593,A2593,$D$2:D2593,D2593)=1)</f>
        <v>1</v>
      </c>
    </row>
    <row r="2594" spans="1:5">
      <c r="A2594" t="str">
        <f>检查点拆解!A2594</f>
        <v>Q0393</v>
      </c>
      <c r="B2594" t="str">
        <f>检查点拆解!D2594</f>
        <v>C28</v>
      </c>
      <c r="C2594" s="2">
        <f>--(COUNTIFS($A$2:A2594,A2594,$B$2:B2594,B2594)=1)</f>
        <v>1</v>
      </c>
      <c r="D2594" t="str">
        <f>检查点拆解!F2594</f>
        <v>D13.02.01</v>
      </c>
      <c r="E2594" s="2">
        <f>--(COUNTIFS($A$2:A2594,A2594,$D$2:D2594,D2594)=1)</f>
        <v>1</v>
      </c>
    </row>
    <row r="2595" spans="1:5">
      <c r="A2595" t="str">
        <f>检查点拆解!A2595</f>
        <v>Q0393</v>
      </c>
      <c r="B2595" t="str">
        <f>检查点拆解!D2595</f>
        <v>C04</v>
      </c>
      <c r="C2595" s="2">
        <f>--(COUNTIFS($A$2:A2595,A2595,$B$2:B2595,B2595)=1)</f>
        <v>1</v>
      </c>
      <c r="D2595" t="str">
        <f>检查点拆解!F2595</f>
        <v>D02.02.01</v>
      </c>
      <c r="E2595" s="2">
        <f>--(COUNTIFS($A$2:A2595,A2595,$D$2:D2595,D2595)=1)</f>
        <v>1</v>
      </c>
    </row>
    <row r="2596" spans="1:5">
      <c r="A2596" t="str">
        <f>检查点拆解!A2596</f>
        <v>Q0394</v>
      </c>
      <c r="B2596" t="str">
        <f>检查点拆解!D2596</f>
        <v>C30</v>
      </c>
      <c r="C2596" s="2">
        <f>--(COUNTIFS($A$2:A2596,A2596,$B$2:B2596,B2596)=1)</f>
        <v>1</v>
      </c>
      <c r="D2596" t="str">
        <f>检查点拆解!F2596</f>
        <v>D15.01.02</v>
      </c>
      <c r="E2596" s="2">
        <f>--(COUNTIFS($A$2:A2596,A2596,$D$2:D2596,D2596)=1)</f>
        <v>1</v>
      </c>
    </row>
    <row r="2597" spans="1:5">
      <c r="A2597" t="str">
        <f>检查点拆解!A2597</f>
        <v>Q0394</v>
      </c>
      <c r="B2597" t="str">
        <f>检查点拆解!D2597</f>
        <v>C24</v>
      </c>
      <c r="C2597" s="2">
        <f>--(COUNTIFS($A$2:A2597,A2597,$B$2:B2597,B2597)=1)</f>
        <v>1</v>
      </c>
      <c r="D2597" t="str">
        <f>检查点拆解!F2597</f>
        <v>D09.03.03</v>
      </c>
      <c r="E2597" s="2">
        <f>--(COUNTIFS($A$2:A2597,A2597,$D$2:D2597,D2597)=1)</f>
        <v>1</v>
      </c>
    </row>
    <row r="2598" spans="1:5">
      <c r="A2598" t="str">
        <f>检查点拆解!A2598</f>
        <v>Q0394</v>
      </c>
      <c r="B2598" t="str">
        <f>检查点拆解!D2598</f>
        <v>C28</v>
      </c>
      <c r="C2598" s="2">
        <f>--(COUNTIFS($A$2:A2598,A2598,$B$2:B2598,B2598)=1)</f>
        <v>1</v>
      </c>
      <c r="D2598" t="str">
        <f>检查点拆解!F2598</f>
        <v>D12.02.01</v>
      </c>
      <c r="E2598" s="2">
        <f>--(COUNTIFS($A$2:A2598,A2598,$D$2:D2598,D2598)=1)</f>
        <v>1</v>
      </c>
    </row>
    <row r="2599" spans="1:5">
      <c r="A2599" t="str">
        <f>检查点拆解!A2599</f>
        <v>Q0394</v>
      </c>
      <c r="B2599" t="str">
        <f>检查点拆解!D2599</f>
        <v>C28</v>
      </c>
      <c r="C2599" s="2">
        <f>--(COUNTIFS($A$2:A2599,A2599,$B$2:B2599,B2599)=1)</f>
        <v>0</v>
      </c>
      <c r="D2599" t="str">
        <f>检查点拆解!F2599</f>
        <v>D12.01.01</v>
      </c>
      <c r="E2599" s="2">
        <f>--(COUNTIFS($A$2:A2599,A2599,$D$2:D2599,D2599)=1)</f>
        <v>1</v>
      </c>
    </row>
    <row r="2600" spans="1:5">
      <c r="A2600" t="str">
        <f>检查点拆解!A2600</f>
        <v>Q0395</v>
      </c>
      <c r="B2600" t="str">
        <f>检查点拆解!D2600</f>
        <v>C17</v>
      </c>
      <c r="C2600" s="2">
        <f>--(COUNTIFS($A$2:A2600,A2600,$B$2:B2600,B2600)=1)</f>
        <v>1</v>
      </c>
      <c r="D2600" t="str">
        <f>检查点拆解!F2600</f>
        <v>D06.03.01</v>
      </c>
      <c r="E2600" s="2">
        <f>--(COUNTIFS($A$2:A2600,A2600,$D$2:D2600,D2600)=1)</f>
        <v>1</v>
      </c>
    </row>
    <row r="2601" spans="1:5">
      <c r="A2601" t="str">
        <f>检查点拆解!A2601</f>
        <v>Q0395</v>
      </c>
      <c r="B2601" t="str">
        <f>检查点拆解!D2601</f>
        <v>C28</v>
      </c>
      <c r="C2601" s="2">
        <f>--(COUNTIFS($A$2:A2601,A2601,$B$2:B2601,B2601)=1)</f>
        <v>1</v>
      </c>
      <c r="D2601" t="str">
        <f>检查点拆解!F2601</f>
        <v>D13.02.01</v>
      </c>
      <c r="E2601" s="2">
        <f>--(COUNTIFS($A$2:A2601,A2601,$D$2:D2601,D2601)=1)</f>
        <v>1</v>
      </c>
    </row>
    <row r="2602" spans="1:5">
      <c r="A2602" t="str">
        <f>检查点拆解!A2602</f>
        <v>Q0395</v>
      </c>
      <c r="B2602" t="str">
        <f>检查点拆解!D2602</f>
        <v>C04</v>
      </c>
      <c r="C2602" s="2">
        <f>--(COUNTIFS($A$2:A2602,A2602,$B$2:B2602,B2602)=1)</f>
        <v>1</v>
      </c>
      <c r="D2602" t="str">
        <f>检查点拆解!F2602</f>
        <v>D02.02.03</v>
      </c>
      <c r="E2602" s="2">
        <f>--(COUNTIFS($A$2:A2602,A2602,$D$2:D2602,D2602)=1)</f>
        <v>1</v>
      </c>
    </row>
    <row r="2603" spans="1:5">
      <c r="A2603" t="str">
        <f>检查点拆解!A2603</f>
        <v>Q0395</v>
      </c>
      <c r="B2603" t="str">
        <f>检查点拆解!D2603</f>
        <v>C05</v>
      </c>
      <c r="C2603" s="2">
        <f>--(COUNTIFS($A$2:A2603,A2603,$B$2:B2603,B2603)=1)</f>
        <v>1</v>
      </c>
      <c r="D2603" t="str">
        <f>检查点拆解!F2603</f>
        <v>D02.03.02</v>
      </c>
      <c r="E2603" s="2">
        <f>--(COUNTIFS($A$2:A2603,A2603,$D$2:D2603,D2603)=1)</f>
        <v>1</v>
      </c>
    </row>
    <row r="2604" spans="1:5">
      <c r="A2604" t="str">
        <f>检查点拆解!A2604</f>
        <v>Q0396</v>
      </c>
      <c r="B2604" t="str">
        <f>检查点拆解!D2604</f>
        <v>C18</v>
      </c>
      <c r="C2604" s="2">
        <f>--(COUNTIFS($A$2:A2604,A2604,$B$2:B2604,B2604)=1)</f>
        <v>1</v>
      </c>
      <c r="D2604" t="str">
        <f>检查点拆解!F2604</f>
        <v>D07.01.02</v>
      </c>
      <c r="E2604" s="2">
        <f>--(COUNTIFS($A$2:A2604,A2604,$D$2:D2604,D2604)=1)</f>
        <v>1</v>
      </c>
    </row>
    <row r="2605" spans="1:5">
      <c r="A2605" t="str">
        <f>检查点拆解!A2605</f>
        <v>Q0396</v>
      </c>
      <c r="B2605" t="str">
        <f>检查点拆解!D2605</f>
        <v>C17</v>
      </c>
      <c r="C2605" s="2">
        <f>--(COUNTIFS($A$2:A2605,A2605,$B$2:B2605,B2605)=1)</f>
        <v>1</v>
      </c>
      <c r="D2605" t="str">
        <f>检查点拆解!F2605</f>
        <v>D06.03.01</v>
      </c>
      <c r="E2605" s="2">
        <f>--(COUNTIFS($A$2:A2605,A2605,$D$2:D2605,D2605)=1)</f>
        <v>1</v>
      </c>
    </row>
    <row r="2606" spans="1:5">
      <c r="A2606" t="str">
        <f>检查点拆解!A2606</f>
        <v>Q0396</v>
      </c>
      <c r="B2606" t="str">
        <f>检查点拆解!D2606</f>
        <v>C24</v>
      </c>
      <c r="C2606" s="2">
        <f>--(COUNTIFS($A$2:A2606,A2606,$B$2:B2606,B2606)=1)</f>
        <v>1</v>
      </c>
      <c r="D2606" t="str">
        <f>检查点拆解!F2606</f>
        <v>D09.03.03</v>
      </c>
      <c r="E2606" s="2">
        <f>--(COUNTIFS($A$2:A2606,A2606,$D$2:D2606,D2606)=1)</f>
        <v>1</v>
      </c>
    </row>
    <row r="2607" spans="1:5">
      <c r="A2607" t="str">
        <f>检查点拆解!A2607</f>
        <v>Q0396</v>
      </c>
      <c r="B2607" t="str">
        <f>检查点拆解!D2607</f>
        <v>C28</v>
      </c>
      <c r="C2607" s="2">
        <f>--(COUNTIFS($A$2:A2607,A2607,$B$2:B2607,B2607)=1)</f>
        <v>1</v>
      </c>
      <c r="D2607" t="str">
        <f>检查点拆解!F2607</f>
        <v>D12.02.01</v>
      </c>
      <c r="E2607" s="2">
        <f>--(COUNTIFS($A$2:A2607,A2607,$D$2:D2607,D2607)=1)</f>
        <v>1</v>
      </c>
    </row>
    <row r="2608" spans="1:5">
      <c r="A2608" t="str">
        <f>检查点拆解!A2608</f>
        <v>Q0396</v>
      </c>
      <c r="B2608" t="str">
        <f>检查点拆解!D2608</f>
        <v>C28</v>
      </c>
      <c r="C2608" s="2">
        <f>--(COUNTIFS($A$2:A2608,A2608,$B$2:B2608,B2608)=1)</f>
        <v>0</v>
      </c>
      <c r="D2608" t="str">
        <f>检查点拆解!F2608</f>
        <v>D12.01.01</v>
      </c>
      <c r="E2608" s="2">
        <f>--(COUNTIFS($A$2:A2608,A2608,$D$2:D2608,D2608)=1)</f>
        <v>1</v>
      </c>
    </row>
    <row r="2609" spans="1:5">
      <c r="A2609" t="str">
        <f>检查点拆解!A2609</f>
        <v>Q0396</v>
      </c>
      <c r="B2609" t="str">
        <f>检查点拆解!D2609</f>
        <v>C04</v>
      </c>
      <c r="C2609" s="2">
        <f>--(COUNTIFS($A$2:A2609,A2609,$B$2:B2609,B2609)=1)</f>
        <v>1</v>
      </c>
      <c r="D2609" t="str">
        <f>检查点拆解!F2609</f>
        <v>D02.02.03</v>
      </c>
      <c r="E2609" s="2">
        <f>--(COUNTIFS($A$2:A2609,A2609,$D$2:D2609,D2609)=1)</f>
        <v>1</v>
      </c>
    </row>
    <row r="2610" spans="1:5">
      <c r="A2610" t="str">
        <f>检查点拆解!A2610</f>
        <v>Q0397</v>
      </c>
      <c r="B2610" t="str">
        <f>检查点拆解!D2610</f>
        <v>C24</v>
      </c>
      <c r="C2610" s="2">
        <f>--(COUNTIFS($A$2:A2610,A2610,$B$2:B2610,B2610)=1)</f>
        <v>1</v>
      </c>
      <c r="D2610" t="str">
        <f>检查点拆解!F2610</f>
        <v>D09.03.01</v>
      </c>
      <c r="E2610" s="2">
        <f>--(COUNTIFS($A$2:A2610,A2610,$D$2:D2610,D2610)=1)</f>
        <v>1</v>
      </c>
    </row>
    <row r="2611" spans="1:5">
      <c r="A2611" t="str">
        <f>检查点拆解!A2611</f>
        <v>Q0397</v>
      </c>
      <c r="B2611" t="str">
        <f>检查点拆解!D2611</f>
        <v>C23</v>
      </c>
      <c r="C2611" s="2">
        <f>--(COUNTIFS($A$2:A2611,A2611,$B$2:B2611,B2611)=1)</f>
        <v>1</v>
      </c>
      <c r="D2611" t="str">
        <f>检查点拆解!F2611</f>
        <v>D09.01.02</v>
      </c>
      <c r="E2611" s="2">
        <f>--(COUNTIFS($A$2:A2611,A2611,$D$2:D2611,D2611)=1)</f>
        <v>1</v>
      </c>
    </row>
    <row r="2612" spans="1:5">
      <c r="A2612" t="str">
        <f>检查点拆解!A2612</f>
        <v>Q0397</v>
      </c>
      <c r="B2612" t="str">
        <f>检查点拆解!D2612</f>
        <v>C24</v>
      </c>
      <c r="C2612" s="2">
        <f>--(COUNTIFS($A$2:A2612,A2612,$B$2:B2612,B2612)=1)</f>
        <v>0</v>
      </c>
      <c r="D2612" t="str">
        <f>检查点拆解!F2612</f>
        <v>D09.02.02</v>
      </c>
      <c r="E2612" s="2">
        <f>--(COUNTIFS($A$2:A2612,A2612,$D$2:D2612,D2612)=1)</f>
        <v>1</v>
      </c>
    </row>
    <row r="2613" spans="1:5">
      <c r="A2613" t="str">
        <f>检查点拆解!A2613</f>
        <v>Q0397</v>
      </c>
      <c r="B2613" t="str">
        <f>检查点拆解!D2613</f>
        <v>C18</v>
      </c>
      <c r="C2613" s="2">
        <f>--(COUNTIFS($A$2:A2613,A2613,$B$2:B2613,B2613)=1)</f>
        <v>1</v>
      </c>
      <c r="D2613" t="str">
        <f>检查点拆解!F2613</f>
        <v>D07.01.01</v>
      </c>
      <c r="E2613" s="2">
        <f>--(COUNTIFS($A$2:A2613,A2613,$D$2:D2613,D2613)=1)</f>
        <v>1</v>
      </c>
    </row>
    <row r="2614" spans="1:5">
      <c r="A2614" t="str">
        <f>检查点拆解!A2614</f>
        <v>Q0397</v>
      </c>
      <c r="B2614" t="str">
        <f>检查点拆解!D2614</f>
        <v>C17</v>
      </c>
      <c r="C2614" s="2">
        <f>--(COUNTIFS($A$2:A2614,A2614,$B$2:B2614,B2614)=1)</f>
        <v>1</v>
      </c>
      <c r="D2614" t="str">
        <f>检查点拆解!F2614</f>
        <v>D06.01.01</v>
      </c>
      <c r="E2614" s="2">
        <f>--(COUNTIFS($A$2:A2614,A2614,$D$2:D2614,D2614)=1)</f>
        <v>1</v>
      </c>
    </row>
    <row r="2615" spans="1:5">
      <c r="A2615" t="str">
        <f>检查点拆解!A2615</f>
        <v>Q0397</v>
      </c>
      <c r="B2615" t="str">
        <f>检查点拆解!D2615</f>
        <v>C28</v>
      </c>
      <c r="C2615" s="2">
        <f>--(COUNTIFS($A$2:A2615,A2615,$B$2:B2615,B2615)=1)</f>
        <v>1</v>
      </c>
      <c r="D2615" t="str">
        <f>检查点拆解!F2615</f>
        <v>D12.02.01</v>
      </c>
      <c r="E2615" s="2">
        <f>--(COUNTIFS($A$2:A2615,A2615,$D$2:D2615,D2615)=1)</f>
        <v>1</v>
      </c>
    </row>
    <row r="2616" spans="1:5">
      <c r="A2616" t="str">
        <f>检查点拆解!A2616</f>
        <v>Q0398</v>
      </c>
      <c r="B2616" t="str">
        <f>检查点拆解!D2616</f>
        <v>C24</v>
      </c>
      <c r="C2616" s="2">
        <f>--(COUNTIFS($A$2:A2616,A2616,$B$2:B2616,B2616)=1)</f>
        <v>1</v>
      </c>
      <c r="D2616" t="str">
        <f>检查点拆解!F2616</f>
        <v>D09.03.01</v>
      </c>
      <c r="E2616" s="2">
        <f>--(COUNTIFS($A$2:A2616,A2616,$D$2:D2616,D2616)=1)</f>
        <v>1</v>
      </c>
    </row>
    <row r="2617" spans="1:5">
      <c r="A2617" t="str">
        <f>检查点拆解!A2617</f>
        <v>Q0398</v>
      </c>
      <c r="B2617" t="str">
        <f>检查点拆解!D2617</f>
        <v>C30</v>
      </c>
      <c r="C2617" s="2">
        <f>--(COUNTIFS($A$2:A2617,A2617,$B$2:B2617,B2617)=1)</f>
        <v>1</v>
      </c>
      <c r="D2617" t="str">
        <f>检查点拆解!F2617</f>
        <v>D15.01.02</v>
      </c>
      <c r="E2617" s="2">
        <f>--(COUNTIFS($A$2:A2617,A2617,$D$2:D2617,D2617)=1)</f>
        <v>1</v>
      </c>
    </row>
    <row r="2618" spans="1:5">
      <c r="A2618" t="str">
        <f>检查点拆解!A2618</f>
        <v>Q0398</v>
      </c>
      <c r="B2618" t="str">
        <f>检查点拆解!D2618</f>
        <v>C11</v>
      </c>
      <c r="C2618" s="2">
        <f>--(COUNTIFS($A$2:A2618,A2618,$B$2:B2618,B2618)=1)</f>
        <v>1</v>
      </c>
      <c r="D2618" t="str">
        <f>检查点拆解!F2618</f>
        <v>D04.03.02</v>
      </c>
      <c r="E2618" s="2">
        <f>--(COUNTIFS($A$2:A2618,A2618,$D$2:D2618,D2618)=1)</f>
        <v>1</v>
      </c>
    </row>
    <row r="2619" spans="1:5">
      <c r="A2619" t="str">
        <f>检查点拆解!A2619</f>
        <v>Q0398</v>
      </c>
      <c r="B2619" t="str">
        <f>检查点拆解!D2619</f>
        <v>C23</v>
      </c>
      <c r="C2619" s="2">
        <f>--(COUNTIFS($A$2:A2619,A2619,$B$2:B2619,B2619)=1)</f>
        <v>1</v>
      </c>
      <c r="D2619" t="str">
        <f>检查点拆解!F2619</f>
        <v>D09.01.02</v>
      </c>
      <c r="E2619" s="2">
        <f>--(COUNTIFS($A$2:A2619,A2619,$D$2:D2619,D2619)=1)</f>
        <v>1</v>
      </c>
    </row>
    <row r="2620" spans="1:5">
      <c r="A2620" t="str">
        <f>检查点拆解!A2620</f>
        <v>Q0398</v>
      </c>
      <c r="B2620" t="str">
        <f>检查点拆解!D2620</f>
        <v>C23</v>
      </c>
      <c r="C2620" s="2">
        <f>--(COUNTIFS($A$2:A2620,A2620,$B$2:B2620,B2620)=1)</f>
        <v>0</v>
      </c>
      <c r="D2620" t="str">
        <f>检查点拆解!F2620</f>
        <v>D09.01.03</v>
      </c>
      <c r="E2620" s="2">
        <f>--(COUNTIFS($A$2:A2620,A2620,$D$2:D2620,D2620)=1)</f>
        <v>1</v>
      </c>
    </row>
    <row r="2621" spans="1:5">
      <c r="A2621" t="str">
        <f>检查点拆解!A2621</f>
        <v>Q0398</v>
      </c>
      <c r="B2621" t="str">
        <f>检查点拆解!D2621</f>
        <v>C25</v>
      </c>
      <c r="C2621" s="2">
        <f>--(COUNTIFS($A$2:A2621,A2621,$B$2:B2621,B2621)=1)</f>
        <v>1</v>
      </c>
      <c r="D2621" t="str">
        <f>检查点拆解!F2621</f>
        <v>D10.01.01</v>
      </c>
      <c r="E2621" s="2">
        <f>--(COUNTIFS($A$2:A2621,A2621,$D$2:D2621,D2621)=1)</f>
        <v>1</v>
      </c>
    </row>
    <row r="2622" spans="1:5">
      <c r="A2622" t="str">
        <f>检查点拆解!A2622</f>
        <v>Q0399</v>
      </c>
      <c r="B2622" t="str">
        <f>检查点拆解!D2622</f>
        <v>C24</v>
      </c>
      <c r="C2622" s="2">
        <f>--(COUNTIFS($A$2:A2622,A2622,$B$2:B2622,B2622)=1)</f>
        <v>1</v>
      </c>
      <c r="D2622" t="str">
        <f>检查点拆解!F2622</f>
        <v>D09.03.01</v>
      </c>
      <c r="E2622" s="2">
        <f>--(COUNTIFS($A$2:A2622,A2622,$D$2:D2622,D2622)=1)</f>
        <v>1</v>
      </c>
    </row>
    <row r="2623" spans="1:5">
      <c r="A2623" t="str">
        <f>检查点拆解!A2623</f>
        <v>Q0399</v>
      </c>
      <c r="B2623" t="str">
        <f>检查点拆解!D2623</f>
        <v>C11</v>
      </c>
      <c r="C2623" s="2">
        <f>--(COUNTIFS($A$2:A2623,A2623,$B$2:B2623,B2623)=1)</f>
        <v>1</v>
      </c>
      <c r="D2623" t="str">
        <f>检查点拆解!F2623</f>
        <v>D04.03.02</v>
      </c>
      <c r="E2623" s="2">
        <f>--(COUNTIFS($A$2:A2623,A2623,$D$2:D2623,D2623)=1)</f>
        <v>1</v>
      </c>
    </row>
    <row r="2624" spans="1:5">
      <c r="A2624" t="str">
        <f>检查点拆解!A2624</f>
        <v>Q0399</v>
      </c>
      <c r="B2624" t="str">
        <f>检查点拆解!D2624</f>
        <v>C23</v>
      </c>
      <c r="C2624" s="2">
        <f>--(COUNTIFS($A$2:A2624,A2624,$B$2:B2624,B2624)=1)</f>
        <v>1</v>
      </c>
      <c r="D2624" t="str">
        <f>检查点拆解!F2624</f>
        <v>D09.01.02</v>
      </c>
      <c r="E2624" s="2">
        <f>--(COUNTIFS($A$2:A2624,A2624,$D$2:D2624,D2624)=1)</f>
        <v>1</v>
      </c>
    </row>
    <row r="2625" spans="1:5">
      <c r="A2625" t="str">
        <f>检查点拆解!A2625</f>
        <v>Q0399</v>
      </c>
      <c r="B2625" t="str">
        <f>检查点拆解!D2625</f>
        <v>C23</v>
      </c>
      <c r="C2625" s="2">
        <f>--(COUNTIFS($A$2:A2625,A2625,$B$2:B2625,B2625)=1)</f>
        <v>0</v>
      </c>
      <c r="D2625" t="str">
        <f>检查点拆解!F2625</f>
        <v>D09.01.03</v>
      </c>
      <c r="E2625" s="2">
        <f>--(COUNTIFS($A$2:A2625,A2625,$D$2:D2625,D2625)=1)</f>
        <v>1</v>
      </c>
    </row>
    <row r="2626" spans="1:5">
      <c r="A2626" t="str">
        <f>检查点拆解!A2626</f>
        <v>Q0399</v>
      </c>
      <c r="B2626" t="str">
        <f>检查点拆解!D2626</f>
        <v>C28</v>
      </c>
      <c r="C2626" s="2">
        <f>--(COUNTIFS($A$2:A2626,A2626,$B$2:B2626,B2626)=1)</f>
        <v>1</v>
      </c>
      <c r="D2626" t="str">
        <f>检查点拆解!F2626</f>
        <v>D12.02.01</v>
      </c>
      <c r="E2626" s="2">
        <f>--(COUNTIFS($A$2:A2626,A2626,$D$2:D2626,D2626)=1)</f>
        <v>1</v>
      </c>
    </row>
    <row r="2627" spans="1:5">
      <c r="A2627" t="str">
        <f>检查点拆解!A2627</f>
        <v>Q0399</v>
      </c>
      <c r="B2627" t="str">
        <f>检查点拆解!D2627</f>
        <v>C14</v>
      </c>
      <c r="C2627" s="2">
        <f>--(COUNTIFS($A$2:A2627,A2627,$B$2:B2627,B2627)=1)</f>
        <v>1</v>
      </c>
      <c r="D2627" t="str">
        <f>检查点拆解!F2627</f>
        <v>D05.01.03</v>
      </c>
      <c r="E2627" s="2">
        <f>--(COUNTIFS($A$2:A2627,A2627,$D$2:D2627,D2627)=1)</f>
        <v>1</v>
      </c>
    </row>
    <row r="2628" spans="1:5">
      <c r="A2628" t="str">
        <f>检查点拆解!A2628</f>
        <v>Q0399</v>
      </c>
      <c r="B2628" t="str">
        <f>检查点拆解!D2628</f>
        <v>C28</v>
      </c>
      <c r="C2628" s="2">
        <f>--(COUNTIFS($A$2:A2628,A2628,$B$2:B2628,B2628)=1)</f>
        <v>0</v>
      </c>
      <c r="D2628" t="str">
        <f>检查点拆解!F2628</f>
        <v>D12.01.01</v>
      </c>
      <c r="E2628" s="2">
        <f>--(COUNTIFS($A$2:A2628,A2628,$D$2:D2628,D2628)=1)</f>
        <v>1</v>
      </c>
    </row>
    <row r="2629" spans="1:5">
      <c r="A2629" t="str">
        <f>检查点拆解!A2629</f>
        <v>Q0399</v>
      </c>
      <c r="B2629" t="str">
        <f>检查点拆解!D2629</f>
        <v>C04</v>
      </c>
      <c r="C2629" s="2">
        <f>--(COUNTIFS($A$2:A2629,A2629,$B$2:B2629,B2629)=1)</f>
        <v>1</v>
      </c>
      <c r="D2629" t="str">
        <f>检查点拆解!F2629</f>
        <v>D02.02.02</v>
      </c>
      <c r="E2629" s="2">
        <f>--(COUNTIFS($A$2:A2629,A2629,$D$2:D2629,D2629)=1)</f>
        <v>1</v>
      </c>
    </row>
    <row r="2630" spans="1:5">
      <c r="A2630" t="str">
        <f>检查点拆解!A2630</f>
        <v>Q0400</v>
      </c>
      <c r="B2630" t="str">
        <f>检查点拆解!D2630</f>
        <v>C24</v>
      </c>
      <c r="C2630" s="2">
        <f>--(COUNTIFS($A$2:A2630,A2630,$B$2:B2630,B2630)=1)</f>
        <v>1</v>
      </c>
      <c r="D2630" t="str">
        <f>检查点拆解!F2630</f>
        <v>D09.02.01</v>
      </c>
      <c r="E2630" s="2">
        <f>--(COUNTIFS($A$2:A2630,A2630,$D$2:D2630,D2630)=1)</f>
        <v>1</v>
      </c>
    </row>
    <row r="2631" spans="1:5">
      <c r="A2631" t="str">
        <f>检查点拆解!A2631</f>
        <v>Q0400</v>
      </c>
      <c r="B2631" t="str">
        <f>检查点拆解!D2631</f>
        <v>C25</v>
      </c>
      <c r="C2631" s="2">
        <f>--(COUNTIFS($A$2:A2631,A2631,$B$2:B2631,B2631)=1)</f>
        <v>1</v>
      </c>
      <c r="D2631" t="str">
        <f>检查点拆解!F2631</f>
        <v>D10.01.01</v>
      </c>
      <c r="E2631" s="2">
        <f>--(COUNTIFS($A$2:A2631,A2631,$D$2:D2631,D2631)=1)</f>
        <v>1</v>
      </c>
    </row>
    <row r="2632" spans="1:5">
      <c r="A2632" t="str">
        <f>检查点拆解!A2632</f>
        <v>Q0400</v>
      </c>
      <c r="B2632" t="str">
        <f>检查点拆解!D2632</f>
        <v>C23</v>
      </c>
      <c r="C2632" s="2">
        <f>--(COUNTIFS($A$2:A2632,A2632,$B$2:B2632,B2632)=1)</f>
        <v>1</v>
      </c>
      <c r="D2632" t="str">
        <f>检查点拆解!F2632</f>
        <v>D09.01.01</v>
      </c>
      <c r="E2632" s="2">
        <f>--(COUNTIFS($A$2:A2632,A2632,$D$2:D2632,D2632)=1)</f>
        <v>1</v>
      </c>
    </row>
    <row r="2633" spans="1:5">
      <c r="A2633" t="str">
        <f>检查点拆解!A2633</f>
        <v>Q0400</v>
      </c>
      <c r="B2633" t="str">
        <f>检查点拆解!D2633</f>
        <v>C28</v>
      </c>
      <c r="C2633" s="2">
        <f>--(COUNTIFS($A$2:A2633,A2633,$B$2:B2633,B2633)=1)</f>
        <v>1</v>
      </c>
      <c r="D2633" t="str">
        <f>检查点拆解!F2633</f>
        <v>D12.02.01</v>
      </c>
      <c r="E2633" s="2">
        <f>--(COUNTIFS($A$2:A2633,A2633,$D$2:D2633,D2633)=1)</f>
        <v>1</v>
      </c>
    </row>
    <row r="2634" spans="1:5">
      <c r="A2634" t="str">
        <f>检查点拆解!A2634</f>
        <v>Q0400</v>
      </c>
      <c r="B2634" t="str">
        <f>检查点拆解!D2634</f>
        <v>C28</v>
      </c>
      <c r="C2634" s="2">
        <f>--(COUNTIFS($A$2:A2634,A2634,$B$2:B2634,B2634)=1)</f>
        <v>0</v>
      </c>
      <c r="D2634" t="str">
        <f>检查点拆解!F2634</f>
        <v>D12.02.02</v>
      </c>
      <c r="E2634" s="2">
        <f>--(COUNTIFS($A$2:A2634,A2634,$D$2:D2634,D2634)=1)</f>
        <v>1</v>
      </c>
    </row>
    <row r="2635" spans="1:5">
      <c r="A2635" t="str">
        <f>检查点拆解!A2635</f>
        <v>Q0400</v>
      </c>
      <c r="B2635" t="str">
        <f>检查点拆解!D2635</f>
        <v>C26</v>
      </c>
      <c r="C2635" s="2">
        <f>--(COUNTIFS($A$2:A2635,A2635,$B$2:B2635,B2635)=1)</f>
        <v>1</v>
      </c>
      <c r="D2635" t="str">
        <f>检查点拆解!F2635</f>
        <v>D10.02.01</v>
      </c>
      <c r="E2635" s="2">
        <f>--(COUNTIFS($A$2:A2635,A2635,$D$2:D2635,D2635)=1)</f>
        <v>1</v>
      </c>
    </row>
    <row r="2636" spans="1:5">
      <c r="A2636" t="str">
        <f>检查点拆解!A2636</f>
        <v>Q0400</v>
      </c>
      <c r="B2636" t="str">
        <f>检查点拆解!D2636</f>
        <v>C28</v>
      </c>
      <c r="C2636" s="2">
        <f>--(COUNTIFS($A$2:A2636,A2636,$B$2:B2636,B2636)=1)</f>
        <v>0</v>
      </c>
      <c r="D2636" t="str">
        <f>检查点拆解!F2636</f>
        <v>D12.01.01</v>
      </c>
      <c r="E2636" s="2">
        <f>--(COUNTIFS($A$2:A2636,A2636,$D$2:D2636,D2636)=1)</f>
        <v>1</v>
      </c>
    </row>
    <row r="2637" spans="1:5">
      <c r="A2637" t="str">
        <f>检查点拆解!A2637</f>
        <v>Q0400</v>
      </c>
      <c r="B2637" t="str">
        <f>检查点拆解!D2637</f>
        <v>C28</v>
      </c>
      <c r="C2637" s="2">
        <f>--(COUNTIFS($A$2:A2637,A2637,$B$2:B2637,B2637)=1)</f>
        <v>0</v>
      </c>
      <c r="D2637" t="str">
        <f>检查点拆解!F2637</f>
        <v>D12.01.02</v>
      </c>
      <c r="E2637" s="2">
        <f>--(COUNTIFS($A$2:A2637,A2637,$D$2:D2637,D2637)=1)</f>
        <v>1</v>
      </c>
    </row>
    <row r="2638" spans="1:5">
      <c r="A2638" t="str">
        <f>检查点拆解!A2638</f>
        <v>Q0400</v>
      </c>
      <c r="B2638" t="str">
        <f>检查点拆解!D2638</f>
        <v>C28</v>
      </c>
      <c r="C2638" s="2">
        <f>--(COUNTIFS($A$2:A2638,A2638,$B$2:B2638,B2638)=1)</f>
        <v>0</v>
      </c>
      <c r="D2638" t="str">
        <f>检查点拆解!F2638</f>
        <v>D13.01.01</v>
      </c>
      <c r="E2638" s="2">
        <f>--(COUNTIFS($A$2:A2638,A2638,$D$2:D2638,D2638)=1)</f>
        <v>1</v>
      </c>
    </row>
    <row r="2639" spans="1:5">
      <c r="A2639" t="str">
        <f>检查点拆解!A2639</f>
        <v>Q0400</v>
      </c>
      <c r="B2639" t="str">
        <f>检查点拆解!D2639</f>
        <v>C04</v>
      </c>
      <c r="C2639" s="2">
        <f>--(COUNTIFS($A$2:A2639,A2639,$B$2:B2639,B2639)=1)</f>
        <v>1</v>
      </c>
      <c r="D2639" t="str">
        <f>检查点拆解!F2639</f>
        <v>D02.02.02</v>
      </c>
      <c r="E2639" s="2">
        <f>--(COUNTIFS($A$2:A2639,A2639,$D$2:D2639,D2639)=1)</f>
        <v>1</v>
      </c>
    </row>
    <row r="2640" spans="1:5">
      <c r="A2640" t="str">
        <f>检查点拆解!A2640</f>
        <v>Q0401</v>
      </c>
      <c r="B2640" t="str">
        <f>检查点拆解!D2640</f>
        <v>C24</v>
      </c>
      <c r="C2640" s="2">
        <f>--(COUNTIFS($A$2:A2640,A2640,$B$2:B2640,B2640)=1)</f>
        <v>1</v>
      </c>
      <c r="D2640" t="str">
        <f>检查点拆解!F2640</f>
        <v>D09.02.02</v>
      </c>
      <c r="E2640" s="2">
        <f>--(COUNTIFS($A$2:A2640,A2640,$D$2:D2640,D2640)=1)</f>
        <v>1</v>
      </c>
    </row>
    <row r="2641" spans="1:5">
      <c r="A2641" t="str">
        <f>检查点拆解!A2641</f>
        <v>Q0401</v>
      </c>
      <c r="B2641" t="str">
        <f>检查点拆解!D2641</f>
        <v>C28</v>
      </c>
      <c r="C2641" s="2">
        <f>--(COUNTIFS($A$2:A2641,A2641,$B$2:B2641,B2641)=1)</f>
        <v>1</v>
      </c>
      <c r="D2641" t="str">
        <f>检查点拆解!F2641</f>
        <v>D12.01.01</v>
      </c>
      <c r="E2641" s="2">
        <f>--(COUNTIFS($A$2:A2641,A2641,$D$2:D2641,D2641)=1)</f>
        <v>1</v>
      </c>
    </row>
    <row r="2642" spans="1:5">
      <c r="A2642" t="str">
        <f>检查点拆解!A2642</f>
        <v>Q0402</v>
      </c>
      <c r="B2642" t="str">
        <f>检查点拆解!D2642</f>
        <v>C18</v>
      </c>
      <c r="C2642" s="2">
        <f>--(COUNTIFS($A$2:A2642,A2642,$B$2:B2642,B2642)=1)</f>
        <v>1</v>
      </c>
      <c r="D2642" t="str">
        <f>检查点拆解!F2642</f>
        <v>D07.01.01</v>
      </c>
      <c r="E2642" s="2">
        <f>--(COUNTIFS($A$2:A2642,A2642,$D$2:D2642,D2642)=1)</f>
        <v>1</v>
      </c>
    </row>
    <row r="2643" spans="1:5">
      <c r="A2643" t="str">
        <f>检查点拆解!A2643</f>
        <v>Q0402</v>
      </c>
      <c r="B2643" t="str">
        <f>检查点拆解!D2643</f>
        <v>C25</v>
      </c>
      <c r="C2643" s="2">
        <f>--(COUNTIFS($A$2:A2643,A2643,$B$2:B2643,B2643)=1)</f>
        <v>1</v>
      </c>
      <c r="D2643" t="str">
        <f>检查点拆解!F2643</f>
        <v>D10.01.01</v>
      </c>
      <c r="E2643" s="2">
        <f>--(COUNTIFS($A$2:A2643,A2643,$D$2:D2643,D2643)=1)</f>
        <v>1</v>
      </c>
    </row>
    <row r="2644" spans="1:5">
      <c r="A2644" t="str">
        <f>检查点拆解!A2644</f>
        <v>Q0402</v>
      </c>
      <c r="B2644" t="str">
        <f>检查点拆解!D2644</f>
        <v>C28</v>
      </c>
      <c r="C2644" s="2">
        <f>--(COUNTIFS($A$2:A2644,A2644,$B$2:B2644,B2644)=1)</f>
        <v>1</v>
      </c>
      <c r="D2644" t="str">
        <f>检查点拆解!F2644</f>
        <v>D12.01.01</v>
      </c>
      <c r="E2644" s="2">
        <f>--(COUNTIFS($A$2:A2644,A2644,$D$2:D2644,D2644)=1)</f>
        <v>1</v>
      </c>
    </row>
    <row r="2645" spans="1:5">
      <c r="A2645" t="str">
        <f>检查点拆解!A2645</f>
        <v>Q0402</v>
      </c>
      <c r="B2645" t="str">
        <f>检查点拆解!D2645</f>
        <v>C04</v>
      </c>
      <c r="C2645" s="2">
        <f>--(COUNTIFS($A$2:A2645,A2645,$B$2:B2645,B2645)=1)</f>
        <v>1</v>
      </c>
      <c r="D2645" t="str">
        <f>检查点拆解!F2645</f>
        <v>D02.02.01</v>
      </c>
      <c r="E2645" s="2">
        <f>--(COUNTIFS($A$2:A2645,A2645,$D$2:D2645,D2645)=1)</f>
        <v>1</v>
      </c>
    </row>
    <row r="2646" spans="1:5">
      <c r="A2646" t="str">
        <f>检查点拆解!A2646</f>
        <v>Q0403</v>
      </c>
      <c r="B2646" t="str">
        <f>检查点拆解!D2646</f>
        <v>C24</v>
      </c>
      <c r="C2646" s="2">
        <f>--(COUNTIFS($A$2:A2646,A2646,$B$2:B2646,B2646)=1)</f>
        <v>1</v>
      </c>
      <c r="D2646" t="str">
        <f>检查点拆解!F2646</f>
        <v>D09.02.02</v>
      </c>
      <c r="E2646" s="2">
        <f>--(COUNTIFS($A$2:A2646,A2646,$D$2:D2646,D2646)=1)</f>
        <v>1</v>
      </c>
    </row>
    <row r="2647" spans="1:5">
      <c r="A2647" t="str">
        <f>检查点拆解!A2647</f>
        <v>Q0403</v>
      </c>
      <c r="B2647" t="str">
        <f>检查点拆解!D2647</f>
        <v>C25</v>
      </c>
      <c r="C2647" s="2">
        <f>--(COUNTIFS($A$2:A2647,A2647,$B$2:B2647,B2647)=1)</f>
        <v>1</v>
      </c>
      <c r="D2647" t="str">
        <f>检查点拆解!F2647</f>
        <v>D10.01.01</v>
      </c>
      <c r="E2647" s="2">
        <f>--(COUNTIFS($A$2:A2647,A2647,$D$2:D2647,D2647)=1)</f>
        <v>1</v>
      </c>
    </row>
    <row r="2648" spans="1:5">
      <c r="A2648" t="str">
        <f>检查点拆解!A2648</f>
        <v>Q0403</v>
      </c>
      <c r="B2648" t="str">
        <f>检查点拆解!D2648</f>
        <v>C28</v>
      </c>
      <c r="C2648" s="2">
        <f>--(COUNTIFS($A$2:A2648,A2648,$B$2:B2648,B2648)=1)</f>
        <v>1</v>
      </c>
      <c r="D2648" t="str">
        <f>检查点拆解!F2648</f>
        <v>D12.01.01</v>
      </c>
      <c r="E2648" s="2">
        <f>--(COUNTIFS($A$2:A2648,A2648,$D$2:D2648,D2648)=1)</f>
        <v>1</v>
      </c>
    </row>
    <row r="2649" spans="1:5">
      <c r="A2649" t="str">
        <f>检查点拆解!A2649</f>
        <v>Q0404</v>
      </c>
      <c r="B2649" t="str">
        <f>检查点拆解!D2649</f>
        <v>C29</v>
      </c>
      <c r="C2649" s="2">
        <f>--(COUNTIFS($A$2:A2649,A2649,$B$2:B2649,B2649)=1)</f>
        <v>1</v>
      </c>
      <c r="D2649" t="str">
        <f>检查点拆解!F2649</f>
        <v>D14.01.01</v>
      </c>
      <c r="E2649" s="2">
        <f>--(COUNTIFS($A$2:A2649,A2649,$D$2:D2649,D2649)=1)</f>
        <v>1</v>
      </c>
    </row>
    <row r="2650" spans="1:5">
      <c r="A2650" t="str">
        <f>检查点拆解!A2650</f>
        <v>Q0404</v>
      </c>
      <c r="B2650" t="str">
        <f>检查点拆解!D2650</f>
        <v>C27</v>
      </c>
      <c r="C2650" s="2">
        <f>--(COUNTIFS($A$2:A2650,A2650,$B$2:B2650,B2650)=1)</f>
        <v>1</v>
      </c>
      <c r="D2650" t="str">
        <f>检查点拆解!F2650</f>
        <v>D11.01.03</v>
      </c>
      <c r="E2650" s="2">
        <f>--(COUNTIFS($A$2:A2650,A2650,$D$2:D2650,D2650)=1)</f>
        <v>1</v>
      </c>
    </row>
    <row r="2651" spans="1:5">
      <c r="A2651" t="str">
        <f>检查点拆解!A2651</f>
        <v>Q0404</v>
      </c>
      <c r="B2651" t="str">
        <f>检查点拆解!D2651</f>
        <v>C25</v>
      </c>
      <c r="C2651" s="2">
        <f>--(COUNTIFS($A$2:A2651,A2651,$B$2:B2651,B2651)=1)</f>
        <v>1</v>
      </c>
      <c r="D2651" t="str">
        <f>检查点拆解!F2651</f>
        <v>D10.01.01</v>
      </c>
      <c r="E2651" s="2">
        <f>--(COUNTIFS($A$2:A2651,A2651,$D$2:D2651,D2651)=1)</f>
        <v>1</v>
      </c>
    </row>
    <row r="2652" spans="1:5">
      <c r="A2652" t="str">
        <f>检查点拆解!A2652</f>
        <v>Q0404</v>
      </c>
      <c r="B2652" t="str">
        <f>检查点拆解!D2652</f>
        <v>C26</v>
      </c>
      <c r="C2652" s="2">
        <f>--(COUNTIFS($A$2:A2652,A2652,$B$2:B2652,B2652)=1)</f>
        <v>1</v>
      </c>
      <c r="D2652" t="str">
        <f>检查点拆解!F2652</f>
        <v>D10.02.01</v>
      </c>
      <c r="E2652" s="2">
        <f>--(COUNTIFS($A$2:A2652,A2652,$D$2:D2652,D2652)=1)</f>
        <v>1</v>
      </c>
    </row>
    <row r="2653" spans="1:5">
      <c r="A2653" t="str">
        <f>检查点拆解!A2653</f>
        <v>Q0404</v>
      </c>
      <c r="B2653" t="str">
        <f>检查点拆解!D2653</f>
        <v>C05</v>
      </c>
      <c r="C2653" s="2">
        <f>--(COUNTIFS($A$2:A2653,A2653,$B$2:B2653,B2653)=1)</f>
        <v>1</v>
      </c>
      <c r="D2653" t="str">
        <f>检查点拆解!F2653</f>
        <v>D02.03.03</v>
      </c>
      <c r="E2653" s="2">
        <f>--(COUNTIFS($A$2:A2653,A2653,$D$2:D2653,D2653)=1)</f>
        <v>1</v>
      </c>
    </row>
    <row r="2654" spans="1:5">
      <c r="A2654" t="str">
        <f>检查点拆解!A2654</f>
        <v>Q0405</v>
      </c>
      <c r="B2654" t="str">
        <f>检查点拆解!D2654</f>
        <v>C29</v>
      </c>
      <c r="C2654" s="2">
        <f>--(COUNTIFS($A$2:A2654,A2654,$B$2:B2654,B2654)=1)</f>
        <v>1</v>
      </c>
      <c r="D2654" t="str">
        <f>检查点拆解!F2654</f>
        <v>D14.01.01</v>
      </c>
      <c r="E2654" s="2">
        <f>--(COUNTIFS($A$2:A2654,A2654,$D$2:D2654,D2654)=1)</f>
        <v>1</v>
      </c>
    </row>
    <row r="2655" spans="1:5">
      <c r="A2655" t="str">
        <f>检查点拆解!A2655</f>
        <v>Q0405</v>
      </c>
      <c r="B2655" t="str">
        <f>检查点拆解!D2655</f>
        <v>C30</v>
      </c>
      <c r="C2655" s="2">
        <f>--(COUNTIFS($A$2:A2655,A2655,$B$2:B2655,B2655)=1)</f>
        <v>1</v>
      </c>
      <c r="D2655" t="str">
        <f>检查点拆解!F2655</f>
        <v>D15.01.02</v>
      </c>
      <c r="E2655" s="2">
        <f>--(COUNTIFS($A$2:A2655,A2655,$D$2:D2655,D2655)=1)</f>
        <v>1</v>
      </c>
    </row>
    <row r="2656" spans="1:5">
      <c r="A2656" t="str">
        <f>检查点拆解!A2656</f>
        <v>Q0405</v>
      </c>
      <c r="B2656" t="str">
        <f>检查点拆解!D2656</f>
        <v>C11</v>
      </c>
      <c r="C2656" s="2">
        <f>--(COUNTIFS($A$2:A2656,A2656,$B$2:B2656,B2656)=1)</f>
        <v>1</v>
      </c>
      <c r="D2656" t="str">
        <f>检查点拆解!F2656</f>
        <v>D04.03.02</v>
      </c>
      <c r="E2656" s="2">
        <f>--(COUNTIFS($A$2:A2656,A2656,$D$2:D2656,D2656)=1)</f>
        <v>1</v>
      </c>
    </row>
    <row r="2657" spans="1:5">
      <c r="A2657" t="str">
        <f>检查点拆解!A2657</f>
        <v>Q0405</v>
      </c>
      <c r="B2657" t="str">
        <f>检查点拆解!D2657</f>
        <v>C30</v>
      </c>
      <c r="C2657" s="2">
        <f>--(COUNTIFS($A$2:A2657,A2657,$B$2:B2657,B2657)=1)</f>
        <v>0</v>
      </c>
      <c r="D2657" t="str">
        <f>检查点拆解!F2657</f>
        <v>D15.02.01</v>
      </c>
      <c r="E2657" s="2">
        <f>--(COUNTIFS($A$2:A2657,A2657,$D$2:D2657,D2657)=1)</f>
        <v>1</v>
      </c>
    </row>
    <row r="2658" spans="1:5">
      <c r="A2658" t="str">
        <f>检查点拆解!A2658</f>
        <v>Q0405</v>
      </c>
      <c r="B2658" t="str">
        <f>检查点拆解!D2658</f>
        <v>C24</v>
      </c>
      <c r="C2658" s="2">
        <f>--(COUNTIFS($A$2:A2658,A2658,$B$2:B2658,B2658)=1)</f>
        <v>1</v>
      </c>
      <c r="D2658" t="str">
        <f>检查点拆解!F2658</f>
        <v>D09.02.03</v>
      </c>
      <c r="E2658" s="2">
        <f>--(COUNTIFS($A$2:A2658,A2658,$D$2:D2658,D2658)=1)</f>
        <v>1</v>
      </c>
    </row>
    <row r="2659" spans="1:5">
      <c r="A2659" t="str">
        <f>检查点拆解!A2659</f>
        <v>Q0405</v>
      </c>
      <c r="B2659" t="str">
        <f>检查点拆解!D2659</f>
        <v>C25</v>
      </c>
      <c r="C2659" s="2">
        <f>--(COUNTIFS($A$2:A2659,A2659,$B$2:B2659,B2659)=1)</f>
        <v>1</v>
      </c>
      <c r="D2659" t="str">
        <f>检查点拆解!F2659</f>
        <v>D10.01.01</v>
      </c>
      <c r="E2659" s="2">
        <f>--(COUNTIFS($A$2:A2659,A2659,$D$2:D2659,D2659)=1)</f>
        <v>1</v>
      </c>
    </row>
    <row r="2660" spans="1:5">
      <c r="A2660" t="str">
        <f>检查点拆解!A2660</f>
        <v>Q0406</v>
      </c>
      <c r="B2660" t="str">
        <f>检查点拆解!D2660</f>
        <v>C28</v>
      </c>
      <c r="C2660" s="2">
        <f>--(COUNTIFS($A$2:A2660,A2660,$B$2:B2660,B2660)=1)</f>
        <v>1</v>
      </c>
      <c r="D2660" t="str">
        <f>检查点拆解!F2660</f>
        <v>D13.01.02</v>
      </c>
      <c r="E2660" s="2">
        <f>--(COUNTIFS($A$2:A2660,A2660,$D$2:D2660,D2660)=1)</f>
        <v>1</v>
      </c>
    </row>
    <row r="2661" spans="1:5">
      <c r="A2661" t="str">
        <f>检查点拆解!A2661</f>
        <v>Q0406</v>
      </c>
      <c r="B2661" t="str">
        <f>检查点拆解!D2661</f>
        <v>C04</v>
      </c>
      <c r="C2661" s="2">
        <f>--(COUNTIFS($A$2:A2661,A2661,$B$2:B2661,B2661)=1)</f>
        <v>1</v>
      </c>
      <c r="D2661" t="str">
        <f>检查点拆解!F2661</f>
        <v>D02.02.02</v>
      </c>
      <c r="E2661" s="2">
        <f>--(COUNTIFS($A$2:A2661,A2661,$D$2:D2661,D2661)=1)</f>
        <v>1</v>
      </c>
    </row>
    <row r="2662" spans="1:5">
      <c r="A2662" t="str">
        <f>检查点拆解!A2662</f>
        <v>Q0407</v>
      </c>
      <c r="B2662" t="str">
        <f>检查点拆解!D2662</f>
        <v>C29</v>
      </c>
      <c r="C2662" s="2">
        <f>--(COUNTIFS($A$2:A2662,A2662,$B$2:B2662,B2662)=1)</f>
        <v>1</v>
      </c>
      <c r="D2662" t="str">
        <f>检查点拆解!F2662</f>
        <v>D14.01.01</v>
      </c>
      <c r="E2662" s="2">
        <f>--(COUNTIFS($A$2:A2662,A2662,$D$2:D2662,D2662)=1)</f>
        <v>1</v>
      </c>
    </row>
    <row r="2663" spans="1:5">
      <c r="A2663" t="str">
        <f>检查点拆解!A2663</f>
        <v>Q0407</v>
      </c>
      <c r="B2663" t="str">
        <f>检查点拆解!D2663</f>
        <v>C30</v>
      </c>
      <c r="C2663" s="2">
        <f>--(COUNTIFS($A$2:A2663,A2663,$B$2:B2663,B2663)=1)</f>
        <v>1</v>
      </c>
      <c r="D2663" t="str">
        <f>检查点拆解!F2663</f>
        <v>D15.02.01</v>
      </c>
      <c r="E2663" s="2">
        <f>--(COUNTIFS($A$2:A2663,A2663,$D$2:D2663,D2663)=1)</f>
        <v>1</v>
      </c>
    </row>
    <row r="2664" spans="1:5">
      <c r="A2664" t="str">
        <f>检查点拆解!A2664</f>
        <v>Q0407</v>
      </c>
      <c r="B2664" t="str">
        <f>检查点拆解!D2664</f>
        <v>C28</v>
      </c>
      <c r="C2664" s="2">
        <f>--(COUNTIFS($A$2:A2664,A2664,$B$2:B2664,B2664)=1)</f>
        <v>1</v>
      </c>
      <c r="D2664" t="str">
        <f>检查点拆解!F2664</f>
        <v>D12.01.02</v>
      </c>
      <c r="E2664" s="2">
        <f>--(COUNTIFS($A$2:A2664,A2664,$D$2:D2664,D2664)=1)</f>
        <v>1</v>
      </c>
    </row>
    <row r="2665" spans="1:5">
      <c r="A2665" t="str">
        <f>检查点拆解!A2665</f>
        <v>Q0407</v>
      </c>
      <c r="B2665" t="str">
        <f>检查点拆解!D2665</f>
        <v>C28</v>
      </c>
      <c r="C2665" s="2">
        <f>--(COUNTIFS($A$2:A2665,A2665,$B$2:B2665,B2665)=1)</f>
        <v>0</v>
      </c>
      <c r="D2665" t="str">
        <f>检查点拆解!F2665</f>
        <v>D12.01.03</v>
      </c>
      <c r="E2665" s="2">
        <f>--(COUNTIFS($A$2:A2665,A2665,$D$2:D2665,D2665)=1)</f>
        <v>1</v>
      </c>
    </row>
    <row r="2666" spans="1:5">
      <c r="A2666" t="str">
        <f>检查点拆解!A2666</f>
        <v>Q0408</v>
      </c>
      <c r="B2666" t="str">
        <f>检查点拆解!D2666</f>
        <v>C29</v>
      </c>
      <c r="C2666" s="2">
        <f>--(COUNTIFS($A$2:A2666,A2666,$B$2:B2666,B2666)=1)</f>
        <v>1</v>
      </c>
      <c r="D2666" t="str">
        <f>检查点拆解!F2666</f>
        <v>D14.01.01</v>
      </c>
      <c r="E2666" s="2">
        <f>--(COUNTIFS($A$2:A2666,A2666,$D$2:D2666,D2666)=1)</f>
        <v>1</v>
      </c>
    </row>
    <row r="2667" spans="1:5">
      <c r="A2667" t="str">
        <f>检查点拆解!A2667</f>
        <v>Q0408</v>
      </c>
      <c r="B2667" t="str">
        <f>检查点拆解!D2667</f>
        <v>C24</v>
      </c>
      <c r="C2667" s="2">
        <f>--(COUNTIFS($A$2:A2667,A2667,$B$2:B2667,B2667)=1)</f>
        <v>1</v>
      </c>
      <c r="D2667" t="str">
        <f>检查点拆解!F2667</f>
        <v>D09.03.02</v>
      </c>
      <c r="E2667" s="2">
        <f>--(COUNTIFS($A$2:A2667,A2667,$D$2:D2667,D2667)=1)</f>
        <v>1</v>
      </c>
    </row>
    <row r="2668" spans="1:5">
      <c r="A2668" t="str">
        <f>检查点拆解!A2668</f>
        <v>Q0408</v>
      </c>
      <c r="B2668" t="str">
        <f>检查点拆解!D2668</f>
        <v>C17</v>
      </c>
      <c r="C2668" s="2">
        <f>--(COUNTIFS($A$2:A2668,A2668,$B$2:B2668,B2668)=1)</f>
        <v>1</v>
      </c>
      <c r="D2668" t="str">
        <f>检查点拆解!F2668</f>
        <v>D06.03.02</v>
      </c>
      <c r="E2668" s="2">
        <f>--(COUNTIFS($A$2:A2668,A2668,$D$2:D2668,D2668)=1)</f>
        <v>1</v>
      </c>
    </row>
    <row r="2669" spans="1:5">
      <c r="A2669" t="str">
        <f>检查点拆解!A2669</f>
        <v>Q0409</v>
      </c>
      <c r="B2669" t="str">
        <f>检查点拆解!D2669</f>
        <v>C29</v>
      </c>
      <c r="C2669" s="2">
        <f>--(COUNTIFS($A$2:A2669,A2669,$B$2:B2669,B2669)=1)</f>
        <v>1</v>
      </c>
      <c r="D2669" t="str">
        <f>检查点拆解!F2669</f>
        <v>D14.01.02</v>
      </c>
      <c r="E2669" s="2">
        <f>--(COUNTIFS($A$2:A2669,A2669,$D$2:D2669,D2669)=1)</f>
        <v>1</v>
      </c>
    </row>
    <row r="2670" spans="1:5">
      <c r="A2670" t="str">
        <f>检查点拆解!A2670</f>
        <v>Q0409</v>
      </c>
      <c r="B2670" t="str">
        <f>检查点拆解!D2670</f>
        <v>C23</v>
      </c>
      <c r="C2670" s="2">
        <f>--(COUNTIFS($A$2:A2670,A2670,$B$2:B2670,B2670)=1)</f>
        <v>1</v>
      </c>
      <c r="D2670" t="str">
        <f>检查点拆解!F2670</f>
        <v>D09.01.02</v>
      </c>
      <c r="E2670" s="2">
        <f>--(COUNTIFS($A$2:A2670,A2670,$D$2:D2670,D2670)=1)</f>
        <v>1</v>
      </c>
    </row>
    <row r="2671" spans="1:5">
      <c r="A2671" t="str">
        <f>检查点拆解!A2671</f>
        <v>Q0409</v>
      </c>
      <c r="B2671" t="str">
        <f>检查点拆解!D2671</f>
        <v>C24</v>
      </c>
      <c r="C2671" s="2">
        <f>--(COUNTIFS($A$2:A2671,A2671,$B$2:B2671,B2671)=1)</f>
        <v>1</v>
      </c>
      <c r="D2671" t="str">
        <f>检查点拆解!F2671</f>
        <v>D09.02.02</v>
      </c>
      <c r="E2671" s="2">
        <f>--(COUNTIFS($A$2:A2671,A2671,$D$2:D2671,D2671)=1)</f>
        <v>1</v>
      </c>
    </row>
    <row r="2672" spans="1:5">
      <c r="A2672" t="str">
        <f>检查点拆解!A2672</f>
        <v>Q0409</v>
      </c>
      <c r="B2672" t="str">
        <f>检查点拆解!D2672</f>
        <v>C25</v>
      </c>
      <c r="C2672" s="2">
        <f>--(COUNTIFS($A$2:A2672,A2672,$B$2:B2672,B2672)=1)</f>
        <v>1</v>
      </c>
      <c r="D2672" t="str">
        <f>检查点拆解!F2672</f>
        <v>D10.01.03</v>
      </c>
      <c r="E2672" s="2">
        <f>--(COUNTIFS($A$2:A2672,A2672,$D$2:D2672,D2672)=1)</f>
        <v>1</v>
      </c>
    </row>
    <row r="2673" spans="1:5">
      <c r="A2673" t="str">
        <f>检查点拆解!A2673</f>
        <v>Q0409</v>
      </c>
      <c r="B2673" t="str">
        <f>检查点拆解!D2673</f>
        <v>C27</v>
      </c>
      <c r="C2673" s="2">
        <f>--(COUNTIFS($A$2:A2673,A2673,$B$2:B2673,B2673)=1)</f>
        <v>1</v>
      </c>
      <c r="D2673" t="str">
        <f>检查点拆解!F2673</f>
        <v>D11.02.01</v>
      </c>
      <c r="E2673" s="2">
        <f>--(COUNTIFS($A$2:A2673,A2673,$D$2:D2673,D2673)=1)</f>
        <v>1</v>
      </c>
    </row>
    <row r="2674" spans="1:5">
      <c r="A2674" t="str">
        <f>检查点拆解!A2674</f>
        <v>Q0409</v>
      </c>
      <c r="B2674" t="str">
        <f>检查点拆解!D2674</f>
        <v>C18</v>
      </c>
      <c r="C2674" s="2">
        <f>--(COUNTIFS($A$2:A2674,A2674,$B$2:B2674,B2674)=1)</f>
        <v>1</v>
      </c>
      <c r="D2674" t="str">
        <f>检查点拆解!F2674</f>
        <v>D07.01.01</v>
      </c>
      <c r="E2674" s="2">
        <f>--(COUNTIFS($A$2:A2674,A2674,$D$2:D2674,D2674)=1)</f>
        <v>1</v>
      </c>
    </row>
    <row r="2675" spans="1:5">
      <c r="A2675" t="str">
        <f>检查点拆解!A2675</f>
        <v>Q0409</v>
      </c>
      <c r="B2675" t="str">
        <f>检查点拆解!D2675</f>
        <v>C04</v>
      </c>
      <c r="C2675" s="2">
        <f>--(COUNTIFS($A$2:A2675,A2675,$B$2:B2675,B2675)=1)</f>
        <v>1</v>
      </c>
      <c r="D2675" t="str">
        <f>检查点拆解!F2675</f>
        <v>D02.02.02</v>
      </c>
      <c r="E2675" s="2">
        <f>--(COUNTIFS($A$2:A2675,A2675,$D$2:D2675,D2675)=1)</f>
        <v>1</v>
      </c>
    </row>
    <row r="2676" spans="1:5">
      <c r="A2676" t="str">
        <f>检查点拆解!A2676</f>
        <v>Q0409</v>
      </c>
      <c r="B2676" t="str">
        <f>检查点拆解!D2676</f>
        <v>C05</v>
      </c>
      <c r="C2676" s="2">
        <f>--(COUNTIFS($A$2:A2676,A2676,$B$2:B2676,B2676)=1)</f>
        <v>1</v>
      </c>
      <c r="D2676" t="str">
        <f>检查点拆解!F2676</f>
        <v>D02.03.02</v>
      </c>
      <c r="E2676" s="2">
        <f>--(COUNTIFS($A$2:A2676,A2676,$D$2:D2676,D2676)=1)</f>
        <v>1</v>
      </c>
    </row>
    <row r="2677" spans="1:5">
      <c r="A2677" t="str">
        <f>检查点拆解!A2677</f>
        <v>Q0410</v>
      </c>
      <c r="B2677" t="str">
        <f>检查点拆解!D2677</f>
        <v>C29</v>
      </c>
      <c r="C2677" s="2">
        <f>--(COUNTIFS($A$2:A2677,A2677,$B$2:B2677,B2677)=1)</f>
        <v>1</v>
      </c>
      <c r="D2677" t="str">
        <f>检查点拆解!F2677</f>
        <v>D14.01.02</v>
      </c>
      <c r="E2677" s="2">
        <f>--(COUNTIFS($A$2:A2677,A2677,$D$2:D2677,D2677)=1)</f>
        <v>1</v>
      </c>
    </row>
    <row r="2678" spans="1:5">
      <c r="A2678" t="str">
        <f>检查点拆解!A2678</f>
        <v>Q0410</v>
      </c>
      <c r="B2678" t="str">
        <f>检查点拆解!D2678</f>
        <v>C30</v>
      </c>
      <c r="C2678" s="2">
        <f>--(COUNTIFS($A$2:A2678,A2678,$B$2:B2678,B2678)=1)</f>
        <v>1</v>
      </c>
      <c r="D2678" t="str">
        <f>检查点拆解!F2678</f>
        <v>D15.01.02</v>
      </c>
      <c r="E2678" s="2">
        <f>--(COUNTIFS($A$2:A2678,A2678,$D$2:D2678,D2678)=1)</f>
        <v>1</v>
      </c>
    </row>
    <row r="2679" spans="1:5">
      <c r="A2679" t="str">
        <f>检查点拆解!A2679</f>
        <v>Q0410</v>
      </c>
      <c r="B2679" t="str">
        <f>检查点拆解!D2679</f>
        <v>C18</v>
      </c>
      <c r="C2679" s="2">
        <f>--(COUNTIFS($A$2:A2679,A2679,$B$2:B2679,B2679)=1)</f>
        <v>1</v>
      </c>
      <c r="D2679" t="str">
        <f>检查点拆解!F2679</f>
        <v>D07.01.02</v>
      </c>
      <c r="E2679" s="2">
        <f>--(COUNTIFS($A$2:A2679,A2679,$D$2:D2679,D2679)=1)</f>
        <v>1</v>
      </c>
    </row>
    <row r="2680" spans="1:5">
      <c r="A2680" t="str">
        <f>检查点拆解!A2680</f>
        <v>Q0410</v>
      </c>
      <c r="B2680" t="str">
        <f>检查点拆解!D2680</f>
        <v>C28</v>
      </c>
      <c r="C2680" s="2">
        <f>--(COUNTIFS($A$2:A2680,A2680,$B$2:B2680,B2680)=1)</f>
        <v>1</v>
      </c>
      <c r="D2680" t="str">
        <f>检查点拆解!F2680</f>
        <v>D12.01.01</v>
      </c>
      <c r="E2680" s="2">
        <f>--(COUNTIFS($A$2:A2680,A2680,$D$2:D2680,D2680)=1)</f>
        <v>1</v>
      </c>
    </row>
    <row r="2681" spans="1:5">
      <c r="A2681" t="str">
        <f>检查点拆解!A2681</f>
        <v>Q0410</v>
      </c>
      <c r="B2681" t="str">
        <f>检查点拆解!D2681</f>
        <v>C06</v>
      </c>
      <c r="C2681" s="2">
        <f>--(COUNTIFS($A$2:A2681,A2681,$B$2:B2681,B2681)=1)</f>
        <v>1</v>
      </c>
      <c r="D2681" t="str">
        <f>检查点拆解!F2681</f>
        <v>D03.01.01</v>
      </c>
      <c r="E2681" s="2">
        <f>--(COUNTIFS($A$2:A2681,A2681,$D$2:D2681,D2681)=1)</f>
        <v>1</v>
      </c>
    </row>
    <row r="2682" spans="1:5">
      <c r="A2682" t="str">
        <f>检查点拆解!A2682</f>
        <v>Q0410</v>
      </c>
      <c r="B2682" t="str">
        <f>检查点拆解!D2682</f>
        <v>C03</v>
      </c>
      <c r="C2682" s="2">
        <f>--(COUNTIFS($A$2:A2682,A2682,$B$2:B2682,B2682)=1)</f>
        <v>1</v>
      </c>
      <c r="D2682" t="str">
        <f>检查点拆解!F2682</f>
        <v>D02.01.01</v>
      </c>
      <c r="E2682" s="2">
        <f>--(COUNTIFS($A$2:A2682,A2682,$D$2:D2682,D2682)=1)</f>
        <v>1</v>
      </c>
    </row>
    <row r="2683" spans="1:5">
      <c r="A2683" t="str">
        <f>检查点拆解!A2683</f>
        <v>Q0411</v>
      </c>
      <c r="B2683" t="str">
        <f>检查点拆解!D2683</f>
        <v>C29</v>
      </c>
      <c r="C2683" s="2">
        <f>--(COUNTIFS($A$2:A2683,A2683,$B$2:B2683,B2683)=1)</f>
        <v>1</v>
      </c>
      <c r="D2683" t="str">
        <f>检查点拆解!F2683</f>
        <v>D14.01.02</v>
      </c>
      <c r="E2683" s="2">
        <f>--(COUNTIFS($A$2:A2683,A2683,$D$2:D2683,D2683)=1)</f>
        <v>1</v>
      </c>
    </row>
    <row r="2684" spans="1:5">
      <c r="A2684" t="str">
        <f>检查点拆解!A2684</f>
        <v>Q0411</v>
      </c>
      <c r="B2684" t="str">
        <f>检查点拆解!D2684</f>
        <v>C30</v>
      </c>
      <c r="C2684" s="2">
        <f>--(COUNTIFS($A$2:A2684,A2684,$B$2:B2684,B2684)=1)</f>
        <v>1</v>
      </c>
      <c r="D2684" t="str">
        <f>检查点拆解!F2684</f>
        <v>D15.01.02</v>
      </c>
      <c r="E2684" s="2">
        <f>--(COUNTIFS($A$2:A2684,A2684,$D$2:D2684,D2684)=1)</f>
        <v>1</v>
      </c>
    </row>
    <row r="2685" spans="1:5">
      <c r="A2685" t="str">
        <f>检查点拆解!A2685</f>
        <v>Q0411</v>
      </c>
      <c r="B2685" t="str">
        <f>检查点拆解!D2685</f>
        <v>C18</v>
      </c>
      <c r="C2685" s="2">
        <f>--(COUNTIFS($A$2:A2685,A2685,$B$2:B2685,B2685)=1)</f>
        <v>1</v>
      </c>
      <c r="D2685" t="str">
        <f>检查点拆解!F2685</f>
        <v>D07.01.02</v>
      </c>
      <c r="E2685" s="2">
        <f>--(COUNTIFS($A$2:A2685,A2685,$D$2:D2685,D2685)=1)</f>
        <v>1</v>
      </c>
    </row>
    <row r="2686" spans="1:5">
      <c r="A2686" t="str">
        <f>检查点拆解!A2686</f>
        <v>Q0411</v>
      </c>
      <c r="B2686" t="str">
        <f>检查点拆解!D2686</f>
        <v>C06</v>
      </c>
      <c r="C2686" s="2">
        <f>--(COUNTIFS($A$2:A2686,A2686,$B$2:B2686,B2686)=1)</f>
        <v>1</v>
      </c>
      <c r="D2686" t="str">
        <f>检查点拆解!F2686</f>
        <v>D03.01.02</v>
      </c>
      <c r="E2686" s="2">
        <f>--(COUNTIFS($A$2:A2686,A2686,$D$2:D2686,D2686)=1)</f>
        <v>1</v>
      </c>
    </row>
    <row r="2687" spans="1:5">
      <c r="A2687" t="str">
        <f>检查点拆解!A2687</f>
        <v>Q0411</v>
      </c>
      <c r="B2687" t="str">
        <f>检查点拆解!D2687</f>
        <v>C28</v>
      </c>
      <c r="C2687" s="2">
        <f>--(COUNTIFS($A$2:A2687,A2687,$B$2:B2687,B2687)=1)</f>
        <v>1</v>
      </c>
      <c r="D2687" t="str">
        <f>检查点拆解!F2687</f>
        <v>D12.01.01</v>
      </c>
      <c r="E2687" s="2">
        <f>--(COUNTIFS($A$2:A2687,A2687,$D$2:D2687,D2687)=1)</f>
        <v>1</v>
      </c>
    </row>
    <row r="2688" spans="1:5">
      <c r="A2688" t="str">
        <f>检查点拆解!A2688</f>
        <v>Q0411</v>
      </c>
      <c r="B2688" t="str">
        <f>检查点拆解!D2688</f>
        <v>C06</v>
      </c>
      <c r="C2688" s="2">
        <f>--(COUNTIFS($A$2:A2688,A2688,$B$2:B2688,B2688)=1)</f>
        <v>0</v>
      </c>
      <c r="D2688" t="str">
        <f>检查点拆解!F2688</f>
        <v>D03.01.01</v>
      </c>
      <c r="E2688" s="2">
        <f>--(COUNTIFS($A$2:A2688,A2688,$D$2:D2688,D2688)=1)</f>
        <v>1</v>
      </c>
    </row>
    <row r="2689" spans="1:5">
      <c r="A2689" t="str">
        <f>检查点拆解!A2689</f>
        <v>Q0412</v>
      </c>
      <c r="B2689" t="str">
        <f>检查点拆解!D2689</f>
        <v>C30</v>
      </c>
      <c r="C2689" s="2">
        <f>--(COUNTIFS($A$2:A2689,A2689,$B$2:B2689,B2689)=1)</f>
        <v>1</v>
      </c>
      <c r="D2689" t="str">
        <f>检查点拆解!F2689</f>
        <v>D15.01.02</v>
      </c>
      <c r="E2689" s="2">
        <f>--(COUNTIFS($A$2:A2689,A2689,$D$2:D2689,D2689)=1)</f>
        <v>1</v>
      </c>
    </row>
    <row r="2690" spans="1:5">
      <c r="A2690" t="str">
        <f>检查点拆解!A2690</f>
        <v>Q0412</v>
      </c>
      <c r="B2690" t="str">
        <f>检查点拆解!D2690</f>
        <v>C18</v>
      </c>
      <c r="C2690" s="2">
        <f>--(COUNTIFS($A$2:A2690,A2690,$B$2:B2690,B2690)=1)</f>
        <v>1</v>
      </c>
      <c r="D2690" t="str">
        <f>检查点拆解!F2690</f>
        <v>D07.01.02</v>
      </c>
      <c r="E2690" s="2">
        <f>--(COUNTIFS($A$2:A2690,A2690,$D$2:D2690,D2690)=1)</f>
        <v>1</v>
      </c>
    </row>
    <row r="2691" spans="1:5">
      <c r="A2691" t="str">
        <f>检查点拆解!A2691</f>
        <v>Q0412</v>
      </c>
      <c r="B2691" t="str">
        <f>检查点拆解!D2691</f>
        <v>C27</v>
      </c>
      <c r="C2691" s="2">
        <f>--(COUNTIFS($A$2:A2691,A2691,$B$2:B2691,B2691)=1)</f>
        <v>1</v>
      </c>
      <c r="D2691" t="str">
        <f>检查点拆解!F2691</f>
        <v>D11.02.03</v>
      </c>
      <c r="E2691" s="2">
        <f>--(COUNTIFS($A$2:A2691,A2691,$D$2:D2691,D2691)=1)</f>
        <v>1</v>
      </c>
    </row>
    <row r="2692" spans="1:5">
      <c r="A2692" t="str">
        <f>检查点拆解!A2692</f>
        <v>Q0412</v>
      </c>
      <c r="B2692" t="str">
        <f>检查点拆解!D2692</f>
        <v>C25</v>
      </c>
      <c r="C2692" s="2">
        <f>--(COUNTIFS($A$2:A2692,A2692,$B$2:B2692,B2692)=1)</f>
        <v>1</v>
      </c>
      <c r="D2692" t="str">
        <f>检查点拆解!F2692</f>
        <v>D10.01.01</v>
      </c>
      <c r="E2692" s="2">
        <f>--(COUNTIFS($A$2:A2692,A2692,$D$2:D2692,D2692)=1)</f>
        <v>1</v>
      </c>
    </row>
    <row r="2693" spans="1:5">
      <c r="A2693" t="str">
        <f>检查点拆解!A2693</f>
        <v>Q0412</v>
      </c>
      <c r="B2693" t="str">
        <f>检查点拆解!D2693</f>
        <v>C23</v>
      </c>
      <c r="C2693" s="2">
        <f>--(COUNTIFS($A$2:A2693,A2693,$B$2:B2693,B2693)=1)</f>
        <v>1</v>
      </c>
      <c r="D2693" t="str">
        <f>检查点拆解!F2693</f>
        <v>D09.01.01</v>
      </c>
      <c r="E2693" s="2">
        <f>--(COUNTIFS($A$2:A2693,A2693,$D$2:D2693,D2693)=1)</f>
        <v>1</v>
      </c>
    </row>
    <row r="2694" spans="1:5">
      <c r="A2694" t="str">
        <f>检查点拆解!A2694</f>
        <v>Q0412</v>
      </c>
      <c r="B2694" t="str">
        <f>检查点拆解!D2694</f>
        <v>C28</v>
      </c>
      <c r="C2694" s="2">
        <f>--(COUNTIFS($A$2:A2694,A2694,$B$2:B2694,B2694)=1)</f>
        <v>1</v>
      </c>
      <c r="D2694" t="str">
        <f>检查点拆解!F2694</f>
        <v>D12.02.01</v>
      </c>
      <c r="E2694" s="2">
        <f>--(COUNTIFS($A$2:A2694,A2694,$D$2:D2694,D2694)=1)</f>
        <v>1</v>
      </c>
    </row>
    <row r="2695" spans="1:5">
      <c r="A2695" t="str">
        <f>检查点拆解!A2695</f>
        <v>Q0413</v>
      </c>
      <c r="B2695" t="str">
        <f>检查点拆解!D2695</f>
        <v>C24</v>
      </c>
      <c r="C2695" s="2">
        <f>--(COUNTIFS($A$2:A2695,A2695,$B$2:B2695,B2695)=1)</f>
        <v>1</v>
      </c>
      <c r="D2695" t="str">
        <f>检查点拆解!F2695</f>
        <v>D09.02.02</v>
      </c>
      <c r="E2695" s="2">
        <f>--(COUNTIFS($A$2:A2695,A2695,$D$2:D2695,D2695)=1)</f>
        <v>1</v>
      </c>
    </row>
    <row r="2696" spans="1:5">
      <c r="A2696" t="str">
        <f>检查点拆解!A2696</f>
        <v>Q0413</v>
      </c>
      <c r="B2696" t="str">
        <f>检查点拆解!D2696</f>
        <v>C18</v>
      </c>
      <c r="C2696" s="2">
        <f>--(COUNTIFS($A$2:A2696,A2696,$B$2:B2696,B2696)=1)</f>
        <v>1</v>
      </c>
      <c r="D2696" t="str">
        <f>检查点拆解!F2696</f>
        <v>D07.01.02</v>
      </c>
      <c r="E2696" s="2">
        <f>--(COUNTIFS($A$2:A2696,A2696,$D$2:D2696,D2696)=1)</f>
        <v>1</v>
      </c>
    </row>
    <row r="2697" spans="1:5">
      <c r="A2697" t="str">
        <f>检查点拆解!A2697</f>
        <v>Q0413</v>
      </c>
      <c r="B2697" t="str">
        <f>检查点拆解!D2697</f>
        <v>C28</v>
      </c>
      <c r="C2697" s="2">
        <f>--(COUNTIFS($A$2:A2697,A2697,$B$2:B2697,B2697)=1)</f>
        <v>1</v>
      </c>
      <c r="D2697" t="str">
        <f>检查点拆解!F2697</f>
        <v>D12.01.01</v>
      </c>
      <c r="E2697" s="2">
        <f>--(COUNTIFS($A$2:A2697,A2697,$D$2:D2697,D2697)=1)</f>
        <v>1</v>
      </c>
    </row>
    <row r="2698" spans="1:5">
      <c r="A2698" t="str">
        <f>检查点拆解!A2698</f>
        <v>Q0413</v>
      </c>
      <c r="B2698" t="str">
        <f>检查点拆解!D2698</f>
        <v>C04</v>
      </c>
      <c r="C2698" s="2">
        <f>--(COUNTIFS($A$2:A2698,A2698,$B$2:B2698,B2698)=1)</f>
        <v>1</v>
      </c>
      <c r="D2698" t="str">
        <f>检查点拆解!F2698</f>
        <v>D02.02.02</v>
      </c>
      <c r="E2698" s="2">
        <f>--(COUNTIFS($A$2:A2698,A2698,$D$2:D2698,D2698)=1)</f>
        <v>1</v>
      </c>
    </row>
    <row r="2699" spans="1:5">
      <c r="A2699" t="str">
        <f>检查点拆解!A2699</f>
        <v>Q0414</v>
      </c>
      <c r="B2699" t="str">
        <f>检查点拆解!D2699</f>
        <v>C29</v>
      </c>
      <c r="C2699" s="2">
        <f>--(COUNTIFS($A$2:A2699,A2699,$B$2:B2699,B2699)=1)</f>
        <v>1</v>
      </c>
      <c r="D2699" t="str">
        <f>检查点拆解!F2699</f>
        <v>D14.01.02</v>
      </c>
      <c r="E2699" s="2">
        <f>--(COUNTIFS($A$2:A2699,A2699,$D$2:D2699,D2699)=1)</f>
        <v>1</v>
      </c>
    </row>
    <row r="2700" spans="1:5">
      <c r="A2700" t="str">
        <f>检查点拆解!A2700</f>
        <v>Q0414</v>
      </c>
      <c r="B2700" t="str">
        <f>检查点拆解!D2700</f>
        <v>C29</v>
      </c>
      <c r="C2700" s="2">
        <f>--(COUNTIFS($A$2:A2700,A2700,$B$2:B2700,B2700)=1)</f>
        <v>0</v>
      </c>
      <c r="D2700" t="str">
        <f>检查点拆解!F2700</f>
        <v>D14.02.01</v>
      </c>
      <c r="E2700" s="2">
        <f>--(COUNTIFS($A$2:A2700,A2700,$D$2:D2700,D2700)=1)</f>
        <v>1</v>
      </c>
    </row>
    <row r="2701" spans="1:5">
      <c r="A2701" t="str">
        <f>检查点拆解!A2701</f>
        <v>Q0414</v>
      </c>
      <c r="B2701" t="str">
        <f>检查点拆解!D2701</f>
        <v>C28</v>
      </c>
      <c r="C2701" s="2">
        <f>--(COUNTIFS($A$2:A2701,A2701,$B$2:B2701,B2701)=1)</f>
        <v>1</v>
      </c>
      <c r="D2701" t="str">
        <f>检查点拆解!F2701</f>
        <v>D12.01.01</v>
      </c>
      <c r="E2701" s="2">
        <f>--(COUNTIFS($A$2:A2701,A2701,$D$2:D2701,D2701)=1)</f>
        <v>1</v>
      </c>
    </row>
    <row r="2702" spans="1:5">
      <c r="A2702" t="str">
        <f>检查点拆解!A2702</f>
        <v>Q0414</v>
      </c>
      <c r="B2702" t="str">
        <f>检查点拆解!D2702</f>
        <v>C04</v>
      </c>
      <c r="C2702" s="2">
        <f>--(COUNTIFS($A$2:A2702,A2702,$B$2:B2702,B2702)=1)</f>
        <v>1</v>
      </c>
      <c r="D2702" t="str">
        <f>检查点拆解!F2702</f>
        <v>D02.02.02</v>
      </c>
      <c r="E2702" s="2">
        <f>--(COUNTIFS($A$2:A2702,A2702,$D$2:D2702,D2702)=1)</f>
        <v>1</v>
      </c>
    </row>
    <row r="2703" spans="1:5">
      <c r="A2703" t="str">
        <f>检查点拆解!A2703</f>
        <v>Q0415</v>
      </c>
      <c r="B2703" t="str">
        <f>检查点拆解!D2703</f>
        <v>C25</v>
      </c>
      <c r="C2703" s="2">
        <f>--(COUNTIFS($A$2:A2703,A2703,$B$2:B2703,B2703)=1)</f>
        <v>1</v>
      </c>
      <c r="D2703" t="str">
        <f>检查点拆解!F2703</f>
        <v>D10.01.01</v>
      </c>
      <c r="E2703" s="2">
        <f>--(COUNTIFS($A$2:A2703,A2703,$D$2:D2703,D2703)=1)</f>
        <v>1</v>
      </c>
    </row>
    <row r="2704" spans="1:5">
      <c r="A2704" t="str">
        <f>检查点拆解!A2704</f>
        <v>Q0415</v>
      </c>
      <c r="B2704" t="str">
        <f>检查点拆解!D2704</f>
        <v>C28</v>
      </c>
      <c r="C2704" s="2">
        <f>--(COUNTIFS($A$2:A2704,A2704,$B$2:B2704,B2704)=1)</f>
        <v>1</v>
      </c>
      <c r="D2704" t="str">
        <f>检查点拆解!F2704</f>
        <v>D12.01.01</v>
      </c>
      <c r="E2704" s="2">
        <f>--(COUNTIFS($A$2:A2704,A2704,$D$2:D2704,D2704)=1)</f>
        <v>1</v>
      </c>
    </row>
    <row r="2705" spans="1:5">
      <c r="A2705" t="str">
        <f>检查点拆解!A2705</f>
        <v>Q0415</v>
      </c>
      <c r="B2705" t="str">
        <f>检查点拆解!D2705</f>
        <v>C04</v>
      </c>
      <c r="C2705" s="2">
        <f>--(COUNTIFS($A$2:A2705,A2705,$B$2:B2705,B2705)=1)</f>
        <v>1</v>
      </c>
      <c r="D2705" t="str">
        <f>检查点拆解!F2705</f>
        <v>D02.02.01</v>
      </c>
      <c r="E2705" s="2">
        <f>--(COUNTIFS($A$2:A2705,A2705,$D$2:D2705,D2705)=1)</f>
        <v>1</v>
      </c>
    </row>
    <row r="2706" spans="1:5">
      <c r="A2706" t="str">
        <f>检查点拆解!A2706</f>
        <v>Q0415</v>
      </c>
      <c r="B2706" t="str">
        <f>检查点拆解!D2706</f>
        <v>C03</v>
      </c>
      <c r="C2706" s="2">
        <f>--(COUNTIFS($A$2:A2706,A2706,$B$2:B2706,B2706)=1)</f>
        <v>1</v>
      </c>
      <c r="D2706" t="str">
        <f>检查点拆解!F2706</f>
        <v>D02.01.01</v>
      </c>
      <c r="E2706" s="2">
        <f>--(COUNTIFS($A$2:A2706,A2706,$D$2:D2706,D2706)=1)</f>
        <v>1</v>
      </c>
    </row>
    <row r="2707" spans="1:5">
      <c r="A2707" t="str">
        <f>检查点拆解!A2707</f>
        <v>Q0416</v>
      </c>
      <c r="B2707" t="str">
        <f>检查点拆解!D2707</f>
        <v>C29</v>
      </c>
      <c r="C2707" s="2">
        <f>--(COUNTIFS($A$2:A2707,A2707,$B$2:B2707,B2707)=1)</f>
        <v>1</v>
      </c>
      <c r="D2707" t="str">
        <f>检查点拆解!F2707</f>
        <v>D14.02.01</v>
      </c>
      <c r="E2707" s="2">
        <f>--(COUNTIFS($A$2:A2707,A2707,$D$2:D2707,D2707)=1)</f>
        <v>1</v>
      </c>
    </row>
    <row r="2708" spans="1:5">
      <c r="A2708" t="str">
        <f>检查点拆解!A2708</f>
        <v>Q0416</v>
      </c>
      <c r="B2708" t="str">
        <f>检查点拆解!D2708</f>
        <v>C14</v>
      </c>
      <c r="C2708" s="2">
        <f>--(COUNTIFS($A$2:A2708,A2708,$B$2:B2708,B2708)=1)</f>
        <v>1</v>
      </c>
      <c r="D2708" t="str">
        <f>检查点拆解!F2708</f>
        <v>D05.01.03</v>
      </c>
      <c r="E2708" s="2">
        <f>--(COUNTIFS($A$2:A2708,A2708,$D$2:D2708,D2708)=1)</f>
        <v>1</v>
      </c>
    </row>
    <row r="2709" spans="1:5">
      <c r="A2709" t="str">
        <f>检查点拆解!A2709</f>
        <v>Q0417</v>
      </c>
      <c r="B2709" t="str">
        <f>检查点拆解!D2709</f>
        <v>C29</v>
      </c>
      <c r="C2709" s="2">
        <f>--(COUNTIFS($A$2:A2709,A2709,$B$2:B2709,B2709)=1)</f>
        <v>1</v>
      </c>
      <c r="D2709" t="str">
        <f>检查点拆解!F2709</f>
        <v>D14.01.02</v>
      </c>
      <c r="E2709" s="2">
        <f>--(COUNTIFS($A$2:A2709,A2709,$D$2:D2709,D2709)=1)</f>
        <v>1</v>
      </c>
    </row>
    <row r="2710" spans="1:5">
      <c r="A2710" t="str">
        <f>检查点拆解!A2710</f>
        <v>Q0417</v>
      </c>
      <c r="B2710" t="str">
        <f>检查点拆解!D2710</f>
        <v>C29</v>
      </c>
      <c r="C2710" s="2">
        <f>--(COUNTIFS($A$2:A2710,A2710,$B$2:B2710,B2710)=1)</f>
        <v>0</v>
      </c>
      <c r="D2710" t="str">
        <f>检查点拆解!F2710</f>
        <v>D14.02.01</v>
      </c>
      <c r="E2710" s="2">
        <f>--(COUNTIFS($A$2:A2710,A2710,$D$2:D2710,D2710)=1)</f>
        <v>1</v>
      </c>
    </row>
    <row r="2711" spans="1:5">
      <c r="A2711" t="str">
        <f>检查点拆解!A2711</f>
        <v>Q0417</v>
      </c>
      <c r="B2711" t="str">
        <f>检查点拆解!D2711</f>
        <v>C27</v>
      </c>
      <c r="C2711" s="2">
        <f>--(COUNTIFS($A$2:A2711,A2711,$B$2:B2711,B2711)=1)</f>
        <v>1</v>
      </c>
      <c r="D2711" t="str">
        <f>检查点拆解!F2711</f>
        <v>D11.02.03</v>
      </c>
      <c r="E2711" s="2">
        <f>--(COUNTIFS($A$2:A2711,A2711,$D$2:D2711,D2711)=1)</f>
        <v>1</v>
      </c>
    </row>
    <row r="2712" spans="1:5">
      <c r="A2712" t="str">
        <f>检查点拆解!A2712</f>
        <v>Q0417</v>
      </c>
      <c r="B2712" t="str">
        <f>检查点拆解!D2712</f>
        <v>C19</v>
      </c>
      <c r="C2712" s="2">
        <f>--(COUNTIFS($A$2:A2712,A2712,$B$2:B2712,B2712)=1)</f>
        <v>1</v>
      </c>
      <c r="D2712" t="str">
        <f>检查点拆解!F2712</f>
        <v>D07.02.02</v>
      </c>
      <c r="E2712" s="2">
        <f>--(COUNTIFS($A$2:A2712,A2712,$D$2:D2712,D2712)=1)</f>
        <v>1</v>
      </c>
    </row>
    <row r="2713" spans="1:5">
      <c r="A2713" t="str">
        <f>检查点拆解!A2713</f>
        <v>Q0417</v>
      </c>
      <c r="B2713" t="str">
        <f>检查点拆解!D2713</f>
        <v>C27</v>
      </c>
      <c r="C2713" s="2">
        <f>--(COUNTIFS($A$2:A2713,A2713,$B$2:B2713,B2713)=1)</f>
        <v>0</v>
      </c>
      <c r="D2713" t="str">
        <f>检查点拆解!F2713</f>
        <v>D11.01.02</v>
      </c>
      <c r="E2713" s="2">
        <f>--(COUNTIFS($A$2:A2713,A2713,$D$2:D2713,D2713)=1)</f>
        <v>1</v>
      </c>
    </row>
    <row r="2714" spans="1:5">
      <c r="A2714" t="str">
        <f>检查点拆解!A2714</f>
        <v>Q0417</v>
      </c>
      <c r="B2714" t="str">
        <f>检查点拆解!D2714</f>
        <v>C30</v>
      </c>
      <c r="C2714" s="2">
        <f>--(COUNTIFS($A$2:A2714,A2714,$B$2:B2714,B2714)=1)</f>
        <v>1</v>
      </c>
      <c r="D2714" t="str">
        <f>检查点拆解!F2714</f>
        <v>D15.01.04</v>
      </c>
      <c r="E2714" s="2">
        <f>--(COUNTIFS($A$2:A2714,A2714,$D$2:D2714,D2714)=1)</f>
        <v>1</v>
      </c>
    </row>
    <row r="2715" spans="1:5">
      <c r="A2715" t="str">
        <f>检查点拆解!A2715</f>
        <v>Q0417</v>
      </c>
      <c r="B2715" t="str">
        <f>检查点拆解!D2715</f>
        <v>C28</v>
      </c>
      <c r="C2715" s="2">
        <f>--(COUNTIFS($A$2:A2715,A2715,$B$2:B2715,B2715)=1)</f>
        <v>1</v>
      </c>
      <c r="D2715" t="str">
        <f>检查点拆解!F2715</f>
        <v>D13.01.02</v>
      </c>
      <c r="E2715" s="2">
        <f>--(COUNTIFS($A$2:A2715,A2715,$D$2:D2715,D2715)=1)</f>
        <v>1</v>
      </c>
    </row>
    <row r="2716" spans="1:5">
      <c r="A2716" t="str">
        <f>检查点拆解!A2716</f>
        <v>Q0417</v>
      </c>
      <c r="B2716" t="str">
        <f>检查点拆解!D2716</f>
        <v>C26</v>
      </c>
      <c r="C2716" s="2">
        <f>--(COUNTIFS($A$2:A2716,A2716,$B$2:B2716,B2716)=1)</f>
        <v>1</v>
      </c>
      <c r="D2716" t="str">
        <f>检查点拆解!F2716</f>
        <v>D10.02.02</v>
      </c>
      <c r="E2716" s="2">
        <f>--(COUNTIFS($A$2:A2716,A2716,$D$2:D2716,D2716)=1)</f>
        <v>1</v>
      </c>
    </row>
    <row r="2717" spans="1:5">
      <c r="A2717" t="str">
        <f>检查点拆解!A2717</f>
        <v>Q0417</v>
      </c>
      <c r="B2717" t="str">
        <f>检查点拆解!D2717</f>
        <v>C14</v>
      </c>
      <c r="C2717" s="2">
        <f>--(COUNTIFS($A$2:A2717,A2717,$B$2:B2717,B2717)=1)</f>
        <v>1</v>
      </c>
      <c r="D2717" t="str">
        <f>检查点拆解!F2717</f>
        <v>D05.01.03</v>
      </c>
      <c r="E2717" s="2">
        <f>--(COUNTIFS($A$2:A2717,A2717,$D$2:D2717,D2717)=1)</f>
        <v>1</v>
      </c>
    </row>
    <row r="2718" spans="1:5">
      <c r="A2718" t="str">
        <f>检查点拆解!A2718</f>
        <v>Q0417</v>
      </c>
      <c r="B2718" t="str">
        <f>检查点拆解!D2718</f>
        <v>C26</v>
      </c>
      <c r="C2718" s="2">
        <f>--(COUNTIFS($A$2:A2718,A2718,$B$2:B2718,B2718)=1)</f>
        <v>0</v>
      </c>
      <c r="D2718" t="str">
        <f>检查点拆解!F2718</f>
        <v>D10.02.01</v>
      </c>
      <c r="E2718" s="2">
        <f>--(COUNTIFS($A$2:A2718,A2718,$D$2:D2718,D2718)=1)</f>
        <v>1</v>
      </c>
    </row>
    <row r="2719" spans="1:5">
      <c r="A2719" t="str">
        <f>检查点拆解!A2719</f>
        <v>Q0418</v>
      </c>
      <c r="B2719" t="str">
        <f>检查点拆解!D2719</f>
        <v>C24</v>
      </c>
      <c r="C2719" s="2">
        <f>--(COUNTIFS($A$2:A2719,A2719,$B$2:B2719,B2719)=1)</f>
        <v>1</v>
      </c>
      <c r="D2719" t="str">
        <f>检查点拆解!F2719</f>
        <v>D09.02.02</v>
      </c>
      <c r="E2719" s="2">
        <f>--(COUNTIFS($A$2:A2719,A2719,$D$2:D2719,D2719)=1)</f>
        <v>1</v>
      </c>
    </row>
    <row r="2720" spans="1:5">
      <c r="A2720" t="str">
        <f>检查点拆解!A2720</f>
        <v>Q0418</v>
      </c>
      <c r="B2720" t="str">
        <f>检查点拆解!D2720</f>
        <v>C12</v>
      </c>
      <c r="C2720" s="2">
        <f>--(COUNTIFS($A$2:A2720,A2720,$B$2:B2720,B2720)=1)</f>
        <v>1</v>
      </c>
      <c r="D2720" t="str">
        <f>检查点拆解!F2720</f>
        <v>D04.03.04</v>
      </c>
      <c r="E2720" s="2">
        <f>--(COUNTIFS($A$2:A2720,A2720,$D$2:D2720,D2720)=1)</f>
        <v>1</v>
      </c>
    </row>
    <row r="2721" spans="1:5">
      <c r="A2721" t="str">
        <f>检查点拆解!A2721</f>
        <v>Q0418</v>
      </c>
      <c r="B2721" t="str">
        <f>检查点拆解!D2721</f>
        <v>C27</v>
      </c>
      <c r="C2721" s="2">
        <f>--(COUNTIFS($A$2:A2721,A2721,$B$2:B2721,B2721)=1)</f>
        <v>1</v>
      </c>
      <c r="D2721" t="str">
        <f>检查点拆解!F2721</f>
        <v>D11.01.02</v>
      </c>
      <c r="E2721" s="2">
        <f>--(COUNTIFS($A$2:A2721,A2721,$D$2:D2721,D2721)=1)</f>
        <v>1</v>
      </c>
    </row>
    <row r="2722" spans="1:5">
      <c r="A2722" t="str">
        <f>检查点拆解!A2722</f>
        <v>Q0418</v>
      </c>
      <c r="B2722" t="str">
        <f>检查点拆解!D2722</f>
        <v>C09</v>
      </c>
      <c r="C2722" s="2">
        <f>--(COUNTIFS($A$2:A2722,A2722,$B$2:B2722,B2722)=1)</f>
        <v>1</v>
      </c>
      <c r="D2722" t="str">
        <f>检查点拆解!F2722</f>
        <v>D04.02.02</v>
      </c>
      <c r="E2722" s="2">
        <f>--(COUNTIFS($A$2:A2722,A2722,$D$2:D2722,D2722)=1)</f>
        <v>1</v>
      </c>
    </row>
    <row r="2723" spans="1:5">
      <c r="A2723" t="str">
        <f>检查点拆解!A2723</f>
        <v>Q0418</v>
      </c>
      <c r="B2723" t="str">
        <f>检查点拆解!D2723</f>
        <v>C23</v>
      </c>
      <c r="C2723" s="2">
        <f>--(COUNTIFS($A$2:A2723,A2723,$B$2:B2723,B2723)=1)</f>
        <v>1</v>
      </c>
      <c r="D2723" t="str">
        <f>检查点拆解!F2723</f>
        <v>D09.01.01</v>
      </c>
      <c r="E2723" s="2">
        <f>--(COUNTIFS($A$2:A2723,A2723,$D$2:D2723,D2723)=1)</f>
        <v>1</v>
      </c>
    </row>
    <row r="2724" spans="1:5">
      <c r="A2724" t="str">
        <f>检查点拆解!A2724</f>
        <v>Q0418</v>
      </c>
      <c r="B2724" t="str">
        <f>检查点拆解!D2724</f>
        <v>C28</v>
      </c>
      <c r="C2724" s="2">
        <f>--(COUNTIFS($A$2:A2724,A2724,$B$2:B2724,B2724)=1)</f>
        <v>1</v>
      </c>
      <c r="D2724" t="str">
        <f>检查点拆解!F2724</f>
        <v>D12.02.01</v>
      </c>
      <c r="E2724" s="2">
        <f>--(COUNTIFS($A$2:A2724,A2724,$D$2:D2724,D2724)=1)</f>
        <v>1</v>
      </c>
    </row>
    <row r="2725" spans="1:5">
      <c r="A2725" t="str">
        <f>检查点拆解!A2725</f>
        <v>Q0418</v>
      </c>
      <c r="B2725" t="str">
        <f>检查点拆解!D2725</f>
        <v>C28</v>
      </c>
      <c r="C2725" s="2">
        <f>--(COUNTIFS($A$2:A2725,A2725,$B$2:B2725,B2725)=1)</f>
        <v>0</v>
      </c>
      <c r="D2725" t="str">
        <f>检查点拆解!F2725</f>
        <v>D12.02.02</v>
      </c>
      <c r="E2725" s="2">
        <f>--(COUNTIFS($A$2:A2725,A2725,$D$2:D2725,D2725)=1)</f>
        <v>1</v>
      </c>
    </row>
    <row r="2726" spans="1:5">
      <c r="A2726" t="str">
        <f>检查点拆解!A2726</f>
        <v>Q0418</v>
      </c>
      <c r="B2726" t="str">
        <f>检查点拆解!D2726</f>
        <v>C26</v>
      </c>
      <c r="C2726" s="2">
        <f>--(COUNTIFS($A$2:A2726,A2726,$B$2:B2726,B2726)=1)</f>
        <v>1</v>
      </c>
      <c r="D2726" t="str">
        <f>检查点拆解!F2726</f>
        <v>D10.02.01</v>
      </c>
      <c r="E2726" s="2">
        <f>--(COUNTIFS($A$2:A2726,A2726,$D$2:D2726,D2726)=1)</f>
        <v>1</v>
      </c>
    </row>
    <row r="2727" spans="1:5">
      <c r="A2727" t="str">
        <f>检查点拆解!A2727</f>
        <v>Q0418</v>
      </c>
      <c r="B2727" t="str">
        <f>检查点拆解!D2727</f>
        <v>C28</v>
      </c>
      <c r="C2727" s="2">
        <f>--(COUNTIFS($A$2:A2727,A2727,$B$2:B2727,B2727)=1)</f>
        <v>0</v>
      </c>
      <c r="D2727" t="str">
        <f>检查点拆解!F2727</f>
        <v>D12.01.01</v>
      </c>
      <c r="E2727" s="2">
        <f>--(COUNTIFS($A$2:A2727,A2727,$D$2:D2727,D2727)=1)</f>
        <v>1</v>
      </c>
    </row>
    <row r="2728" spans="1:5">
      <c r="A2728" t="str">
        <f>检查点拆解!A2728</f>
        <v>Q0418</v>
      </c>
      <c r="B2728" t="str">
        <f>检查点拆解!D2728</f>
        <v>C28</v>
      </c>
      <c r="C2728" s="2">
        <f>--(COUNTIFS($A$2:A2728,A2728,$B$2:B2728,B2728)=1)</f>
        <v>0</v>
      </c>
      <c r="D2728" t="str">
        <f>检查点拆解!F2728</f>
        <v>D12.01.02</v>
      </c>
      <c r="E2728" s="2">
        <f>--(COUNTIFS($A$2:A2728,A2728,$D$2:D2728,D2728)=1)</f>
        <v>1</v>
      </c>
    </row>
    <row r="2729" spans="1:5">
      <c r="A2729" t="str">
        <f>检查点拆解!A2729</f>
        <v>Q0419</v>
      </c>
      <c r="B2729" t="str">
        <f>检查点拆解!D2729</f>
        <v>C27</v>
      </c>
      <c r="C2729" s="2">
        <f>--(COUNTIFS($A$2:A2729,A2729,$B$2:B2729,B2729)=1)</f>
        <v>1</v>
      </c>
      <c r="D2729" t="str">
        <f>检查点拆解!F2729</f>
        <v>D11.02.01</v>
      </c>
      <c r="E2729" s="2">
        <f>--(COUNTIFS($A$2:A2729,A2729,$D$2:D2729,D2729)=1)</f>
        <v>1</v>
      </c>
    </row>
    <row r="2730" spans="1:5">
      <c r="A2730" t="str">
        <f>检查点拆解!A2730</f>
        <v>Q0419</v>
      </c>
      <c r="B2730" t="str">
        <f>检查点拆解!D2730</f>
        <v>C24</v>
      </c>
      <c r="C2730" s="2">
        <f>--(COUNTIFS($A$2:A2730,A2730,$B$2:B2730,B2730)=1)</f>
        <v>1</v>
      </c>
      <c r="D2730" t="str">
        <f>检查点拆解!F2730</f>
        <v>D09.03.03</v>
      </c>
      <c r="E2730" s="2">
        <f>--(COUNTIFS($A$2:A2730,A2730,$D$2:D2730,D2730)=1)</f>
        <v>1</v>
      </c>
    </row>
    <row r="2731" spans="1:5">
      <c r="A2731" t="str">
        <f>检查点拆解!A2731</f>
        <v>Q0419</v>
      </c>
      <c r="B2731" t="str">
        <f>检查点拆解!D2731</f>
        <v>C08</v>
      </c>
      <c r="C2731" s="2">
        <f>--(COUNTIFS($A$2:A2731,A2731,$B$2:B2731,B2731)=1)</f>
        <v>1</v>
      </c>
      <c r="D2731" t="str">
        <f>检查点拆解!F2731</f>
        <v>D04.01.02</v>
      </c>
      <c r="E2731" s="2">
        <f>--(COUNTIFS($A$2:A2731,A2731,$D$2:D2731,D2731)=1)</f>
        <v>1</v>
      </c>
    </row>
    <row r="2732" spans="1:5">
      <c r="A2732" t="str">
        <f>检查点拆解!A2732</f>
        <v>Q0419</v>
      </c>
      <c r="B2732" t="str">
        <f>检查点拆解!D2732</f>
        <v>C26</v>
      </c>
      <c r="C2732" s="2">
        <f>--(COUNTIFS($A$2:A2732,A2732,$B$2:B2732,B2732)=1)</f>
        <v>1</v>
      </c>
      <c r="D2732" t="str">
        <f>检查点拆解!F2732</f>
        <v>D10.02.01</v>
      </c>
      <c r="E2732" s="2">
        <f>--(COUNTIFS($A$2:A2732,A2732,$D$2:D2732,D2732)=1)</f>
        <v>1</v>
      </c>
    </row>
    <row r="2733" spans="1:5">
      <c r="A2733" t="str">
        <f>检查点拆解!A2733</f>
        <v>Q0419</v>
      </c>
      <c r="B2733" t="str">
        <f>检查点拆解!D2733</f>
        <v>C28</v>
      </c>
      <c r="C2733" s="2">
        <f>--(COUNTIFS($A$2:A2733,A2733,$B$2:B2733,B2733)=1)</f>
        <v>1</v>
      </c>
      <c r="D2733" t="str">
        <f>检查点拆解!F2733</f>
        <v>D12.01.01</v>
      </c>
      <c r="E2733" s="2">
        <f>--(COUNTIFS($A$2:A2733,A2733,$D$2:D2733,D2733)=1)</f>
        <v>1</v>
      </c>
    </row>
    <row r="2734" spans="1:5">
      <c r="A2734" t="str">
        <f>检查点拆解!A2734</f>
        <v>Q0419</v>
      </c>
      <c r="B2734" t="str">
        <f>检查点拆解!D2734</f>
        <v>C28</v>
      </c>
      <c r="C2734" s="2">
        <f>--(COUNTIFS($A$2:A2734,A2734,$B$2:B2734,B2734)=1)</f>
        <v>0</v>
      </c>
      <c r="D2734" t="str">
        <f>检查点拆解!F2734</f>
        <v>D12.01.02</v>
      </c>
      <c r="E2734" s="2">
        <f>--(COUNTIFS($A$2:A2734,A2734,$D$2:D2734,D2734)=1)</f>
        <v>1</v>
      </c>
    </row>
    <row r="2735" spans="1:5">
      <c r="A2735" t="str">
        <f>检查点拆解!A2735</f>
        <v>Q0419</v>
      </c>
      <c r="B2735" t="str">
        <f>检查点拆解!D2735</f>
        <v>C03</v>
      </c>
      <c r="C2735" s="2">
        <f>--(COUNTIFS($A$2:A2735,A2735,$B$2:B2735,B2735)=1)</f>
        <v>1</v>
      </c>
      <c r="D2735" t="str">
        <f>检查点拆解!F2735</f>
        <v>D02.01.01</v>
      </c>
      <c r="E2735" s="2">
        <f>--(COUNTIFS($A$2:A2735,A2735,$D$2:D2735,D2735)=1)</f>
        <v>1</v>
      </c>
    </row>
    <row r="2736" spans="1:5">
      <c r="A2736" t="str">
        <f>检查点拆解!A2736</f>
        <v>Q0419</v>
      </c>
      <c r="B2736" t="str">
        <f>检查点拆解!D2736</f>
        <v>C05</v>
      </c>
      <c r="C2736" s="2">
        <f>--(COUNTIFS($A$2:A2736,A2736,$B$2:B2736,B2736)=1)</f>
        <v>1</v>
      </c>
      <c r="D2736" t="str">
        <f>检查点拆解!F2736</f>
        <v>D02.03.02</v>
      </c>
      <c r="E2736" s="2">
        <f>--(COUNTIFS($A$2:A2736,A2736,$D$2:D2736,D2736)=1)</f>
        <v>1</v>
      </c>
    </row>
    <row r="2737" spans="1:5">
      <c r="A2737" t="str">
        <f>检查点拆解!A2737</f>
        <v>Q0419</v>
      </c>
      <c r="B2737" t="str">
        <f>检查点拆解!D2737</f>
        <v>C08</v>
      </c>
      <c r="C2737" s="2">
        <f>--(COUNTIFS($A$2:A2737,A2737,$B$2:B2737,B2737)=1)</f>
        <v>0</v>
      </c>
      <c r="D2737" t="str">
        <f>检查点拆解!F2737</f>
        <v>D03.03.01</v>
      </c>
      <c r="E2737" s="2">
        <f>--(COUNTIFS($A$2:A2737,A2737,$D$2:D2737,D2737)=1)</f>
        <v>1</v>
      </c>
    </row>
    <row r="2738" spans="1:5">
      <c r="A2738" t="str">
        <f>检查点拆解!A2738</f>
        <v>Q0420</v>
      </c>
      <c r="B2738" t="str">
        <f>检查点拆解!D2738</f>
        <v>C18</v>
      </c>
      <c r="C2738" s="2">
        <f>--(COUNTIFS($A$2:A2738,A2738,$B$2:B2738,B2738)=1)</f>
        <v>1</v>
      </c>
      <c r="D2738" t="str">
        <f>检查点拆解!F2738</f>
        <v>D07.01.03</v>
      </c>
      <c r="E2738" s="2">
        <f>--(COUNTIFS($A$2:A2738,A2738,$D$2:D2738,D2738)=1)</f>
        <v>1</v>
      </c>
    </row>
    <row r="2739" spans="1:5">
      <c r="A2739" t="str">
        <f>检查点拆解!A2739</f>
        <v>Q0420</v>
      </c>
      <c r="B2739" t="str">
        <f>检查点拆解!D2739</f>
        <v>C27</v>
      </c>
      <c r="C2739" s="2">
        <f>--(COUNTIFS($A$2:A2739,A2739,$B$2:B2739,B2739)=1)</f>
        <v>1</v>
      </c>
      <c r="D2739" t="str">
        <f>检查点拆解!F2739</f>
        <v>D11.01.01</v>
      </c>
      <c r="E2739" s="2">
        <f>--(COUNTIFS($A$2:A2739,A2739,$D$2:D2739,D2739)=1)</f>
        <v>1</v>
      </c>
    </row>
    <row r="2740" spans="1:5">
      <c r="A2740" t="str">
        <f>检查点拆解!A2740</f>
        <v>Q0420</v>
      </c>
      <c r="B2740" t="str">
        <f>检查点拆解!D2740</f>
        <v>C28</v>
      </c>
      <c r="C2740" s="2">
        <f>--(COUNTIFS($A$2:A2740,A2740,$B$2:B2740,B2740)=1)</f>
        <v>1</v>
      </c>
      <c r="D2740" t="str">
        <f>检查点拆解!F2740</f>
        <v>D12.01.01</v>
      </c>
      <c r="E2740" s="2">
        <f>--(COUNTIFS($A$2:A2740,A2740,$D$2:D2740,D2740)=1)</f>
        <v>1</v>
      </c>
    </row>
    <row r="2741" spans="1:5">
      <c r="A2741" t="str">
        <f>检查点拆解!A2741</f>
        <v>Q0420</v>
      </c>
      <c r="B2741" t="str">
        <f>检查点拆解!D2741</f>
        <v>C28</v>
      </c>
      <c r="C2741" s="2">
        <f>--(COUNTIFS($A$2:A2741,A2741,$B$2:B2741,B2741)=1)</f>
        <v>0</v>
      </c>
      <c r="D2741" t="str">
        <f>检查点拆解!F2741</f>
        <v>D12.01.02</v>
      </c>
      <c r="E2741" s="2">
        <f>--(COUNTIFS($A$2:A2741,A2741,$D$2:D2741,D2741)=1)</f>
        <v>1</v>
      </c>
    </row>
    <row r="2742" spans="1:5">
      <c r="A2742" t="str">
        <f>检查点拆解!A2742</f>
        <v>Q0420</v>
      </c>
      <c r="B2742" t="str">
        <f>检查点拆解!D2742</f>
        <v>C05</v>
      </c>
      <c r="C2742" s="2">
        <f>--(COUNTIFS($A$2:A2742,A2742,$B$2:B2742,B2742)=1)</f>
        <v>1</v>
      </c>
      <c r="D2742" t="str">
        <f>检查点拆解!F2742</f>
        <v>D02.03.01</v>
      </c>
      <c r="E2742" s="2">
        <f>--(COUNTIFS($A$2:A2742,A2742,$D$2:D2742,D2742)=1)</f>
        <v>1</v>
      </c>
    </row>
    <row r="2743" spans="1:5">
      <c r="A2743" t="str">
        <f>检查点拆解!A2743</f>
        <v>Q0421</v>
      </c>
      <c r="B2743" t="str">
        <f>检查点拆解!D2743</f>
        <v>C24</v>
      </c>
      <c r="C2743" s="2">
        <f>--(COUNTIFS($A$2:A2743,A2743,$B$2:B2743,B2743)=1)</f>
        <v>1</v>
      </c>
      <c r="D2743" t="str">
        <f>检查点拆解!F2743</f>
        <v>D09.02.02</v>
      </c>
      <c r="E2743" s="2">
        <f>--(COUNTIFS($A$2:A2743,A2743,$D$2:D2743,D2743)=1)</f>
        <v>1</v>
      </c>
    </row>
    <row r="2744" spans="1:5">
      <c r="A2744" t="str">
        <f>检查点拆解!A2744</f>
        <v>Q0421</v>
      </c>
      <c r="B2744" t="str">
        <f>检查点拆解!D2744</f>
        <v>C18</v>
      </c>
      <c r="C2744" s="2">
        <f>--(COUNTIFS($A$2:A2744,A2744,$B$2:B2744,B2744)=1)</f>
        <v>1</v>
      </c>
      <c r="D2744" t="str">
        <f>检查点拆解!F2744</f>
        <v>D07.01.01</v>
      </c>
      <c r="E2744" s="2">
        <f>--(COUNTIFS($A$2:A2744,A2744,$D$2:D2744,D2744)=1)</f>
        <v>1</v>
      </c>
    </row>
    <row r="2745" spans="1:5">
      <c r="A2745" t="str">
        <f>检查点拆解!A2745</f>
        <v>Q0421</v>
      </c>
      <c r="B2745" t="str">
        <f>检查点拆解!D2745</f>
        <v>C25</v>
      </c>
      <c r="C2745" s="2">
        <f>--(COUNTIFS($A$2:A2745,A2745,$B$2:B2745,B2745)=1)</f>
        <v>1</v>
      </c>
      <c r="D2745" t="str">
        <f>检查点拆解!F2745</f>
        <v>D10.01.01</v>
      </c>
      <c r="E2745" s="2">
        <f>--(COUNTIFS($A$2:A2745,A2745,$D$2:D2745,D2745)=1)</f>
        <v>1</v>
      </c>
    </row>
    <row r="2746" spans="1:5">
      <c r="A2746" t="str">
        <f>检查点拆解!A2746</f>
        <v>Q0421</v>
      </c>
      <c r="B2746" t="str">
        <f>检查点拆解!D2746</f>
        <v>C28</v>
      </c>
      <c r="C2746" s="2">
        <f>--(COUNTIFS($A$2:A2746,A2746,$B$2:B2746,B2746)=1)</f>
        <v>1</v>
      </c>
      <c r="D2746" t="str">
        <f>检查点拆解!F2746</f>
        <v>D12.02.01</v>
      </c>
      <c r="E2746" s="2">
        <f>--(COUNTIFS($A$2:A2746,A2746,$D$2:D2746,D2746)=1)</f>
        <v>1</v>
      </c>
    </row>
    <row r="2747" spans="1:5">
      <c r="A2747" t="str">
        <f>检查点拆解!A2747</f>
        <v>Q0421</v>
      </c>
      <c r="B2747" t="str">
        <f>检查点拆解!D2747</f>
        <v>C28</v>
      </c>
      <c r="C2747" s="2">
        <f>--(COUNTIFS($A$2:A2747,A2747,$B$2:B2747,B2747)=1)</f>
        <v>0</v>
      </c>
      <c r="D2747" t="str">
        <f>检查点拆解!F2747</f>
        <v>D12.01.02</v>
      </c>
      <c r="E2747" s="2">
        <f>--(COUNTIFS($A$2:A2747,A2747,$D$2:D2747,D2747)=1)</f>
        <v>1</v>
      </c>
    </row>
    <row r="2748" spans="1:5">
      <c r="A2748" t="str">
        <f>检查点拆解!A2748</f>
        <v>Q0421</v>
      </c>
      <c r="B2748" t="str">
        <f>检查点拆解!D2748</f>
        <v>C04</v>
      </c>
      <c r="C2748" s="2">
        <f>--(COUNTIFS($A$2:A2748,A2748,$B$2:B2748,B2748)=1)</f>
        <v>1</v>
      </c>
      <c r="D2748" t="str">
        <f>检查点拆解!F2748</f>
        <v>D02.02.01</v>
      </c>
      <c r="E2748" s="2">
        <f>--(COUNTIFS($A$2:A2748,A2748,$D$2:D2748,D2748)=1)</f>
        <v>1</v>
      </c>
    </row>
    <row r="2749" spans="1:5">
      <c r="A2749" t="str">
        <f>检查点拆解!A2749</f>
        <v>Q0422</v>
      </c>
      <c r="B2749" t="str">
        <f>检查点拆解!D2749</f>
        <v>C29</v>
      </c>
      <c r="C2749" s="2">
        <f>--(COUNTIFS($A$2:A2749,A2749,$B$2:B2749,B2749)=1)</f>
        <v>1</v>
      </c>
      <c r="D2749" t="str">
        <f>检查点拆解!F2749</f>
        <v>D14.02.01</v>
      </c>
      <c r="E2749" s="2">
        <f>--(COUNTIFS($A$2:A2749,A2749,$D$2:D2749,D2749)=1)</f>
        <v>1</v>
      </c>
    </row>
    <row r="2750" spans="1:5">
      <c r="A2750" t="str">
        <f>检查点拆解!A2750</f>
        <v>Q0422</v>
      </c>
      <c r="B2750" t="str">
        <f>检查点拆解!D2750</f>
        <v>C27</v>
      </c>
      <c r="C2750" s="2">
        <f>--(COUNTIFS($A$2:A2750,A2750,$B$2:B2750,B2750)=1)</f>
        <v>1</v>
      </c>
      <c r="D2750" t="str">
        <f>检查点拆解!F2750</f>
        <v>D11.01.02</v>
      </c>
      <c r="E2750" s="2">
        <f>--(COUNTIFS($A$2:A2750,A2750,$D$2:D2750,D2750)=1)</f>
        <v>1</v>
      </c>
    </row>
    <row r="2751" spans="1:5">
      <c r="A2751" t="str">
        <f>检查点拆解!A2751</f>
        <v>Q0422</v>
      </c>
      <c r="B2751" t="str">
        <f>检查点拆解!D2751</f>
        <v>C28</v>
      </c>
      <c r="C2751" s="2">
        <f>--(COUNTIFS($A$2:A2751,A2751,$B$2:B2751,B2751)=1)</f>
        <v>1</v>
      </c>
      <c r="D2751" t="str">
        <f>检查点拆解!F2751</f>
        <v>D13.02.01</v>
      </c>
      <c r="E2751" s="2">
        <f>--(COUNTIFS($A$2:A2751,A2751,$D$2:D2751,D2751)=1)</f>
        <v>1</v>
      </c>
    </row>
    <row r="2752" spans="1:5">
      <c r="A2752" t="str">
        <f>检查点拆解!A2752</f>
        <v>Q0422</v>
      </c>
      <c r="B2752" t="str">
        <f>检查点拆解!D2752</f>
        <v>C26</v>
      </c>
      <c r="C2752" s="2">
        <f>--(COUNTIFS($A$2:A2752,A2752,$B$2:B2752,B2752)=1)</f>
        <v>1</v>
      </c>
      <c r="D2752" t="str">
        <f>检查点拆解!F2752</f>
        <v>D10.02.01</v>
      </c>
      <c r="E2752" s="2">
        <f>--(COUNTIFS($A$2:A2752,A2752,$D$2:D2752,D2752)=1)</f>
        <v>1</v>
      </c>
    </row>
    <row r="2753" spans="1:5">
      <c r="A2753" t="str">
        <f>检查点拆解!A2753</f>
        <v>Q0422</v>
      </c>
      <c r="B2753" t="str">
        <f>检查点拆解!D2753</f>
        <v>C03</v>
      </c>
      <c r="C2753" s="2">
        <f>--(COUNTIFS($A$2:A2753,A2753,$B$2:B2753,B2753)=1)</f>
        <v>1</v>
      </c>
      <c r="D2753" t="str">
        <f>检查点拆解!F2753</f>
        <v>D02.01.02</v>
      </c>
      <c r="E2753" s="2">
        <f>--(COUNTIFS($A$2:A2753,A2753,$D$2:D2753,D2753)=1)</f>
        <v>1</v>
      </c>
    </row>
    <row r="2754" spans="1:5">
      <c r="A2754" t="str">
        <f>检查点拆解!A2754</f>
        <v>Q0422</v>
      </c>
      <c r="B2754" t="str">
        <f>检查点拆解!D2754</f>
        <v>C08</v>
      </c>
      <c r="C2754" s="2">
        <f>--(COUNTIFS($A$2:A2754,A2754,$B$2:B2754,B2754)=1)</f>
        <v>1</v>
      </c>
      <c r="D2754" t="str">
        <f>检查点拆解!F2754</f>
        <v>D03.03.01</v>
      </c>
      <c r="E2754" s="2">
        <f>--(COUNTIFS($A$2:A2754,A2754,$D$2:D2754,D2754)=1)</f>
        <v>1</v>
      </c>
    </row>
    <row r="2755" spans="1:5">
      <c r="A2755" t="str">
        <f>检查点拆解!A2755</f>
        <v>Q0423</v>
      </c>
      <c r="B2755" t="str">
        <f>检查点拆解!D2755</f>
        <v>C18</v>
      </c>
      <c r="C2755" s="2">
        <f>--(COUNTIFS($A$2:A2755,A2755,$B$2:B2755,B2755)=1)</f>
        <v>1</v>
      </c>
      <c r="D2755" t="str">
        <f>检查点拆解!F2755</f>
        <v>D07.01.04</v>
      </c>
      <c r="E2755" s="2">
        <f>--(COUNTIFS($A$2:A2755,A2755,$D$2:D2755,D2755)=1)</f>
        <v>1</v>
      </c>
    </row>
    <row r="2756" spans="1:5">
      <c r="A2756" t="str">
        <f>检查点拆解!A2756</f>
        <v>Q0423</v>
      </c>
      <c r="B2756" t="str">
        <f>检查点拆解!D2756</f>
        <v>C05</v>
      </c>
      <c r="C2756" s="2">
        <f>--(COUNTIFS($A$2:A2756,A2756,$B$2:B2756,B2756)=1)</f>
        <v>1</v>
      </c>
      <c r="D2756" t="str">
        <f>检查点拆解!F2756</f>
        <v>D02.03.02</v>
      </c>
      <c r="E2756" s="2">
        <f>--(COUNTIFS($A$2:A2756,A2756,$D$2:D2756,D2756)=1)</f>
        <v>1</v>
      </c>
    </row>
    <row r="2757" spans="1:5">
      <c r="A2757" t="str">
        <f>检查点拆解!A2757</f>
        <v>Q0424</v>
      </c>
      <c r="B2757" t="str">
        <f>检查点拆解!D2757</f>
        <v>C30</v>
      </c>
      <c r="C2757" s="2">
        <f>--(COUNTIFS($A$2:A2757,A2757,$B$2:B2757,B2757)=1)</f>
        <v>1</v>
      </c>
      <c r="D2757" t="str">
        <f>检查点拆解!F2757</f>
        <v>D15.01.02</v>
      </c>
      <c r="E2757" s="2">
        <f>--(COUNTIFS($A$2:A2757,A2757,$D$2:D2757,D2757)=1)</f>
        <v>1</v>
      </c>
    </row>
    <row r="2758" spans="1:5">
      <c r="A2758" t="str">
        <f>检查点拆解!A2758</f>
        <v>Q0424</v>
      </c>
      <c r="B2758" t="str">
        <f>检查点拆解!D2758</f>
        <v>C30</v>
      </c>
      <c r="C2758" s="2">
        <f>--(COUNTIFS($A$2:A2758,A2758,$B$2:B2758,B2758)=1)</f>
        <v>0</v>
      </c>
      <c r="D2758" t="str">
        <f>检查点拆解!F2758</f>
        <v>D15.02.01</v>
      </c>
      <c r="E2758" s="2">
        <f>--(COUNTIFS($A$2:A2758,A2758,$D$2:D2758,D2758)=1)</f>
        <v>1</v>
      </c>
    </row>
    <row r="2759" spans="1:5">
      <c r="A2759" t="str">
        <f>检查点拆解!A2759</f>
        <v>Q0424</v>
      </c>
      <c r="B2759" t="str">
        <f>检查点拆解!D2759</f>
        <v>C18</v>
      </c>
      <c r="C2759" s="2">
        <f>--(COUNTIFS($A$2:A2759,A2759,$B$2:B2759,B2759)=1)</f>
        <v>1</v>
      </c>
      <c r="D2759" t="str">
        <f>检查点拆解!F2759</f>
        <v>D07.01.02</v>
      </c>
      <c r="E2759" s="2">
        <f>--(COUNTIFS($A$2:A2759,A2759,$D$2:D2759,D2759)=1)</f>
        <v>1</v>
      </c>
    </row>
    <row r="2760" spans="1:5">
      <c r="A2760" t="str">
        <f>检查点拆解!A2760</f>
        <v>Q0424</v>
      </c>
      <c r="B2760" t="str">
        <f>检查点拆解!D2760</f>
        <v>C30</v>
      </c>
      <c r="C2760" s="2">
        <f>--(COUNTIFS($A$2:A2760,A2760,$B$2:B2760,B2760)=1)</f>
        <v>0</v>
      </c>
      <c r="D2760" t="str">
        <f>检查点拆解!F2760</f>
        <v>D15.01.03</v>
      </c>
      <c r="E2760" s="2">
        <f>--(COUNTIFS($A$2:A2760,A2760,$D$2:D2760,D2760)=1)</f>
        <v>1</v>
      </c>
    </row>
    <row r="2761" spans="1:5">
      <c r="A2761" t="str">
        <f>检查点拆解!A2761</f>
        <v>Q0424</v>
      </c>
      <c r="B2761" t="str">
        <f>检查点拆解!D2761</f>
        <v>C03</v>
      </c>
      <c r="C2761" s="2">
        <f>--(COUNTIFS($A$2:A2761,A2761,$B$2:B2761,B2761)=1)</f>
        <v>1</v>
      </c>
      <c r="D2761" t="str">
        <f>检查点拆解!F2761</f>
        <v>D02.01.01</v>
      </c>
      <c r="E2761" s="2">
        <f>--(COUNTIFS($A$2:A2761,A2761,$D$2:D2761,D2761)=1)</f>
        <v>1</v>
      </c>
    </row>
    <row r="2762" spans="1:5">
      <c r="A2762" t="str">
        <f>检查点拆解!A2762</f>
        <v>Q0424</v>
      </c>
      <c r="B2762" t="str">
        <f>检查点拆解!D2762</f>
        <v>C08</v>
      </c>
      <c r="C2762" s="2">
        <f>--(COUNTIFS($A$2:A2762,A2762,$B$2:B2762,B2762)=1)</f>
        <v>1</v>
      </c>
      <c r="D2762" t="str">
        <f>检查点拆解!F2762</f>
        <v>D03.03.01</v>
      </c>
      <c r="E2762" s="2">
        <f>--(COUNTIFS($A$2:A2762,A2762,$D$2:D2762,D2762)=1)</f>
        <v>1</v>
      </c>
    </row>
    <row r="2763" spans="1:5">
      <c r="A2763" t="str">
        <f>检查点拆解!A2763</f>
        <v>Q0425</v>
      </c>
      <c r="B2763" t="str">
        <f>检查点拆解!D2763</f>
        <v>C28</v>
      </c>
      <c r="C2763" s="2">
        <f>--(COUNTIFS($A$2:A2763,A2763,$B$2:B2763,B2763)=1)</f>
        <v>1</v>
      </c>
      <c r="D2763" t="str">
        <f>检查点拆解!F2763</f>
        <v>D12.02.01</v>
      </c>
      <c r="E2763" s="2">
        <f>--(COUNTIFS($A$2:A2763,A2763,$D$2:D2763,D2763)=1)</f>
        <v>1</v>
      </c>
    </row>
    <row r="2764" spans="1:5">
      <c r="A2764" t="str">
        <f>检查点拆解!A2764</f>
        <v>Q0425</v>
      </c>
      <c r="B2764" t="str">
        <f>检查点拆解!D2764</f>
        <v>C28</v>
      </c>
      <c r="C2764" s="2">
        <f>--(COUNTIFS($A$2:A2764,A2764,$B$2:B2764,B2764)=1)</f>
        <v>0</v>
      </c>
      <c r="D2764" t="str">
        <f>检查点拆解!F2764</f>
        <v>D12.02.02</v>
      </c>
      <c r="E2764" s="2">
        <f>--(COUNTIFS($A$2:A2764,A2764,$D$2:D2764,D2764)=1)</f>
        <v>1</v>
      </c>
    </row>
    <row r="2765" spans="1:5">
      <c r="A2765" t="str">
        <f>检查点拆解!A2765</f>
        <v>Q0425</v>
      </c>
      <c r="B2765" t="str">
        <f>检查点拆解!D2765</f>
        <v>C28</v>
      </c>
      <c r="C2765" s="2">
        <f>--(COUNTIFS($A$2:A2765,A2765,$B$2:B2765,B2765)=1)</f>
        <v>0</v>
      </c>
      <c r="D2765" t="str">
        <f>检查点拆解!F2765</f>
        <v>D13.01.01</v>
      </c>
      <c r="E2765" s="2">
        <f>--(COUNTIFS($A$2:A2765,A2765,$D$2:D2765,D2765)=1)</f>
        <v>1</v>
      </c>
    </row>
    <row r="2766" spans="1:5">
      <c r="A2766" t="str">
        <f>检查点拆解!A2766</f>
        <v>Q0426</v>
      </c>
      <c r="B2766" t="str">
        <f>检查点拆解!D2766</f>
        <v>C08</v>
      </c>
      <c r="C2766" s="2">
        <f>--(COUNTIFS($A$2:A2766,A2766,$B$2:B2766,B2766)=1)</f>
        <v>1</v>
      </c>
      <c r="D2766" t="str">
        <f>检查点拆解!F2766</f>
        <v>D04.01.02</v>
      </c>
      <c r="E2766" s="2">
        <f>--(COUNTIFS($A$2:A2766,A2766,$D$2:D2766,D2766)=1)</f>
        <v>1</v>
      </c>
    </row>
    <row r="2767" spans="1:5">
      <c r="A2767" t="str">
        <f>检查点拆解!A2767</f>
        <v>Q0426</v>
      </c>
      <c r="B2767" t="str">
        <f>检查点拆解!D2767</f>
        <v>C28</v>
      </c>
      <c r="C2767" s="2">
        <f>--(COUNTIFS($A$2:A2767,A2767,$B$2:B2767,B2767)=1)</f>
        <v>1</v>
      </c>
      <c r="D2767" t="str">
        <f>检查点拆解!F2767</f>
        <v>D12.01.02</v>
      </c>
      <c r="E2767" s="2">
        <f>--(COUNTIFS($A$2:A2767,A2767,$D$2:D2767,D2767)=1)</f>
        <v>1</v>
      </c>
    </row>
    <row r="2768" spans="1:5">
      <c r="A2768" t="str">
        <f>检查点拆解!A2768</f>
        <v>Q0426</v>
      </c>
      <c r="B2768" t="str">
        <f>检查点拆解!D2768</f>
        <v>C03</v>
      </c>
      <c r="C2768" s="2">
        <f>--(COUNTIFS($A$2:A2768,A2768,$B$2:B2768,B2768)=1)</f>
        <v>1</v>
      </c>
      <c r="D2768" t="str">
        <f>检查点拆解!F2768</f>
        <v>D02.01.01</v>
      </c>
      <c r="E2768" s="2">
        <f>--(COUNTIFS($A$2:A2768,A2768,$D$2:D2768,D2768)=1)</f>
        <v>1</v>
      </c>
    </row>
    <row r="2769" spans="1:5">
      <c r="A2769" t="str">
        <f>检查点拆解!A2769</f>
        <v>Q0426</v>
      </c>
      <c r="B2769" t="str">
        <f>检查点拆解!D2769</f>
        <v>C05</v>
      </c>
      <c r="C2769" s="2">
        <f>--(COUNTIFS($A$2:A2769,A2769,$B$2:B2769,B2769)=1)</f>
        <v>1</v>
      </c>
      <c r="D2769" t="str">
        <f>检查点拆解!F2769</f>
        <v>D02.03.02</v>
      </c>
      <c r="E2769" s="2">
        <f>--(COUNTIFS($A$2:A2769,A2769,$D$2:D2769,D2769)=1)</f>
        <v>1</v>
      </c>
    </row>
    <row r="2770" spans="1:5">
      <c r="A2770" t="str">
        <f>检查点拆解!A2770</f>
        <v>Q0426</v>
      </c>
      <c r="B2770" t="str">
        <f>检查点拆解!D2770</f>
        <v>C08</v>
      </c>
      <c r="C2770" s="2">
        <f>--(COUNTIFS($A$2:A2770,A2770,$B$2:B2770,B2770)=1)</f>
        <v>0</v>
      </c>
      <c r="D2770" t="str">
        <f>检查点拆解!F2770</f>
        <v>D03.03.01</v>
      </c>
      <c r="E2770" s="2">
        <f>--(COUNTIFS($A$2:A2770,A2770,$D$2:D2770,D2770)=1)</f>
        <v>1</v>
      </c>
    </row>
    <row r="2771" spans="1:5">
      <c r="A2771" t="str">
        <f>检查点拆解!A2771</f>
        <v>Q0427</v>
      </c>
      <c r="B2771" t="str">
        <f>检查点拆解!D2771</f>
        <v>C17</v>
      </c>
      <c r="C2771" s="2">
        <f>--(COUNTIFS($A$2:A2771,A2771,$B$2:B2771,B2771)=1)</f>
        <v>1</v>
      </c>
      <c r="D2771" t="str">
        <f>检查点拆解!F2771</f>
        <v>D06.03.01</v>
      </c>
      <c r="E2771" s="2">
        <f>--(COUNTIFS($A$2:A2771,A2771,$D$2:D2771,D2771)=1)</f>
        <v>1</v>
      </c>
    </row>
    <row r="2772" spans="1:5">
      <c r="A2772" t="str">
        <f>检查点拆解!A2772</f>
        <v>Q0427</v>
      </c>
      <c r="B2772" t="str">
        <f>检查点拆解!D2772</f>
        <v>C24</v>
      </c>
      <c r="C2772" s="2">
        <f>--(COUNTIFS($A$2:A2772,A2772,$B$2:B2772,B2772)=1)</f>
        <v>1</v>
      </c>
      <c r="D2772" t="str">
        <f>检查点拆解!F2772</f>
        <v>D09.02.03</v>
      </c>
      <c r="E2772" s="2">
        <f>--(COUNTIFS($A$2:A2772,A2772,$D$2:D2772,D2772)=1)</f>
        <v>1</v>
      </c>
    </row>
    <row r="2773" spans="1:5">
      <c r="A2773" t="str">
        <f>检查点拆解!A2773</f>
        <v>Q0427</v>
      </c>
      <c r="B2773" t="str">
        <f>检查点拆解!D2773</f>
        <v>C04</v>
      </c>
      <c r="C2773" s="2">
        <f>--(COUNTIFS($A$2:A2773,A2773,$B$2:B2773,B2773)=1)</f>
        <v>1</v>
      </c>
      <c r="D2773" t="str">
        <f>检查点拆解!F2773</f>
        <v>D02.02.03</v>
      </c>
      <c r="E2773" s="2">
        <f>--(COUNTIFS($A$2:A2773,A2773,$D$2:D2773,D2773)=1)</f>
        <v>1</v>
      </c>
    </row>
    <row r="2774" spans="1:5">
      <c r="A2774" t="str">
        <f>检查点拆解!A2774</f>
        <v>Q0427</v>
      </c>
      <c r="B2774" t="str">
        <f>检查点拆解!D2774</f>
        <v>C03</v>
      </c>
      <c r="C2774" s="2">
        <f>--(COUNTIFS($A$2:A2774,A2774,$B$2:B2774,B2774)=1)</f>
        <v>1</v>
      </c>
      <c r="D2774" t="str">
        <f>检查点拆解!F2774</f>
        <v>D02.01.03</v>
      </c>
      <c r="E2774" s="2">
        <f>--(COUNTIFS($A$2:A2774,A2774,$D$2:D2774,D2774)=1)</f>
        <v>1</v>
      </c>
    </row>
    <row r="2775" spans="1:5">
      <c r="A2775" t="str">
        <f>检查点拆解!A2775</f>
        <v>Q0427</v>
      </c>
      <c r="B2775" t="str">
        <f>检查点拆解!D2775</f>
        <v>C07</v>
      </c>
      <c r="C2775" s="2">
        <f>--(COUNTIFS($A$2:A2775,A2775,$B$2:B2775,B2775)=1)</f>
        <v>1</v>
      </c>
      <c r="D2775" t="str">
        <f>检查点拆解!F2775</f>
        <v>D03.02.01</v>
      </c>
      <c r="E2775" s="2">
        <f>--(COUNTIFS($A$2:A2775,A2775,$D$2:D2775,D2775)=1)</f>
        <v>1</v>
      </c>
    </row>
    <row r="2776" spans="1:5">
      <c r="A2776" t="str">
        <f>检查点拆解!A2776</f>
        <v>Q0427</v>
      </c>
      <c r="B2776" t="str">
        <f>检查点拆解!D2776</f>
        <v>C05</v>
      </c>
      <c r="C2776" s="2">
        <f>--(COUNTIFS($A$2:A2776,A2776,$B$2:B2776,B2776)=1)</f>
        <v>1</v>
      </c>
      <c r="D2776" t="str">
        <f>检查点拆解!F2776</f>
        <v>D02.03.01</v>
      </c>
      <c r="E2776" s="2">
        <f>--(COUNTIFS($A$2:A2776,A2776,$D$2:D2776,D2776)=1)</f>
        <v>1</v>
      </c>
    </row>
    <row r="2777" spans="1:5">
      <c r="A2777" t="str">
        <f>检查点拆解!A2777</f>
        <v>Q0428</v>
      </c>
      <c r="B2777" t="str">
        <f>检查点拆解!D2777</f>
        <v>C27</v>
      </c>
      <c r="C2777" s="2">
        <f>--(COUNTIFS($A$2:A2777,A2777,$B$2:B2777,B2777)=1)</f>
        <v>1</v>
      </c>
      <c r="D2777" t="str">
        <f>检查点拆解!F2777</f>
        <v>D11.02.01</v>
      </c>
      <c r="E2777" s="2">
        <f>--(COUNTIFS($A$2:A2777,A2777,$D$2:D2777,D2777)=1)</f>
        <v>1</v>
      </c>
    </row>
    <row r="2778" spans="1:5">
      <c r="A2778" t="str">
        <f>检查点拆解!A2778</f>
        <v>Q0428</v>
      </c>
      <c r="B2778" t="str">
        <f>检查点拆解!D2778</f>
        <v>C27</v>
      </c>
      <c r="C2778" s="2">
        <f>--(COUNTIFS($A$2:A2778,A2778,$B$2:B2778,B2778)=1)</f>
        <v>0</v>
      </c>
      <c r="D2778" t="str">
        <f>检查点拆解!F2778</f>
        <v>D11.01.02</v>
      </c>
      <c r="E2778" s="2">
        <f>--(COUNTIFS($A$2:A2778,A2778,$D$2:D2778,D2778)=1)</f>
        <v>1</v>
      </c>
    </row>
    <row r="2779" spans="1:5">
      <c r="A2779" t="str">
        <f>检查点拆解!A2779</f>
        <v>Q0428</v>
      </c>
      <c r="B2779" t="str">
        <f>检查点拆解!D2779</f>
        <v>C13</v>
      </c>
      <c r="C2779" s="2">
        <f>--(COUNTIFS($A$2:A2779,A2779,$B$2:B2779,B2779)=1)</f>
        <v>1</v>
      </c>
      <c r="D2779" t="str">
        <f>检查点拆解!F2779</f>
        <v>D04.04.01</v>
      </c>
      <c r="E2779" s="2">
        <f>--(COUNTIFS($A$2:A2779,A2779,$D$2:D2779,D2779)=1)</f>
        <v>1</v>
      </c>
    </row>
    <row r="2780" spans="1:5">
      <c r="A2780" t="str">
        <f>检查点拆解!A2780</f>
        <v>Q0428</v>
      </c>
      <c r="B2780" t="str">
        <f>检查点拆解!D2780</f>
        <v>C28</v>
      </c>
      <c r="C2780" s="2">
        <f>--(COUNTIFS($A$2:A2780,A2780,$B$2:B2780,B2780)=1)</f>
        <v>1</v>
      </c>
      <c r="D2780" t="str">
        <f>检查点拆解!F2780</f>
        <v>D13.02.02</v>
      </c>
      <c r="E2780" s="2">
        <f>--(COUNTIFS($A$2:A2780,A2780,$D$2:D2780,D2780)=1)</f>
        <v>1</v>
      </c>
    </row>
    <row r="2781" spans="1:5">
      <c r="A2781" t="str">
        <f>检查点拆解!A2781</f>
        <v>Q0429</v>
      </c>
      <c r="B2781" t="str">
        <f>检查点拆解!D2781</f>
        <v>C17</v>
      </c>
      <c r="C2781" s="2">
        <f>--(COUNTIFS($A$2:A2781,A2781,$B$2:B2781,B2781)=1)</f>
        <v>1</v>
      </c>
      <c r="D2781" t="str">
        <f>检查点拆解!F2781</f>
        <v>D06.01.02</v>
      </c>
      <c r="E2781" s="2">
        <f>--(COUNTIFS($A$2:A2781,A2781,$D$2:D2781,D2781)=1)</f>
        <v>1</v>
      </c>
    </row>
    <row r="2782" spans="1:5">
      <c r="A2782" t="str">
        <f>检查点拆解!A2782</f>
        <v>Q0429</v>
      </c>
      <c r="B2782" t="str">
        <f>检查点拆解!D2782</f>
        <v>C25</v>
      </c>
      <c r="C2782" s="2">
        <f>--(COUNTIFS($A$2:A2782,A2782,$B$2:B2782,B2782)=1)</f>
        <v>1</v>
      </c>
      <c r="D2782" t="str">
        <f>检查点拆解!F2782</f>
        <v>D10.01.01</v>
      </c>
      <c r="E2782" s="2">
        <f>--(COUNTIFS($A$2:A2782,A2782,$D$2:D2782,D2782)=1)</f>
        <v>1</v>
      </c>
    </row>
    <row r="2783" spans="1:5">
      <c r="A2783" t="str">
        <f>检查点拆解!A2783</f>
        <v>Q0429</v>
      </c>
      <c r="B2783" t="str">
        <f>检查点拆解!D2783</f>
        <v>C04</v>
      </c>
      <c r="C2783" s="2">
        <f>--(COUNTIFS($A$2:A2783,A2783,$B$2:B2783,B2783)=1)</f>
        <v>1</v>
      </c>
      <c r="D2783" t="str">
        <f>检查点拆解!F2783</f>
        <v>D02.02.01</v>
      </c>
      <c r="E2783" s="2">
        <f>--(COUNTIFS($A$2:A2783,A2783,$D$2:D2783,D2783)=1)</f>
        <v>1</v>
      </c>
    </row>
    <row r="2784" spans="1:5">
      <c r="A2784" t="str">
        <f>检查点拆解!A2784</f>
        <v>Q0430</v>
      </c>
      <c r="B2784" t="str">
        <f>检查点拆解!D2784</f>
        <v>C25</v>
      </c>
      <c r="C2784" s="2">
        <f>--(COUNTIFS($A$2:A2784,A2784,$B$2:B2784,B2784)=1)</f>
        <v>1</v>
      </c>
      <c r="D2784" t="str">
        <f>检查点拆解!F2784</f>
        <v>D10.01.01</v>
      </c>
      <c r="E2784" s="2">
        <f>--(COUNTIFS($A$2:A2784,A2784,$D$2:D2784,D2784)=1)</f>
        <v>1</v>
      </c>
    </row>
    <row r="2785" spans="1:5">
      <c r="A2785" t="str">
        <f>检查点拆解!A2785</f>
        <v>Q0430</v>
      </c>
      <c r="B2785" t="str">
        <f>检查点拆解!D2785</f>
        <v>C28</v>
      </c>
      <c r="C2785" s="2">
        <f>--(COUNTIFS($A$2:A2785,A2785,$B$2:B2785,B2785)=1)</f>
        <v>1</v>
      </c>
      <c r="D2785" t="str">
        <f>检查点拆解!F2785</f>
        <v>D12.01.01</v>
      </c>
      <c r="E2785" s="2">
        <f>--(COUNTIFS($A$2:A2785,A2785,$D$2:D2785,D2785)=1)</f>
        <v>1</v>
      </c>
    </row>
    <row r="2786" spans="1:5">
      <c r="A2786" t="str">
        <f>检查点拆解!A2786</f>
        <v>Q0430</v>
      </c>
      <c r="B2786" t="str">
        <f>检查点拆解!D2786</f>
        <v>C04</v>
      </c>
      <c r="C2786" s="2">
        <f>--(COUNTIFS($A$2:A2786,A2786,$B$2:B2786,B2786)=1)</f>
        <v>1</v>
      </c>
      <c r="D2786" t="str">
        <f>检查点拆解!F2786</f>
        <v>D02.02.02</v>
      </c>
      <c r="E2786" s="2">
        <f>--(COUNTIFS($A$2:A2786,A2786,$D$2:D2786,D2786)=1)</f>
        <v>1</v>
      </c>
    </row>
    <row r="2787" spans="1:5">
      <c r="A2787" t="str">
        <f>检查点拆解!A2787</f>
        <v>Q0431</v>
      </c>
      <c r="B2787" t="str">
        <f>检查点拆解!D2787</f>
        <v>C27</v>
      </c>
      <c r="C2787" s="2">
        <f>--(COUNTIFS($A$2:A2787,A2787,$B$2:B2787,B2787)=1)</f>
        <v>1</v>
      </c>
      <c r="D2787" t="str">
        <f>检查点拆解!F2787</f>
        <v>D11.02.02</v>
      </c>
      <c r="E2787" s="2">
        <f>--(COUNTIFS($A$2:A2787,A2787,$D$2:D2787,D2787)=1)</f>
        <v>1</v>
      </c>
    </row>
    <row r="2788" spans="1:5">
      <c r="A2788" t="str">
        <f>检查点拆解!A2788</f>
        <v>Q0431</v>
      </c>
      <c r="B2788" t="str">
        <f>检查点拆解!D2788</f>
        <v>C27</v>
      </c>
      <c r="C2788" s="2">
        <f>--(COUNTIFS($A$2:A2788,A2788,$B$2:B2788,B2788)=1)</f>
        <v>0</v>
      </c>
      <c r="D2788" t="str">
        <f>检查点拆解!F2788</f>
        <v>D11.01.02</v>
      </c>
      <c r="E2788" s="2">
        <f>--(COUNTIFS($A$2:A2788,A2788,$D$2:D2788,D2788)=1)</f>
        <v>1</v>
      </c>
    </row>
    <row r="2789" spans="1:5">
      <c r="A2789" t="str">
        <f>检查点拆解!A2789</f>
        <v>Q0431</v>
      </c>
      <c r="B2789" t="str">
        <f>检查点拆解!D2789</f>
        <v>C08</v>
      </c>
      <c r="C2789" s="2">
        <f>--(COUNTIFS($A$2:A2789,A2789,$B$2:B2789,B2789)=1)</f>
        <v>1</v>
      </c>
      <c r="D2789" t="str">
        <f>检查点拆解!F2789</f>
        <v>D04.01.02</v>
      </c>
      <c r="E2789" s="2">
        <f>--(COUNTIFS($A$2:A2789,A2789,$D$2:D2789,D2789)=1)</f>
        <v>1</v>
      </c>
    </row>
    <row r="2790" spans="1:5">
      <c r="A2790" t="str">
        <f>检查点拆解!A2790</f>
        <v>Q0431</v>
      </c>
      <c r="B2790" t="str">
        <f>检查点拆解!D2790</f>
        <v>C28</v>
      </c>
      <c r="C2790" s="2">
        <f>--(COUNTIFS($A$2:A2790,A2790,$B$2:B2790,B2790)=1)</f>
        <v>1</v>
      </c>
      <c r="D2790" t="str">
        <f>检查点拆解!F2790</f>
        <v>D12.01.01</v>
      </c>
      <c r="E2790" s="2">
        <f>--(COUNTIFS($A$2:A2790,A2790,$D$2:D2790,D2790)=1)</f>
        <v>1</v>
      </c>
    </row>
    <row r="2791" spans="1:5">
      <c r="A2791" t="str">
        <f>检查点拆解!A2791</f>
        <v>Q0431</v>
      </c>
      <c r="B2791" t="str">
        <f>检查点拆解!D2791</f>
        <v>C28</v>
      </c>
      <c r="C2791" s="2">
        <f>--(COUNTIFS($A$2:A2791,A2791,$B$2:B2791,B2791)=1)</f>
        <v>0</v>
      </c>
      <c r="D2791" t="str">
        <f>检查点拆解!F2791</f>
        <v>D12.01.02</v>
      </c>
      <c r="E2791" s="2">
        <f>--(COUNTIFS($A$2:A2791,A2791,$D$2:D2791,D2791)=1)</f>
        <v>1</v>
      </c>
    </row>
    <row r="2792" spans="1:5">
      <c r="A2792" t="str">
        <f>检查点拆解!A2792</f>
        <v>Q0431</v>
      </c>
      <c r="B2792" t="str">
        <f>检查点拆解!D2792</f>
        <v>C04</v>
      </c>
      <c r="C2792" s="2">
        <f>--(COUNTIFS($A$2:A2792,A2792,$B$2:B2792,B2792)=1)</f>
        <v>1</v>
      </c>
      <c r="D2792" t="str">
        <f>检查点拆解!F2792</f>
        <v>D02.02.01</v>
      </c>
      <c r="E2792" s="2">
        <f>--(COUNTIFS($A$2:A2792,A2792,$D$2:D2792,D2792)=1)</f>
        <v>1</v>
      </c>
    </row>
    <row r="2793" spans="1:5">
      <c r="A2793" t="str">
        <f>检查点拆解!A2793</f>
        <v>Q0431</v>
      </c>
      <c r="B2793" t="str">
        <f>检查点拆解!D2793</f>
        <v>C05</v>
      </c>
      <c r="C2793" s="2">
        <f>--(COUNTIFS($A$2:A2793,A2793,$B$2:B2793,B2793)=1)</f>
        <v>1</v>
      </c>
      <c r="D2793" t="str">
        <f>检查点拆解!F2793</f>
        <v>D02.03.03</v>
      </c>
      <c r="E2793" s="2">
        <f>--(COUNTIFS($A$2:A2793,A2793,$D$2:D2793,D2793)=1)</f>
        <v>1</v>
      </c>
    </row>
    <row r="2794" spans="1:5">
      <c r="A2794" t="str">
        <f>检查点拆解!A2794</f>
        <v>Q0431</v>
      </c>
      <c r="B2794" t="str">
        <f>检查点拆解!D2794</f>
        <v>C03</v>
      </c>
      <c r="C2794" s="2">
        <f>--(COUNTIFS($A$2:A2794,A2794,$B$2:B2794,B2794)=1)</f>
        <v>1</v>
      </c>
      <c r="D2794" t="str">
        <f>检查点拆解!F2794</f>
        <v>D02.01.01</v>
      </c>
      <c r="E2794" s="2">
        <f>--(COUNTIFS($A$2:A2794,A2794,$D$2:D2794,D2794)=1)</f>
        <v>1</v>
      </c>
    </row>
    <row r="2795" spans="1:5">
      <c r="A2795" t="str">
        <f>检查点拆解!A2795</f>
        <v>Q0432</v>
      </c>
      <c r="B2795" t="str">
        <f>检查点拆解!D2795</f>
        <v>C30</v>
      </c>
      <c r="C2795" s="2">
        <f>--(COUNTIFS($A$2:A2795,A2795,$B$2:B2795,B2795)=1)</f>
        <v>1</v>
      </c>
      <c r="D2795" t="str">
        <f>检查点拆解!F2795</f>
        <v>D15.01.02</v>
      </c>
      <c r="E2795" s="2">
        <f>--(COUNTIFS($A$2:A2795,A2795,$D$2:D2795,D2795)=1)</f>
        <v>1</v>
      </c>
    </row>
    <row r="2796" spans="1:5">
      <c r="A2796" t="str">
        <f>检查点拆解!A2796</f>
        <v>Q0432</v>
      </c>
      <c r="B2796" t="str">
        <f>检查点拆解!D2796</f>
        <v>C27</v>
      </c>
      <c r="C2796" s="2">
        <f>--(COUNTIFS($A$2:A2796,A2796,$B$2:B2796,B2796)=1)</f>
        <v>1</v>
      </c>
      <c r="D2796" t="str">
        <f>检查点拆解!F2796</f>
        <v>D11.02.01</v>
      </c>
      <c r="E2796" s="2">
        <f>--(COUNTIFS($A$2:A2796,A2796,$D$2:D2796,D2796)=1)</f>
        <v>1</v>
      </c>
    </row>
    <row r="2797" spans="1:5">
      <c r="A2797" t="str">
        <f>检查点拆解!A2797</f>
        <v>Q0432</v>
      </c>
      <c r="B2797" t="str">
        <f>检查点拆解!D2797</f>
        <v>C27</v>
      </c>
      <c r="C2797" s="2">
        <f>--(COUNTIFS($A$2:A2797,A2797,$B$2:B2797,B2797)=1)</f>
        <v>0</v>
      </c>
      <c r="D2797" t="str">
        <f>检查点拆解!F2797</f>
        <v>D11.02.03</v>
      </c>
      <c r="E2797" s="2">
        <f>--(COUNTIFS($A$2:A2797,A2797,$D$2:D2797,D2797)=1)</f>
        <v>1</v>
      </c>
    </row>
    <row r="2798" spans="1:5">
      <c r="A2798" t="str">
        <f>检查点拆解!A2798</f>
        <v>Q0432</v>
      </c>
      <c r="B2798" t="str">
        <f>检查点拆解!D2798</f>
        <v>C30</v>
      </c>
      <c r="C2798" s="2">
        <f>--(COUNTIFS($A$2:A2798,A2798,$B$2:B2798,B2798)=1)</f>
        <v>0</v>
      </c>
      <c r="D2798" t="str">
        <f>检查点拆解!F2798</f>
        <v>D15.01.03</v>
      </c>
      <c r="E2798" s="2">
        <f>--(COUNTIFS($A$2:A2798,A2798,$D$2:D2798,D2798)=1)</f>
        <v>1</v>
      </c>
    </row>
    <row r="2799" spans="1:5">
      <c r="A2799" t="str">
        <f>检查点拆解!A2799</f>
        <v>Q0432</v>
      </c>
      <c r="B2799" t="str">
        <f>检查点拆解!D2799</f>
        <v>C30</v>
      </c>
      <c r="C2799" s="2">
        <f>--(COUNTIFS($A$2:A2799,A2799,$B$2:B2799,B2799)=1)</f>
        <v>0</v>
      </c>
      <c r="D2799" t="str">
        <f>检查点拆解!F2799</f>
        <v>D15.01.04</v>
      </c>
      <c r="E2799" s="2">
        <f>--(COUNTIFS($A$2:A2799,A2799,$D$2:D2799,D2799)=1)</f>
        <v>1</v>
      </c>
    </row>
    <row r="2800" spans="1:5">
      <c r="A2800" t="str">
        <f>检查点拆解!A2800</f>
        <v>Q0432</v>
      </c>
      <c r="B2800" t="str">
        <f>检查点拆解!D2800</f>
        <v>C28</v>
      </c>
      <c r="C2800" s="2">
        <f>--(COUNTIFS($A$2:A2800,A2800,$B$2:B2800,B2800)=1)</f>
        <v>1</v>
      </c>
      <c r="D2800" t="str">
        <f>检查点拆解!F2800</f>
        <v>D12.01.01</v>
      </c>
      <c r="E2800" s="2">
        <f>--(COUNTIFS($A$2:A2800,A2800,$D$2:D2800,D2800)=1)</f>
        <v>1</v>
      </c>
    </row>
    <row r="2801" spans="1:5">
      <c r="A2801" t="str">
        <f>检查点拆解!A2801</f>
        <v>Q0432</v>
      </c>
      <c r="B2801" t="str">
        <f>检查点拆解!D2801</f>
        <v>C04</v>
      </c>
      <c r="C2801" s="2">
        <f>--(COUNTIFS($A$2:A2801,A2801,$B$2:B2801,B2801)=1)</f>
        <v>1</v>
      </c>
      <c r="D2801" t="str">
        <f>检查点拆解!F2801</f>
        <v>D02.02.01</v>
      </c>
      <c r="E2801" s="2">
        <f>--(COUNTIFS($A$2:A2801,A2801,$D$2:D2801,D2801)=1)</f>
        <v>1</v>
      </c>
    </row>
    <row r="2802" spans="1:5">
      <c r="A2802" t="str">
        <f>检查点拆解!A2802</f>
        <v>Q0432</v>
      </c>
      <c r="B2802" t="str">
        <f>检查点拆解!D2802</f>
        <v>C06</v>
      </c>
      <c r="C2802" s="2">
        <f>--(COUNTIFS($A$2:A2802,A2802,$B$2:B2802,B2802)=1)</f>
        <v>1</v>
      </c>
      <c r="D2802" t="str">
        <f>检查点拆解!F2802</f>
        <v>D03.01.01</v>
      </c>
      <c r="E2802" s="2">
        <f>--(COUNTIFS($A$2:A2802,A2802,$D$2:D2802,D2802)=1)</f>
        <v>1</v>
      </c>
    </row>
    <row r="2803" spans="1:5">
      <c r="A2803" t="str">
        <f>检查点拆解!A2803</f>
        <v>Q0433</v>
      </c>
      <c r="B2803" t="str">
        <f>检查点拆解!D2803</f>
        <v>C30</v>
      </c>
      <c r="C2803" s="2">
        <f>--(COUNTIFS($A$2:A2803,A2803,$B$2:B2803,B2803)=1)</f>
        <v>1</v>
      </c>
      <c r="D2803" t="str">
        <f>检查点拆解!F2803</f>
        <v>D15.01.01</v>
      </c>
      <c r="E2803" s="2">
        <f>--(COUNTIFS($A$2:A2803,A2803,$D$2:D2803,D2803)=1)</f>
        <v>1</v>
      </c>
    </row>
    <row r="2804" spans="1:5">
      <c r="A2804" t="str">
        <f>检查点拆解!A2804</f>
        <v>Q0433</v>
      </c>
      <c r="B2804" t="str">
        <f>检查点拆解!D2804</f>
        <v>C23</v>
      </c>
      <c r="C2804" s="2">
        <f>--(COUNTIFS($A$2:A2804,A2804,$B$2:B2804,B2804)=1)</f>
        <v>1</v>
      </c>
      <c r="D2804" t="str">
        <f>检查点拆解!F2804</f>
        <v>D09.01.02</v>
      </c>
      <c r="E2804" s="2">
        <f>--(COUNTIFS($A$2:A2804,A2804,$D$2:D2804,D2804)=1)</f>
        <v>1</v>
      </c>
    </row>
    <row r="2805" spans="1:5">
      <c r="A2805" t="str">
        <f>检查点拆解!A2805</f>
        <v>Q0433</v>
      </c>
      <c r="B2805" t="str">
        <f>检查点拆解!D2805</f>
        <v>C18</v>
      </c>
      <c r="C2805" s="2">
        <f>--(COUNTIFS($A$2:A2805,A2805,$B$2:B2805,B2805)=1)</f>
        <v>1</v>
      </c>
      <c r="D2805" t="str">
        <f>检查点拆解!F2805</f>
        <v>D07.01.02</v>
      </c>
      <c r="E2805" s="2">
        <f>--(COUNTIFS($A$2:A2805,A2805,$D$2:D2805,D2805)=1)</f>
        <v>1</v>
      </c>
    </row>
    <row r="2806" spans="1:5">
      <c r="A2806" t="str">
        <f>检查点拆解!A2806</f>
        <v>Q0433</v>
      </c>
      <c r="B2806" t="str">
        <f>检查点拆解!D2806</f>
        <v>C25</v>
      </c>
      <c r="C2806" s="2">
        <f>--(COUNTIFS($A$2:A2806,A2806,$B$2:B2806,B2806)=1)</f>
        <v>1</v>
      </c>
      <c r="D2806" t="str">
        <f>检查点拆解!F2806</f>
        <v>D10.01.03</v>
      </c>
      <c r="E2806" s="2">
        <f>--(COUNTIFS($A$2:A2806,A2806,$D$2:D2806,D2806)=1)</f>
        <v>1</v>
      </c>
    </row>
    <row r="2807" spans="1:5">
      <c r="A2807" t="str">
        <f>检查点拆解!A2807</f>
        <v>Q0433</v>
      </c>
      <c r="B2807" t="str">
        <f>检查点拆解!D2807</f>
        <v>C12</v>
      </c>
      <c r="C2807" s="2">
        <f>--(COUNTIFS($A$2:A2807,A2807,$B$2:B2807,B2807)=1)</f>
        <v>1</v>
      </c>
      <c r="D2807" t="str">
        <f>检查点拆解!F2807</f>
        <v>D04.03.04</v>
      </c>
      <c r="E2807" s="2">
        <f>--(COUNTIFS($A$2:A2807,A2807,$D$2:D2807,D2807)=1)</f>
        <v>1</v>
      </c>
    </row>
    <row r="2808" spans="1:5">
      <c r="A2808" t="str">
        <f>检查点拆解!A2808</f>
        <v>Q0433</v>
      </c>
      <c r="B2808" t="str">
        <f>检查点拆解!D2808</f>
        <v>C17</v>
      </c>
      <c r="C2808" s="2">
        <f>--(COUNTIFS($A$2:A2808,A2808,$B$2:B2808,B2808)=1)</f>
        <v>1</v>
      </c>
      <c r="D2808" t="str">
        <f>检查点拆解!F2808</f>
        <v>D06.03.01</v>
      </c>
      <c r="E2808" s="2">
        <f>--(COUNTIFS($A$2:A2808,A2808,$D$2:D2808,D2808)=1)</f>
        <v>1</v>
      </c>
    </row>
    <row r="2809" spans="1:5">
      <c r="A2809" t="str">
        <f>检查点拆解!A2809</f>
        <v>Q0433</v>
      </c>
      <c r="B2809" t="str">
        <f>检查点拆解!D2809</f>
        <v>C27</v>
      </c>
      <c r="C2809" s="2">
        <f>--(COUNTIFS($A$2:A2809,A2809,$B$2:B2809,B2809)=1)</f>
        <v>1</v>
      </c>
      <c r="D2809" t="str">
        <f>检查点拆解!F2809</f>
        <v>D11.01.02</v>
      </c>
      <c r="E2809" s="2">
        <f>--(COUNTIFS($A$2:A2809,A2809,$D$2:D2809,D2809)=1)</f>
        <v>1</v>
      </c>
    </row>
    <row r="2810" spans="1:5">
      <c r="A2810" t="str">
        <f>检查点拆解!A2810</f>
        <v>Q0433</v>
      </c>
      <c r="B2810" t="str">
        <f>检查点拆解!D2810</f>
        <v>C24</v>
      </c>
      <c r="C2810" s="2">
        <f>--(COUNTIFS($A$2:A2810,A2810,$B$2:B2810,B2810)=1)</f>
        <v>1</v>
      </c>
      <c r="D2810" t="str">
        <f>检查点拆解!F2810</f>
        <v>D09.03.03</v>
      </c>
      <c r="E2810" s="2">
        <f>--(COUNTIFS($A$2:A2810,A2810,$D$2:D2810,D2810)=1)</f>
        <v>1</v>
      </c>
    </row>
    <row r="2811" spans="1:5">
      <c r="A2811" t="str">
        <f>检查点拆解!A2811</f>
        <v>Q0433</v>
      </c>
      <c r="B2811" t="str">
        <f>检查点拆解!D2811</f>
        <v>C23</v>
      </c>
      <c r="C2811" s="2">
        <f>--(COUNTIFS($A$2:A2811,A2811,$B$2:B2811,B2811)=1)</f>
        <v>0</v>
      </c>
      <c r="D2811" t="str">
        <f>检查点拆解!F2811</f>
        <v>D09.01.01</v>
      </c>
      <c r="E2811" s="2">
        <f>--(COUNTIFS($A$2:A2811,A2811,$D$2:D2811,D2811)=1)</f>
        <v>1</v>
      </c>
    </row>
    <row r="2812" spans="1:5">
      <c r="A2812" t="str">
        <f>检查点拆解!A2812</f>
        <v>Q0433</v>
      </c>
      <c r="B2812" t="str">
        <f>检查点拆解!D2812</f>
        <v>C28</v>
      </c>
      <c r="C2812" s="2">
        <f>--(COUNTIFS($A$2:A2812,A2812,$B$2:B2812,B2812)=1)</f>
        <v>1</v>
      </c>
      <c r="D2812" t="str">
        <f>检查点拆解!F2812</f>
        <v>D12.02.01</v>
      </c>
      <c r="E2812" s="2">
        <f>--(COUNTIFS($A$2:A2812,A2812,$D$2:D2812,D2812)=1)</f>
        <v>1</v>
      </c>
    </row>
    <row r="2813" spans="1:5">
      <c r="A2813" t="str">
        <f>检查点拆解!A2813</f>
        <v>Q0433</v>
      </c>
      <c r="B2813" t="str">
        <f>检查点拆解!D2813</f>
        <v>C08</v>
      </c>
      <c r="C2813" s="2">
        <f>--(COUNTIFS($A$2:A2813,A2813,$B$2:B2813,B2813)=1)</f>
        <v>1</v>
      </c>
      <c r="D2813" t="str">
        <f>检查点拆解!F2813</f>
        <v>D04.01.02</v>
      </c>
      <c r="E2813" s="2">
        <f>--(COUNTIFS($A$2:A2813,A2813,$D$2:D2813,D2813)=1)</f>
        <v>1</v>
      </c>
    </row>
    <row r="2814" spans="1:5">
      <c r="A2814" t="str">
        <f>检查点拆解!A2814</f>
        <v>Q0433</v>
      </c>
      <c r="B2814" t="str">
        <f>检查点拆解!D2814</f>
        <v>C26</v>
      </c>
      <c r="C2814" s="2">
        <f>--(COUNTIFS($A$2:A2814,A2814,$B$2:B2814,B2814)=1)</f>
        <v>1</v>
      </c>
      <c r="D2814" t="str">
        <f>检查点拆解!F2814</f>
        <v>D10.02.02</v>
      </c>
      <c r="E2814" s="2">
        <f>--(COUNTIFS($A$2:A2814,A2814,$D$2:D2814,D2814)=1)</f>
        <v>1</v>
      </c>
    </row>
    <row r="2815" spans="1:5">
      <c r="A2815" t="str">
        <f>检查点拆解!A2815</f>
        <v>Q0434</v>
      </c>
      <c r="B2815" t="str">
        <f>检查点拆解!D2815</f>
        <v>C30</v>
      </c>
      <c r="C2815" s="2">
        <f>--(COUNTIFS($A$2:A2815,A2815,$B$2:B2815,B2815)=1)</f>
        <v>1</v>
      </c>
      <c r="D2815" t="str">
        <f>检查点拆解!F2815</f>
        <v>D15.01.02</v>
      </c>
      <c r="E2815" s="2">
        <f>--(COUNTIFS($A$2:A2815,A2815,$D$2:D2815,D2815)=1)</f>
        <v>1</v>
      </c>
    </row>
    <row r="2816" spans="1:5">
      <c r="A2816" t="str">
        <f>检查点拆解!A2816</f>
        <v>Q0434</v>
      </c>
      <c r="B2816" t="str">
        <f>检查点拆解!D2816</f>
        <v>C24</v>
      </c>
      <c r="C2816" s="2">
        <f>--(COUNTIFS($A$2:A2816,A2816,$B$2:B2816,B2816)=1)</f>
        <v>1</v>
      </c>
      <c r="D2816" t="str">
        <f>检查点拆解!F2816</f>
        <v>D09.02.03</v>
      </c>
      <c r="E2816" s="2">
        <f>--(COUNTIFS($A$2:A2816,A2816,$D$2:D2816,D2816)=1)</f>
        <v>1</v>
      </c>
    </row>
    <row r="2817" spans="1:5">
      <c r="A2817" t="str">
        <f>检查点拆解!A2817</f>
        <v>Q0434</v>
      </c>
      <c r="B2817" t="str">
        <f>检查点拆解!D2817</f>
        <v>C23</v>
      </c>
      <c r="C2817" s="2">
        <f>--(COUNTIFS($A$2:A2817,A2817,$B$2:B2817,B2817)=1)</f>
        <v>1</v>
      </c>
      <c r="D2817" t="str">
        <f>检查点拆解!F2817</f>
        <v>D09.01.01</v>
      </c>
      <c r="E2817" s="2">
        <f>--(COUNTIFS($A$2:A2817,A2817,$D$2:D2817,D2817)=1)</f>
        <v>1</v>
      </c>
    </row>
    <row r="2818" spans="1:5">
      <c r="A2818" t="str">
        <f>检查点拆解!A2818</f>
        <v>Q0434</v>
      </c>
      <c r="B2818" t="str">
        <f>检查点拆解!D2818</f>
        <v>C28</v>
      </c>
      <c r="C2818" s="2">
        <f>--(COUNTIFS($A$2:A2818,A2818,$B$2:B2818,B2818)=1)</f>
        <v>1</v>
      </c>
      <c r="D2818" t="str">
        <f>检查点拆解!F2818</f>
        <v>D12.01.01</v>
      </c>
      <c r="E2818" s="2">
        <f>--(COUNTIFS($A$2:A2818,A2818,$D$2:D2818,D2818)=1)</f>
        <v>1</v>
      </c>
    </row>
    <row r="2819" spans="1:5">
      <c r="A2819" t="str">
        <f>检查点拆解!A2819</f>
        <v>Q0434</v>
      </c>
      <c r="B2819" t="str">
        <f>检查点拆解!D2819</f>
        <v>C04</v>
      </c>
      <c r="C2819" s="2">
        <f>--(COUNTIFS($A$2:A2819,A2819,$B$2:B2819,B2819)=1)</f>
        <v>1</v>
      </c>
      <c r="D2819" t="str">
        <f>检查点拆解!F2819</f>
        <v>D02.02.02</v>
      </c>
      <c r="E2819" s="2">
        <f>--(COUNTIFS($A$2:A2819,A2819,$D$2:D2819,D2819)=1)</f>
        <v>1</v>
      </c>
    </row>
    <row r="2820" spans="1:5">
      <c r="A2820" t="str">
        <f>检查点拆解!A2820</f>
        <v>Q0435</v>
      </c>
      <c r="B2820" t="str">
        <f>检查点拆解!D2820</f>
        <v>C30</v>
      </c>
      <c r="C2820" s="2">
        <f>--(COUNTIFS($A$2:A2820,A2820,$B$2:B2820,B2820)=1)</f>
        <v>1</v>
      </c>
      <c r="D2820" t="str">
        <f>检查点拆解!F2820</f>
        <v>D15.01.01</v>
      </c>
      <c r="E2820" s="2">
        <f>--(COUNTIFS($A$2:A2820,A2820,$D$2:D2820,D2820)=1)</f>
        <v>1</v>
      </c>
    </row>
    <row r="2821" spans="1:5">
      <c r="A2821" t="str">
        <f>检查点拆解!A2821</f>
        <v>Q0435</v>
      </c>
      <c r="B2821" t="str">
        <f>检查点拆解!D2821</f>
        <v>C12</v>
      </c>
      <c r="C2821" s="2">
        <f>--(COUNTIFS($A$2:A2821,A2821,$B$2:B2821,B2821)=1)</f>
        <v>1</v>
      </c>
      <c r="D2821" t="str">
        <f>检查点拆解!F2821</f>
        <v>D04.03.03</v>
      </c>
      <c r="E2821" s="2">
        <f>--(COUNTIFS($A$2:A2821,A2821,$D$2:D2821,D2821)=1)</f>
        <v>1</v>
      </c>
    </row>
    <row r="2822" spans="1:5">
      <c r="A2822" t="str">
        <f>检查点拆解!A2822</f>
        <v>Q0435</v>
      </c>
      <c r="B2822" t="str">
        <f>检查点拆解!D2822</f>
        <v>C24</v>
      </c>
      <c r="C2822" s="2">
        <f>--(COUNTIFS($A$2:A2822,A2822,$B$2:B2822,B2822)=1)</f>
        <v>1</v>
      </c>
      <c r="D2822" t="str">
        <f>检查点拆解!F2822</f>
        <v>D09.02.01</v>
      </c>
      <c r="E2822" s="2">
        <f>--(COUNTIFS($A$2:A2822,A2822,$D$2:D2822,D2822)=1)</f>
        <v>1</v>
      </c>
    </row>
    <row r="2823" spans="1:5">
      <c r="A2823" t="str">
        <f>检查点拆解!A2823</f>
        <v>Q0435</v>
      </c>
      <c r="B2823" t="str">
        <f>检查点拆解!D2823</f>
        <v>C25</v>
      </c>
      <c r="C2823" s="2">
        <f>--(COUNTIFS($A$2:A2823,A2823,$B$2:B2823,B2823)=1)</f>
        <v>1</v>
      </c>
      <c r="D2823" t="str">
        <f>检查点拆解!F2823</f>
        <v>D10.01.01</v>
      </c>
      <c r="E2823" s="2">
        <f>--(COUNTIFS($A$2:A2823,A2823,$D$2:D2823,D2823)=1)</f>
        <v>1</v>
      </c>
    </row>
    <row r="2824" spans="1:5">
      <c r="A2824" t="str">
        <f>检查点拆解!A2824</f>
        <v>Q0435</v>
      </c>
      <c r="B2824" t="str">
        <f>检查点拆解!D2824</f>
        <v>C17</v>
      </c>
      <c r="C2824" s="2">
        <f>--(COUNTIFS($A$2:A2824,A2824,$B$2:B2824,B2824)=1)</f>
        <v>1</v>
      </c>
      <c r="D2824" t="str">
        <f>检查点拆解!F2824</f>
        <v>D06.01.01</v>
      </c>
      <c r="E2824" s="2">
        <f>--(COUNTIFS($A$2:A2824,A2824,$D$2:D2824,D2824)=1)</f>
        <v>1</v>
      </c>
    </row>
    <row r="2825" spans="1:5">
      <c r="A2825" t="str">
        <f>检查点拆解!A2825</f>
        <v>Q0435</v>
      </c>
      <c r="B2825" t="str">
        <f>检查点拆解!D2825</f>
        <v>C30</v>
      </c>
      <c r="C2825" s="2">
        <f>--(COUNTIFS($A$2:A2825,A2825,$B$2:B2825,B2825)=1)</f>
        <v>0</v>
      </c>
      <c r="D2825" t="str">
        <f>检查点拆解!F2825</f>
        <v>D15.01.04</v>
      </c>
      <c r="E2825" s="2">
        <f>--(COUNTIFS($A$2:A2825,A2825,$D$2:D2825,D2825)=1)</f>
        <v>1</v>
      </c>
    </row>
    <row r="2826" spans="1:5">
      <c r="A2826" t="str">
        <f>检查点拆解!A2826</f>
        <v>Q0435</v>
      </c>
      <c r="B2826" t="str">
        <f>检查点拆解!D2826</f>
        <v>C26</v>
      </c>
      <c r="C2826" s="2">
        <f>--(COUNTIFS($A$2:A2826,A2826,$B$2:B2826,B2826)=1)</f>
        <v>1</v>
      </c>
      <c r="D2826" t="str">
        <f>检查点拆解!F2826</f>
        <v>D10.02.02</v>
      </c>
      <c r="E2826" s="2">
        <f>--(COUNTIFS($A$2:A2826,A2826,$D$2:D2826,D2826)=1)</f>
        <v>1</v>
      </c>
    </row>
    <row r="2827" spans="1:5">
      <c r="A2827" t="str">
        <f>检查点拆解!A2827</f>
        <v>Q0435</v>
      </c>
      <c r="B2827" t="str">
        <f>检查点拆解!D2827</f>
        <v>C26</v>
      </c>
      <c r="C2827" s="2">
        <f>--(COUNTIFS($A$2:A2827,A2827,$B$2:B2827,B2827)=1)</f>
        <v>0</v>
      </c>
      <c r="D2827" t="str">
        <f>检查点拆解!F2827</f>
        <v>D10.02.01</v>
      </c>
      <c r="E2827" s="2">
        <f>--(COUNTIFS($A$2:A2827,A2827,$D$2:D2827,D2827)=1)</f>
        <v>1</v>
      </c>
    </row>
    <row r="2828" spans="1:5">
      <c r="A2828" t="str">
        <f>检查点拆解!A2828</f>
        <v>Q0435</v>
      </c>
      <c r="B2828" t="str">
        <f>检查点拆解!D2828</f>
        <v>C28</v>
      </c>
      <c r="C2828" s="2">
        <f>--(COUNTIFS($A$2:A2828,A2828,$B$2:B2828,B2828)=1)</f>
        <v>1</v>
      </c>
      <c r="D2828" t="str">
        <f>检查点拆解!F2828</f>
        <v>D12.01.01</v>
      </c>
      <c r="E2828" s="2">
        <f>--(COUNTIFS($A$2:A2828,A2828,$D$2:D2828,D2828)=1)</f>
        <v>1</v>
      </c>
    </row>
    <row r="2829" spans="1:5">
      <c r="A2829" t="str">
        <f>检查点拆解!A2829</f>
        <v>Q0435</v>
      </c>
      <c r="B2829" t="str">
        <f>检查点拆解!D2829</f>
        <v>C04</v>
      </c>
      <c r="C2829" s="2">
        <f>--(COUNTIFS($A$2:A2829,A2829,$B$2:B2829,B2829)=1)</f>
        <v>1</v>
      </c>
      <c r="D2829" t="str">
        <f>检查点拆解!F2829</f>
        <v>D02.02.01</v>
      </c>
      <c r="E2829" s="2">
        <f>--(COUNTIFS($A$2:A2829,A2829,$D$2:D2829,D2829)=1)</f>
        <v>1</v>
      </c>
    </row>
    <row r="2830" spans="1:5">
      <c r="A2830" t="str">
        <f>检查点拆解!A2830</f>
        <v>Q0436</v>
      </c>
      <c r="B2830" t="str">
        <f>检查点拆解!D2830</f>
        <v>C30</v>
      </c>
      <c r="C2830" s="2">
        <f>--(COUNTIFS($A$2:A2830,A2830,$B$2:B2830,B2830)=1)</f>
        <v>1</v>
      </c>
      <c r="D2830" t="str">
        <f>检查点拆解!F2830</f>
        <v>D15.01.01</v>
      </c>
      <c r="E2830" s="2">
        <f>--(COUNTIFS($A$2:A2830,A2830,$D$2:D2830,D2830)=1)</f>
        <v>1</v>
      </c>
    </row>
    <row r="2831" spans="1:5">
      <c r="A2831" t="str">
        <f>检查点拆解!A2831</f>
        <v>Q0436</v>
      </c>
      <c r="B2831" t="str">
        <f>检查点拆解!D2831</f>
        <v>C23</v>
      </c>
      <c r="C2831" s="2">
        <f>--(COUNTIFS($A$2:A2831,A2831,$B$2:B2831,B2831)=1)</f>
        <v>1</v>
      </c>
      <c r="D2831" t="str">
        <f>检查点拆解!F2831</f>
        <v>D09.01.02</v>
      </c>
      <c r="E2831" s="2">
        <f>--(COUNTIFS($A$2:A2831,A2831,$D$2:D2831,D2831)=1)</f>
        <v>1</v>
      </c>
    </row>
    <row r="2832" spans="1:5">
      <c r="A2832" t="str">
        <f>检查点拆解!A2832</f>
        <v>Q0436</v>
      </c>
      <c r="B2832" t="str">
        <f>检查点拆解!D2832</f>
        <v>C25</v>
      </c>
      <c r="C2832" s="2">
        <f>--(COUNTIFS($A$2:A2832,A2832,$B$2:B2832,B2832)=1)</f>
        <v>1</v>
      </c>
      <c r="D2832" t="str">
        <f>检查点拆解!F2832</f>
        <v>D10.01.03</v>
      </c>
      <c r="E2832" s="2">
        <f>--(COUNTIFS($A$2:A2832,A2832,$D$2:D2832,D2832)=1)</f>
        <v>1</v>
      </c>
    </row>
    <row r="2833" spans="1:5">
      <c r="A2833" t="str">
        <f>检查点拆解!A2833</f>
        <v>Q0436</v>
      </c>
      <c r="B2833" t="str">
        <f>检查点拆解!D2833</f>
        <v>C18</v>
      </c>
      <c r="C2833" s="2">
        <f>--(COUNTIFS($A$2:A2833,A2833,$B$2:B2833,B2833)=1)</f>
        <v>1</v>
      </c>
      <c r="D2833" t="str">
        <f>检查点拆解!F2833</f>
        <v>D07.01.01</v>
      </c>
      <c r="E2833" s="2">
        <f>--(COUNTIFS($A$2:A2833,A2833,$D$2:D2833,D2833)=1)</f>
        <v>1</v>
      </c>
    </row>
    <row r="2834" spans="1:5">
      <c r="A2834" t="str">
        <f>检查点拆解!A2834</f>
        <v>Q0436</v>
      </c>
      <c r="B2834" t="str">
        <f>检查点拆解!D2834</f>
        <v>C25</v>
      </c>
      <c r="C2834" s="2">
        <f>--(COUNTIFS($A$2:A2834,A2834,$B$2:B2834,B2834)=1)</f>
        <v>0</v>
      </c>
      <c r="D2834" t="str">
        <f>检查点拆解!F2834</f>
        <v>D10.01.01</v>
      </c>
      <c r="E2834" s="2">
        <f>--(COUNTIFS($A$2:A2834,A2834,$D$2:D2834,D2834)=1)</f>
        <v>1</v>
      </c>
    </row>
    <row r="2835" spans="1:5">
      <c r="A2835" t="str">
        <f>检查点拆解!A2835</f>
        <v>Q0436</v>
      </c>
      <c r="B2835" t="str">
        <f>检查点拆解!D2835</f>
        <v>C28</v>
      </c>
      <c r="C2835" s="2">
        <f>--(COUNTIFS($A$2:A2835,A2835,$B$2:B2835,B2835)=1)</f>
        <v>1</v>
      </c>
      <c r="D2835" t="str">
        <f>检查点拆解!F2835</f>
        <v>D12.02.01</v>
      </c>
      <c r="E2835" s="2">
        <f>--(COUNTIFS($A$2:A2835,A2835,$D$2:D2835,D2835)=1)</f>
        <v>1</v>
      </c>
    </row>
    <row r="2836" spans="1:5">
      <c r="A2836" t="str">
        <f>检查点拆解!A2836</f>
        <v>Q0436</v>
      </c>
      <c r="B2836" t="str">
        <f>检查点拆解!D2836</f>
        <v>C26</v>
      </c>
      <c r="C2836" s="2">
        <f>--(COUNTIFS($A$2:A2836,A2836,$B$2:B2836,B2836)=1)</f>
        <v>1</v>
      </c>
      <c r="D2836" t="str">
        <f>检查点拆解!F2836</f>
        <v>D10.02.02</v>
      </c>
      <c r="E2836" s="2">
        <f>--(COUNTIFS($A$2:A2836,A2836,$D$2:D2836,D2836)=1)</f>
        <v>1</v>
      </c>
    </row>
    <row r="2837" spans="1:5">
      <c r="A2837" t="str">
        <f>检查点拆解!A2837</f>
        <v>Q0436</v>
      </c>
      <c r="B2837" t="str">
        <f>检查点拆解!D2837</f>
        <v>C28</v>
      </c>
      <c r="C2837" s="2">
        <f>--(COUNTIFS($A$2:A2837,A2837,$B$2:B2837,B2837)=1)</f>
        <v>0</v>
      </c>
      <c r="D2837" t="str">
        <f>检查点拆解!F2837</f>
        <v>D12.02.02</v>
      </c>
      <c r="E2837" s="2">
        <f>--(COUNTIFS($A$2:A2837,A2837,$D$2:D2837,D2837)=1)</f>
        <v>1</v>
      </c>
    </row>
    <row r="2838" spans="1:5">
      <c r="A2838" t="str">
        <f>检查点拆解!A2838</f>
        <v>Q0436</v>
      </c>
      <c r="B2838" t="str">
        <f>检查点拆解!D2838</f>
        <v>C26</v>
      </c>
      <c r="C2838" s="2">
        <f>--(COUNTIFS($A$2:A2838,A2838,$B$2:B2838,B2838)=1)</f>
        <v>0</v>
      </c>
      <c r="D2838" t="str">
        <f>检查点拆解!F2838</f>
        <v>D10.02.01</v>
      </c>
      <c r="E2838" s="2">
        <f>--(COUNTIFS($A$2:A2838,A2838,$D$2:D2838,D2838)=1)</f>
        <v>1</v>
      </c>
    </row>
    <row r="2839" spans="1:5">
      <c r="A2839" t="str">
        <f>检查点拆解!A2839</f>
        <v>Q0436</v>
      </c>
      <c r="B2839" t="str">
        <f>检查点拆解!D2839</f>
        <v>C17</v>
      </c>
      <c r="C2839" s="2">
        <f>--(COUNTIFS($A$2:A2839,A2839,$B$2:B2839,B2839)=1)</f>
        <v>1</v>
      </c>
      <c r="D2839" t="str">
        <f>检查点拆解!F2839</f>
        <v>D06.03.02</v>
      </c>
      <c r="E2839" s="2">
        <f>--(COUNTIFS($A$2:A2839,A2839,$D$2:D2839,D2839)=1)</f>
        <v>1</v>
      </c>
    </row>
    <row r="2840" spans="1:5">
      <c r="A2840" t="str">
        <f>检查点拆解!A2840</f>
        <v>Q0436</v>
      </c>
      <c r="B2840" t="str">
        <f>检查点拆解!D2840</f>
        <v>C28</v>
      </c>
      <c r="C2840" s="2">
        <f>--(COUNTIFS($A$2:A2840,A2840,$B$2:B2840,B2840)=1)</f>
        <v>0</v>
      </c>
      <c r="D2840" t="str">
        <f>检查点拆解!F2840</f>
        <v>D13.01.01</v>
      </c>
      <c r="E2840" s="2">
        <f>--(COUNTIFS($A$2:A2840,A2840,$D$2:D2840,D2840)=1)</f>
        <v>1</v>
      </c>
    </row>
    <row r="2841" spans="1:5">
      <c r="A2841" t="str">
        <f>检查点拆解!A2841</f>
        <v>Q0437</v>
      </c>
      <c r="B2841" t="str">
        <f>检查点拆解!D2841</f>
        <v>C30</v>
      </c>
      <c r="C2841" s="2">
        <f>--(COUNTIFS($A$2:A2841,A2841,$B$2:B2841,B2841)=1)</f>
        <v>1</v>
      </c>
      <c r="D2841" t="str">
        <f>检查点拆解!F2841</f>
        <v>D15.01.01</v>
      </c>
      <c r="E2841" s="2">
        <f>--(COUNTIFS($A$2:A2841,A2841,$D$2:D2841,D2841)=1)</f>
        <v>1</v>
      </c>
    </row>
    <row r="2842" spans="1:5">
      <c r="A2842" t="str">
        <f>检查点拆解!A2842</f>
        <v>Q0437</v>
      </c>
      <c r="B2842" t="str">
        <f>检查点拆解!D2842</f>
        <v>C24</v>
      </c>
      <c r="C2842" s="2">
        <f>--(COUNTIFS($A$2:A2842,A2842,$B$2:B2842,B2842)=1)</f>
        <v>1</v>
      </c>
      <c r="D2842" t="str">
        <f>检查点拆解!F2842</f>
        <v>D09.02.02</v>
      </c>
      <c r="E2842" s="2">
        <f>--(COUNTIFS($A$2:A2842,A2842,$D$2:D2842,D2842)=1)</f>
        <v>1</v>
      </c>
    </row>
    <row r="2843" spans="1:5">
      <c r="A2843" t="str">
        <f>检查点拆解!A2843</f>
        <v>Q0437</v>
      </c>
      <c r="B2843" t="str">
        <f>检查点拆解!D2843</f>
        <v>C23</v>
      </c>
      <c r="C2843" s="2">
        <f>--(COUNTIFS($A$2:A2843,A2843,$B$2:B2843,B2843)=1)</f>
        <v>1</v>
      </c>
      <c r="D2843" t="str">
        <f>检查点拆解!F2843</f>
        <v>D09.01.03</v>
      </c>
      <c r="E2843" s="2">
        <f>--(COUNTIFS($A$2:A2843,A2843,$D$2:D2843,D2843)=1)</f>
        <v>1</v>
      </c>
    </row>
    <row r="2844" spans="1:5">
      <c r="A2844" t="str">
        <f>检查点拆解!A2844</f>
        <v>Q0437</v>
      </c>
      <c r="B2844" t="str">
        <f>检查点拆解!D2844</f>
        <v>C27</v>
      </c>
      <c r="C2844" s="2">
        <f>--(COUNTIFS($A$2:A2844,A2844,$B$2:B2844,B2844)=1)</f>
        <v>1</v>
      </c>
      <c r="D2844" t="str">
        <f>检查点拆解!F2844</f>
        <v>D11.02.02</v>
      </c>
      <c r="E2844" s="2">
        <f>--(COUNTIFS($A$2:A2844,A2844,$D$2:D2844,D2844)=1)</f>
        <v>1</v>
      </c>
    </row>
    <row r="2845" spans="1:5">
      <c r="A2845" t="str">
        <f>检查点拆解!A2845</f>
        <v>Q0437</v>
      </c>
      <c r="B2845" t="str">
        <f>检查点拆解!D2845</f>
        <v>C24</v>
      </c>
      <c r="C2845" s="2">
        <f>--(COUNTIFS($A$2:A2845,A2845,$B$2:B2845,B2845)=1)</f>
        <v>0</v>
      </c>
      <c r="D2845" t="str">
        <f>检查点拆解!F2845</f>
        <v>D09.03.03</v>
      </c>
      <c r="E2845" s="2">
        <f>--(COUNTIFS($A$2:A2845,A2845,$D$2:D2845,D2845)=1)</f>
        <v>1</v>
      </c>
    </row>
    <row r="2846" spans="1:5">
      <c r="A2846" t="str">
        <f>检查点拆解!A2846</f>
        <v>Q0437</v>
      </c>
      <c r="B2846" t="str">
        <f>检查点拆解!D2846</f>
        <v>C27</v>
      </c>
      <c r="C2846" s="2">
        <f>--(COUNTIFS($A$2:A2846,A2846,$B$2:B2846,B2846)=1)</f>
        <v>0</v>
      </c>
      <c r="D2846" t="str">
        <f>检查点拆解!F2846</f>
        <v>D11.01.03</v>
      </c>
      <c r="E2846" s="2">
        <f>--(COUNTIFS($A$2:A2846,A2846,$D$2:D2846,D2846)=1)</f>
        <v>1</v>
      </c>
    </row>
    <row r="2847" spans="1:5">
      <c r="A2847" t="str">
        <f>检查点拆解!A2847</f>
        <v>Q0437</v>
      </c>
      <c r="B2847" t="str">
        <f>检查点拆解!D2847</f>
        <v>C25</v>
      </c>
      <c r="C2847" s="2">
        <f>--(COUNTIFS($A$2:A2847,A2847,$B$2:B2847,B2847)=1)</f>
        <v>1</v>
      </c>
      <c r="D2847" t="str">
        <f>检查点拆解!F2847</f>
        <v>D10.01.04</v>
      </c>
      <c r="E2847" s="2">
        <f>--(COUNTIFS($A$2:A2847,A2847,$D$2:D2847,D2847)=1)</f>
        <v>1</v>
      </c>
    </row>
    <row r="2848" spans="1:5">
      <c r="A2848" t="str">
        <f>检查点拆解!A2848</f>
        <v>Q0437</v>
      </c>
      <c r="B2848" t="str">
        <f>检查点拆解!D2848</f>
        <v>C30</v>
      </c>
      <c r="C2848" s="2">
        <f>--(COUNTIFS($A$2:A2848,A2848,$B$2:B2848,B2848)=1)</f>
        <v>0</v>
      </c>
      <c r="D2848" t="str">
        <f>检查点拆解!F2848</f>
        <v>D15.01.04</v>
      </c>
      <c r="E2848" s="2">
        <f>--(COUNTIFS($A$2:A2848,A2848,$D$2:D2848,D2848)=1)</f>
        <v>1</v>
      </c>
    </row>
    <row r="2849" spans="1:5">
      <c r="A2849" t="str">
        <f>检查点拆解!A2849</f>
        <v>Q0437</v>
      </c>
      <c r="B2849" t="str">
        <f>检查点拆解!D2849</f>
        <v>C28</v>
      </c>
      <c r="C2849" s="2">
        <f>--(COUNTIFS($A$2:A2849,A2849,$B$2:B2849,B2849)=1)</f>
        <v>1</v>
      </c>
      <c r="D2849" t="str">
        <f>检查点拆解!F2849</f>
        <v>D12.02.01</v>
      </c>
      <c r="E2849" s="2">
        <f>--(COUNTIFS($A$2:A2849,A2849,$D$2:D2849,D2849)=1)</f>
        <v>1</v>
      </c>
    </row>
    <row r="2850" spans="1:5">
      <c r="A2850" t="str">
        <f>检查点拆解!A2850</f>
        <v>Q0437</v>
      </c>
      <c r="B2850" t="str">
        <f>检查点拆解!D2850</f>
        <v>C26</v>
      </c>
      <c r="C2850" s="2">
        <f>--(COUNTIFS($A$2:A2850,A2850,$B$2:B2850,B2850)=1)</f>
        <v>1</v>
      </c>
      <c r="D2850" t="str">
        <f>检查点拆解!F2850</f>
        <v>D10.02.02</v>
      </c>
      <c r="E2850" s="2">
        <f>--(COUNTIFS($A$2:A2850,A2850,$D$2:D2850,D2850)=1)</f>
        <v>1</v>
      </c>
    </row>
    <row r="2851" spans="1:5">
      <c r="A2851" t="str">
        <f>检查点拆解!A2851</f>
        <v>Q0438</v>
      </c>
      <c r="B2851" t="str">
        <f>检查点拆解!D2851</f>
        <v>C29</v>
      </c>
      <c r="C2851" s="2">
        <f>--(COUNTIFS($A$2:A2851,A2851,$B$2:B2851,B2851)=1)</f>
        <v>1</v>
      </c>
      <c r="D2851" t="str">
        <f>检查点拆解!F2851</f>
        <v>D14.01.01</v>
      </c>
      <c r="E2851" s="2">
        <f>--(COUNTIFS($A$2:A2851,A2851,$D$2:D2851,D2851)=1)</f>
        <v>1</v>
      </c>
    </row>
    <row r="2852" spans="1:5">
      <c r="A2852" t="str">
        <f>检查点拆解!A2852</f>
        <v>Q0438</v>
      </c>
      <c r="B2852" t="str">
        <f>检查点拆解!D2852</f>
        <v>C29</v>
      </c>
      <c r="C2852" s="2">
        <f>--(COUNTIFS($A$2:A2852,A2852,$B$2:B2852,B2852)=1)</f>
        <v>0</v>
      </c>
      <c r="D2852" t="str">
        <f>检查点拆解!F2852</f>
        <v>D14.02.01</v>
      </c>
      <c r="E2852" s="2">
        <f>--(COUNTIFS($A$2:A2852,A2852,$D$2:D2852,D2852)=1)</f>
        <v>1</v>
      </c>
    </row>
    <row r="2853" spans="1:5">
      <c r="A2853" t="str">
        <f>检查点拆解!A2853</f>
        <v>Q0438</v>
      </c>
      <c r="B2853" t="str">
        <f>检查点拆解!D2853</f>
        <v>C11</v>
      </c>
      <c r="C2853" s="2">
        <f>--(COUNTIFS($A$2:A2853,A2853,$B$2:B2853,B2853)=1)</f>
        <v>1</v>
      </c>
      <c r="D2853" t="str">
        <f>检查点拆解!F2853</f>
        <v>D04.03.02</v>
      </c>
      <c r="E2853" s="2">
        <f>--(COUNTIFS($A$2:A2853,A2853,$D$2:D2853,D2853)=1)</f>
        <v>1</v>
      </c>
    </row>
    <row r="2854" spans="1:5">
      <c r="A2854" t="str">
        <f>检查点拆解!A2854</f>
        <v>Q0438</v>
      </c>
      <c r="B2854" t="str">
        <f>检查点拆解!D2854</f>
        <v>C30</v>
      </c>
      <c r="C2854" s="2">
        <f>--(COUNTIFS($A$2:A2854,A2854,$B$2:B2854,B2854)=1)</f>
        <v>1</v>
      </c>
      <c r="D2854" t="str">
        <f>检查点拆解!F2854</f>
        <v>D15.02.01</v>
      </c>
      <c r="E2854" s="2">
        <f>--(COUNTIFS($A$2:A2854,A2854,$D$2:D2854,D2854)=1)</f>
        <v>1</v>
      </c>
    </row>
    <row r="2855" spans="1:5">
      <c r="A2855" t="str">
        <f>检查点拆解!A2855</f>
        <v>Q0438</v>
      </c>
      <c r="B2855" t="str">
        <f>检查点拆解!D2855</f>
        <v>C15</v>
      </c>
      <c r="C2855" s="2">
        <f>--(COUNTIFS($A$2:A2855,A2855,$B$2:B2855,B2855)=1)</f>
        <v>1</v>
      </c>
      <c r="D2855" t="str">
        <f>检查点拆解!F2855</f>
        <v>D05.02.03</v>
      </c>
      <c r="E2855" s="2">
        <f>--(COUNTIFS($A$2:A2855,A2855,$D$2:D2855,D2855)=1)</f>
        <v>1</v>
      </c>
    </row>
    <row r="2856" spans="1:5">
      <c r="A2856" t="str">
        <f>检查点拆解!A2856</f>
        <v>Q0438</v>
      </c>
      <c r="B2856" t="str">
        <f>检查点拆解!D2856</f>
        <v>C16</v>
      </c>
      <c r="C2856" s="2">
        <f>--(COUNTIFS($A$2:A2856,A2856,$B$2:B2856,B2856)=1)</f>
        <v>1</v>
      </c>
      <c r="D2856" t="str">
        <f>检查点拆解!F2856</f>
        <v>D05.02.04</v>
      </c>
      <c r="E2856" s="2">
        <f>--(COUNTIFS($A$2:A2856,A2856,$D$2:D2856,D2856)=1)</f>
        <v>1</v>
      </c>
    </row>
    <row r="2857" spans="1:5">
      <c r="A2857" t="str">
        <f>检查点拆解!A2857</f>
        <v>Q0438</v>
      </c>
      <c r="B2857" t="str">
        <f>检查点拆解!D2857</f>
        <v>C30</v>
      </c>
      <c r="C2857" s="2">
        <f>--(COUNTIFS($A$2:A2857,A2857,$B$2:B2857,B2857)=1)</f>
        <v>0</v>
      </c>
      <c r="D2857" t="str">
        <f>检查点拆解!F2857</f>
        <v>D15.01.04</v>
      </c>
      <c r="E2857" s="2">
        <f>--(COUNTIFS($A$2:A2857,A2857,$D$2:D2857,D2857)=1)</f>
        <v>1</v>
      </c>
    </row>
    <row r="2858" spans="1:5">
      <c r="A2858" t="str">
        <f>检查点拆解!A2858</f>
        <v>Q0438</v>
      </c>
      <c r="B2858" t="str">
        <f>检查点拆解!D2858</f>
        <v>C28</v>
      </c>
      <c r="C2858" s="2">
        <f>--(COUNTIFS($A$2:A2858,A2858,$B$2:B2858,B2858)=1)</f>
        <v>1</v>
      </c>
      <c r="D2858" t="str">
        <f>检查点拆解!F2858</f>
        <v>D12.02.01</v>
      </c>
      <c r="E2858" s="2">
        <f>--(COUNTIFS($A$2:A2858,A2858,$D$2:D2858,D2858)=1)</f>
        <v>1</v>
      </c>
    </row>
    <row r="2859" spans="1:5">
      <c r="A2859" t="str">
        <f>检查点拆解!A2859</f>
        <v>Q0438</v>
      </c>
      <c r="B2859" t="str">
        <f>检查点拆解!D2859</f>
        <v>C15</v>
      </c>
      <c r="C2859" s="2">
        <f>--(COUNTIFS($A$2:A2859,A2859,$B$2:B2859,B2859)=1)</f>
        <v>0</v>
      </c>
      <c r="D2859" t="str">
        <f>检查点拆解!F2859</f>
        <v>D05.02.01</v>
      </c>
      <c r="E2859" s="2">
        <f>--(COUNTIFS($A$2:A2859,A2859,$D$2:D2859,D2859)=1)</f>
        <v>1</v>
      </c>
    </row>
    <row r="2860" spans="1:5">
      <c r="A2860" t="str">
        <f>检查点拆解!A2860</f>
        <v>Q0438</v>
      </c>
      <c r="B2860" t="str">
        <f>检查点拆解!D2860</f>
        <v>C26</v>
      </c>
      <c r="C2860" s="2">
        <f>--(COUNTIFS($A$2:A2860,A2860,$B$2:B2860,B2860)=1)</f>
        <v>1</v>
      </c>
      <c r="D2860" t="str">
        <f>检查点拆解!F2860</f>
        <v>D10.02.01</v>
      </c>
      <c r="E2860" s="2">
        <f>--(COUNTIFS($A$2:A2860,A2860,$D$2:D2860,D2860)=1)</f>
        <v>1</v>
      </c>
    </row>
    <row r="2861" spans="1:5">
      <c r="A2861" t="str">
        <f>检查点拆解!A2861</f>
        <v>Q0438</v>
      </c>
      <c r="B2861" t="str">
        <f>检查点拆解!D2861</f>
        <v>C28</v>
      </c>
      <c r="C2861" s="2">
        <f>--(COUNTIFS($A$2:A2861,A2861,$B$2:B2861,B2861)=1)</f>
        <v>0</v>
      </c>
      <c r="D2861" t="str">
        <f>检查点拆解!F2861</f>
        <v>D12.01.01</v>
      </c>
      <c r="E2861" s="2">
        <f>--(COUNTIFS($A$2:A2861,A2861,$D$2:D2861,D2861)=1)</f>
        <v>1</v>
      </c>
    </row>
    <row r="2862" spans="1:5">
      <c r="A2862" t="str">
        <f>检查点拆解!A2862</f>
        <v>Q0438</v>
      </c>
      <c r="B2862" t="str">
        <f>检查点拆解!D2862</f>
        <v>C04</v>
      </c>
      <c r="C2862" s="2">
        <f>--(COUNTIFS($A$2:A2862,A2862,$B$2:B2862,B2862)=1)</f>
        <v>1</v>
      </c>
      <c r="D2862" t="str">
        <f>检查点拆解!F2862</f>
        <v>D02.02.03</v>
      </c>
      <c r="E2862" s="2">
        <f>--(COUNTIFS($A$2:A2862,A2862,$D$2:D2862,D2862)=1)</f>
        <v>1</v>
      </c>
    </row>
    <row r="2863" spans="1:5">
      <c r="A2863" t="str">
        <f>检查点拆解!A2863</f>
        <v>Q0439</v>
      </c>
      <c r="B2863" t="str">
        <f>检查点拆解!D2863</f>
        <v>C20</v>
      </c>
      <c r="C2863" s="2">
        <f>--(COUNTIFS($A$2:A2863,A2863,$B$2:B2863,B2863)=1)</f>
        <v>1</v>
      </c>
      <c r="D2863" t="str">
        <f>检查点拆解!F2863</f>
        <v>D07.02.04</v>
      </c>
      <c r="E2863" s="2">
        <f>--(COUNTIFS($A$2:A2863,A2863,$D$2:D2863,D2863)=1)</f>
        <v>1</v>
      </c>
    </row>
    <row r="2864" spans="1:5">
      <c r="A2864" t="str">
        <f>检查点拆解!A2864</f>
        <v>Q0439</v>
      </c>
      <c r="B2864" t="str">
        <f>检查点拆解!D2864</f>
        <v>C30</v>
      </c>
      <c r="C2864" s="2">
        <f>--(COUNTIFS($A$2:A2864,A2864,$B$2:B2864,B2864)=1)</f>
        <v>1</v>
      </c>
      <c r="D2864" t="str">
        <f>检查点拆解!F2864</f>
        <v>D15.01.02</v>
      </c>
      <c r="E2864" s="2">
        <f>--(COUNTIFS($A$2:A2864,A2864,$D$2:D2864,D2864)=1)</f>
        <v>1</v>
      </c>
    </row>
    <row r="2865" spans="1:5">
      <c r="A2865" t="str">
        <f>检查点拆解!A2865</f>
        <v>Q0439</v>
      </c>
      <c r="B2865" t="str">
        <f>检查点拆解!D2865</f>
        <v>C10</v>
      </c>
      <c r="C2865" s="2">
        <f>--(COUNTIFS($A$2:A2865,A2865,$B$2:B2865,B2865)=1)</f>
        <v>1</v>
      </c>
      <c r="D2865" t="str">
        <f>检查点拆解!F2865</f>
        <v>D04.03.01</v>
      </c>
      <c r="E2865" s="2">
        <f>--(COUNTIFS($A$2:A2865,A2865,$D$2:D2865,D2865)=1)</f>
        <v>1</v>
      </c>
    </row>
    <row r="2866" spans="1:5">
      <c r="A2866" t="str">
        <f>检查点拆解!A2866</f>
        <v>Q0439</v>
      </c>
      <c r="B2866" t="str">
        <f>检查点拆解!D2866</f>
        <v>C23</v>
      </c>
      <c r="C2866" s="2">
        <f>--(COUNTIFS($A$2:A2866,A2866,$B$2:B2866,B2866)=1)</f>
        <v>1</v>
      </c>
      <c r="D2866" t="str">
        <f>检查点拆解!F2866</f>
        <v>D09.01.02</v>
      </c>
      <c r="E2866" s="2">
        <f>--(COUNTIFS($A$2:A2866,A2866,$D$2:D2866,D2866)=1)</f>
        <v>1</v>
      </c>
    </row>
    <row r="2867" spans="1:5">
      <c r="A2867" t="str">
        <f>检查点拆解!A2867</f>
        <v>Q0439</v>
      </c>
      <c r="B2867" t="str">
        <f>检查点拆解!D2867</f>
        <v>C12</v>
      </c>
      <c r="C2867" s="2">
        <f>--(COUNTIFS($A$2:A2867,A2867,$B$2:B2867,B2867)=1)</f>
        <v>1</v>
      </c>
      <c r="D2867" t="str">
        <f>检查点拆解!F2867</f>
        <v>D04.03.04</v>
      </c>
      <c r="E2867" s="2">
        <f>--(COUNTIFS($A$2:A2867,A2867,$D$2:D2867,D2867)=1)</f>
        <v>1</v>
      </c>
    </row>
    <row r="2868" spans="1:5">
      <c r="A2868" t="str">
        <f>检查点拆解!A2868</f>
        <v>Q0439</v>
      </c>
      <c r="B2868" t="str">
        <f>检查点拆解!D2868</f>
        <v>C16</v>
      </c>
      <c r="C2868" s="2">
        <f>--(COUNTIFS($A$2:A2868,A2868,$B$2:B2868,B2868)=1)</f>
        <v>1</v>
      </c>
      <c r="D2868" t="str">
        <f>检查点拆解!F2868</f>
        <v>D05.02.04</v>
      </c>
      <c r="E2868" s="2">
        <f>--(COUNTIFS($A$2:A2868,A2868,$D$2:D2868,D2868)=1)</f>
        <v>1</v>
      </c>
    </row>
    <row r="2869" spans="1:5">
      <c r="A2869" t="str">
        <f>检查点拆解!A2869</f>
        <v>Q0440</v>
      </c>
      <c r="B2869" t="str">
        <f>检查点拆解!D2869</f>
        <v>C20</v>
      </c>
      <c r="C2869" s="2">
        <f>--(COUNTIFS($A$2:A2869,A2869,$B$2:B2869,B2869)=1)</f>
        <v>1</v>
      </c>
      <c r="D2869" t="str">
        <f>检查点拆解!F2869</f>
        <v>D07.02.04</v>
      </c>
      <c r="E2869" s="2">
        <f>--(COUNTIFS($A$2:A2869,A2869,$D$2:D2869,D2869)=1)</f>
        <v>1</v>
      </c>
    </row>
    <row r="2870" spans="1:5">
      <c r="A2870" t="str">
        <f>检查点拆解!A2870</f>
        <v>Q0440</v>
      </c>
      <c r="B2870" t="str">
        <f>检查点拆解!D2870</f>
        <v>C14</v>
      </c>
      <c r="C2870" s="2">
        <f>--(COUNTIFS($A$2:A2870,A2870,$B$2:B2870,B2870)=1)</f>
        <v>1</v>
      </c>
      <c r="D2870" t="str">
        <f>检查点拆解!F2870</f>
        <v>D08.01.01</v>
      </c>
      <c r="E2870" s="2">
        <f>--(COUNTIFS($A$2:A2870,A2870,$D$2:D2870,D2870)=1)</f>
        <v>1</v>
      </c>
    </row>
    <row r="2871" spans="1:5">
      <c r="A2871" t="str">
        <f>检查点拆解!A2871</f>
        <v>Q0440</v>
      </c>
      <c r="B2871" t="str">
        <f>检查点拆解!D2871</f>
        <v>C30</v>
      </c>
      <c r="C2871" s="2">
        <f>--(COUNTIFS($A$2:A2871,A2871,$B$2:B2871,B2871)=1)</f>
        <v>1</v>
      </c>
      <c r="D2871" t="str">
        <f>检查点拆解!F2871</f>
        <v>D15.02.01</v>
      </c>
      <c r="E2871" s="2">
        <f>--(COUNTIFS($A$2:A2871,A2871,$D$2:D2871,D2871)=1)</f>
        <v>1</v>
      </c>
    </row>
    <row r="2872" spans="1:5">
      <c r="A2872" t="str">
        <f>检查点拆解!A2872</f>
        <v>Q0440</v>
      </c>
      <c r="B2872" t="str">
        <f>检查点拆解!D2872</f>
        <v>C23</v>
      </c>
      <c r="C2872" s="2">
        <f>--(COUNTIFS($A$2:A2872,A2872,$B$2:B2872,B2872)=1)</f>
        <v>1</v>
      </c>
      <c r="D2872" t="str">
        <f>检查点拆解!F2872</f>
        <v>D09.01.03</v>
      </c>
      <c r="E2872" s="2">
        <f>--(COUNTIFS($A$2:A2872,A2872,$D$2:D2872,D2872)=1)</f>
        <v>1</v>
      </c>
    </row>
    <row r="2873" spans="1:5">
      <c r="A2873" t="str">
        <f>检查点拆解!A2873</f>
        <v>Q0440</v>
      </c>
      <c r="B2873" t="str">
        <f>检查点拆解!D2873</f>
        <v>C21</v>
      </c>
      <c r="C2873" s="2">
        <f>--(COUNTIFS($A$2:A2873,A2873,$B$2:B2873,B2873)=1)</f>
        <v>1</v>
      </c>
      <c r="D2873" t="str">
        <f>检查点拆解!F2873</f>
        <v>D07.03.01</v>
      </c>
      <c r="E2873" s="2">
        <f>--(COUNTIFS($A$2:A2873,A2873,$D$2:D2873,D2873)=1)</f>
        <v>1</v>
      </c>
    </row>
    <row r="2874" spans="1:5">
      <c r="A2874" t="str">
        <f>检查点拆解!A2874</f>
        <v>Q0440</v>
      </c>
      <c r="B2874" t="str">
        <f>检查点拆解!D2874</f>
        <v>C24</v>
      </c>
      <c r="C2874" s="2">
        <f>--(COUNTIFS($A$2:A2874,A2874,$B$2:B2874,B2874)=1)</f>
        <v>1</v>
      </c>
      <c r="D2874" t="str">
        <f>检查点拆解!F2874</f>
        <v>D09.02.03</v>
      </c>
      <c r="E2874" s="2">
        <f>--(COUNTIFS($A$2:A2874,A2874,$D$2:D2874,D2874)=1)</f>
        <v>1</v>
      </c>
    </row>
    <row r="2875" spans="1:5">
      <c r="A2875" t="str">
        <f>检查点拆解!A2875</f>
        <v>Q0440</v>
      </c>
      <c r="B2875" t="str">
        <f>检查点拆解!D2875</f>
        <v>C25</v>
      </c>
      <c r="C2875" s="2">
        <f>--(COUNTIFS($A$2:A2875,A2875,$B$2:B2875,B2875)=1)</f>
        <v>1</v>
      </c>
      <c r="D2875" t="str">
        <f>检查点拆解!F2875</f>
        <v>D10.01.04</v>
      </c>
      <c r="E2875" s="2">
        <f>--(COUNTIFS($A$2:A2875,A2875,$D$2:D2875,D2875)=1)</f>
        <v>1</v>
      </c>
    </row>
    <row r="2876" spans="1:5">
      <c r="A2876" t="str">
        <f>检查点拆解!A2876</f>
        <v>Q0440</v>
      </c>
      <c r="B2876" t="str">
        <f>检查点拆解!D2876</f>
        <v>C30</v>
      </c>
      <c r="C2876" s="2">
        <f>--(COUNTIFS($A$2:A2876,A2876,$B$2:B2876,B2876)=1)</f>
        <v>0</v>
      </c>
      <c r="D2876" t="str">
        <f>检查点拆解!F2876</f>
        <v>D15.01.04</v>
      </c>
      <c r="E2876" s="2">
        <f>--(COUNTIFS($A$2:A2876,A2876,$D$2:D2876,D2876)=1)</f>
        <v>1</v>
      </c>
    </row>
    <row r="2877" spans="1:5">
      <c r="A2877" t="str">
        <f>检查点拆解!A2877</f>
        <v>Q0440</v>
      </c>
      <c r="B2877" t="str">
        <f>检查点拆解!D2877</f>
        <v>C08</v>
      </c>
      <c r="C2877" s="2">
        <f>--(COUNTIFS($A$2:A2877,A2877,$B$2:B2877,B2877)=1)</f>
        <v>1</v>
      </c>
      <c r="D2877" t="str">
        <f>检查点拆解!F2877</f>
        <v>D04.01.03</v>
      </c>
      <c r="E2877" s="2">
        <f>--(COUNTIFS($A$2:A2877,A2877,$D$2:D2877,D2877)=1)</f>
        <v>1</v>
      </c>
    </row>
    <row r="2878" spans="1:5">
      <c r="A2878" t="str">
        <f>检查点拆解!A2878</f>
        <v>Q0440</v>
      </c>
      <c r="B2878" t="str">
        <f>检查点拆解!D2878</f>
        <v>C28</v>
      </c>
      <c r="C2878" s="2">
        <f>--(COUNTIFS($A$2:A2878,A2878,$B$2:B2878,B2878)=1)</f>
        <v>1</v>
      </c>
      <c r="D2878" t="str">
        <f>检查点拆解!F2878</f>
        <v>D13.02.02</v>
      </c>
      <c r="E2878" s="2">
        <f>--(COUNTIFS($A$2:A2878,A2878,$D$2:D2878,D2878)=1)</f>
        <v>1</v>
      </c>
    </row>
    <row r="2879" spans="1:5">
      <c r="A2879" t="str">
        <f>检查点拆解!A2879</f>
        <v>Q0440</v>
      </c>
      <c r="B2879" t="str">
        <f>检查点拆解!D2879</f>
        <v>C26</v>
      </c>
      <c r="C2879" s="2">
        <f>--(COUNTIFS($A$2:A2879,A2879,$B$2:B2879,B2879)=1)</f>
        <v>1</v>
      </c>
      <c r="D2879" t="str">
        <f>检查点拆解!F2879</f>
        <v>D10.02.01</v>
      </c>
      <c r="E2879" s="2">
        <f>--(COUNTIFS($A$2:A2879,A2879,$D$2:D2879,D2879)=1)</f>
        <v>1</v>
      </c>
    </row>
    <row r="2880" spans="1:5">
      <c r="A2880" t="str">
        <f>检查点拆解!A2880</f>
        <v>Q0440</v>
      </c>
      <c r="B2880" t="str">
        <f>检查点拆解!D2880</f>
        <v>C28</v>
      </c>
      <c r="C2880" s="2">
        <f>--(COUNTIFS($A$2:A2880,A2880,$B$2:B2880,B2880)=1)</f>
        <v>0</v>
      </c>
      <c r="D2880" t="str">
        <f>检查点拆解!F2880</f>
        <v>D12.01.01</v>
      </c>
      <c r="E2880" s="2">
        <f>--(COUNTIFS($A$2:A2880,A2880,$D$2:D2880,D2880)=1)</f>
        <v>1</v>
      </c>
    </row>
    <row r="2881" spans="1:5">
      <c r="A2881" t="str">
        <f>检查点拆解!A2881</f>
        <v>Q0441</v>
      </c>
      <c r="B2881" t="str">
        <f>检查点拆解!D2881</f>
        <v>C12</v>
      </c>
      <c r="C2881" s="2">
        <f>--(COUNTIFS($A$2:A2881,A2881,$B$2:B2881,B2881)=1)</f>
        <v>1</v>
      </c>
      <c r="D2881" t="str">
        <f>检查点拆解!F2881</f>
        <v>D04.03.03</v>
      </c>
      <c r="E2881" s="2">
        <f>--(COUNTIFS($A$2:A2881,A2881,$D$2:D2881,D2881)=1)</f>
        <v>1</v>
      </c>
    </row>
    <row r="2882" spans="1:5">
      <c r="A2882" t="str">
        <f>检查点拆解!A2882</f>
        <v>Q0441</v>
      </c>
      <c r="B2882" t="str">
        <f>检查点拆解!D2882</f>
        <v>C23</v>
      </c>
      <c r="C2882" s="2">
        <f>--(COUNTIFS($A$2:A2882,A2882,$B$2:B2882,B2882)=1)</f>
        <v>1</v>
      </c>
      <c r="D2882" t="str">
        <f>检查点拆解!F2882</f>
        <v>D09.01.02</v>
      </c>
      <c r="E2882" s="2">
        <f>--(COUNTIFS($A$2:A2882,A2882,$D$2:D2882,D2882)=1)</f>
        <v>1</v>
      </c>
    </row>
    <row r="2883" spans="1:5">
      <c r="A2883" t="str">
        <f>检查点拆解!A2883</f>
        <v>Q0441</v>
      </c>
      <c r="B2883" t="str">
        <f>检查点拆解!D2883</f>
        <v>C24</v>
      </c>
      <c r="C2883" s="2">
        <f>--(COUNTIFS($A$2:A2883,A2883,$B$2:B2883,B2883)=1)</f>
        <v>1</v>
      </c>
      <c r="D2883" t="str">
        <f>检查点拆解!F2883</f>
        <v>D09.02.02</v>
      </c>
      <c r="E2883" s="2">
        <f>--(COUNTIFS($A$2:A2883,A2883,$D$2:D2883,D2883)=1)</f>
        <v>1</v>
      </c>
    </row>
    <row r="2884" spans="1:5">
      <c r="A2884" t="str">
        <f>检查点拆解!A2884</f>
        <v>Q0441</v>
      </c>
      <c r="B2884" t="str">
        <f>检查点拆解!D2884</f>
        <v>C19</v>
      </c>
      <c r="C2884" s="2">
        <f>--(COUNTIFS($A$2:A2884,A2884,$B$2:B2884,B2884)=1)</f>
        <v>1</v>
      </c>
      <c r="D2884" t="str">
        <f>检查点拆解!F2884</f>
        <v>D07.02.03</v>
      </c>
      <c r="E2884" s="2">
        <f>--(COUNTIFS($A$2:A2884,A2884,$D$2:D2884,D2884)=1)</f>
        <v>1</v>
      </c>
    </row>
    <row r="2885" spans="1:5">
      <c r="A2885" t="str">
        <f>检查点拆解!A2885</f>
        <v>Q0441</v>
      </c>
      <c r="B2885" t="str">
        <f>检查点拆解!D2885</f>
        <v>C27</v>
      </c>
      <c r="C2885" s="2">
        <f>--(COUNTIFS($A$2:A2885,A2885,$B$2:B2885,B2885)=1)</f>
        <v>1</v>
      </c>
      <c r="D2885" t="str">
        <f>检查点拆解!F2885</f>
        <v>D11.01.02</v>
      </c>
      <c r="E2885" s="2">
        <f>--(COUNTIFS($A$2:A2885,A2885,$D$2:D2885,D2885)=1)</f>
        <v>1</v>
      </c>
    </row>
    <row r="2886" spans="1:5">
      <c r="A2886" t="str">
        <f>检查点拆解!A2886</f>
        <v>Q0441</v>
      </c>
      <c r="B2886" t="str">
        <f>检查点拆解!D2886</f>
        <v>C25</v>
      </c>
      <c r="C2886" s="2">
        <f>--(COUNTIFS($A$2:A2886,A2886,$B$2:B2886,B2886)=1)</f>
        <v>1</v>
      </c>
      <c r="D2886" t="str">
        <f>检查点拆解!F2886</f>
        <v>D10.01.01</v>
      </c>
      <c r="E2886" s="2">
        <f>--(COUNTIFS($A$2:A2886,A2886,$D$2:D2886,D2886)=1)</f>
        <v>1</v>
      </c>
    </row>
    <row r="2887" spans="1:5">
      <c r="A2887" t="str">
        <f>检查点拆解!A2887</f>
        <v>Q0441</v>
      </c>
      <c r="B2887" t="str">
        <f>检查点拆解!D2887</f>
        <v>C25</v>
      </c>
      <c r="C2887" s="2">
        <f>--(COUNTIFS($A$2:A2887,A2887,$B$2:B2887,B2887)=1)</f>
        <v>0</v>
      </c>
      <c r="D2887" t="str">
        <f>检查点拆解!F2887</f>
        <v>D10.01.04</v>
      </c>
      <c r="E2887" s="2">
        <f>--(COUNTIFS($A$2:A2887,A2887,$D$2:D2887,D2887)=1)</f>
        <v>1</v>
      </c>
    </row>
    <row r="2888" spans="1:5">
      <c r="A2888" t="str">
        <f>检查点拆解!A2888</f>
        <v>Q0441</v>
      </c>
      <c r="B2888" t="str">
        <f>检查点拆解!D2888</f>
        <v>C26</v>
      </c>
      <c r="C2888" s="2">
        <f>--(COUNTIFS($A$2:A2888,A2888,$B$2:B2888,B2888)=1)</f>
        <v>1</v>
      </c>
      <c r="D2888" t="str">
        <f>检查点拆解!F2888</f>
        <v>D10.02.02</v>
      </c>
      <c r="E2888" s="2">
        <f>--(COUNTIFS($A$2:A2888,A2888,$D$2:D2888,D2888)=1)</f>
        <v>1</v>
      </c>
    </row>
    <row r="2889" spans="1:5">
      <c r="A2889" t="str">
        <f>检查点拆解!A2889</f>
        <v>Q0442</v>
      </c>
      <c r="B2889" t="str">
        <f>检查点拆解!D2889</f>
        <v>C20</v>
      </c>
      <c r="C2889" s="2">
        <f>--(COUNTIFS($A$2:A2889,A2889,$B$2:B2889,B2889)=1)</f>
        <v>1</v>
      </c>
      <c r="D2889" t="str">
        <f>检查点拆解!F2889</f>
        <v>D07.02.04</v>
      </c>
      <c r="E2889" s="2">
        <f>--(COUNTIFS($A$2:A2889,A2889,$D$2:D2889,D2889)=1)</f>
        <v>1</v>
      </c>
    </row>
    <row r="2890" spans="1:5">
      <c r="A2890" t="str">
        <f>检查点拆解!A2890</f>
        <v>Q0442</v>
      </c>
      <c r="B2890" t="str">
        <f>检查点拆解!D2890</f>
        <v>C29</v>
      </c>
      <c r="C2890" s="2">
        <f>--(COUNTIFS($A$2:A2890,A2890,$B$2:B2890,B2890)=1)</f>
        <v>1</v>
      </c>
      <c r="D2890" t="str">
        <f>检查点拆解!F2890</f>
        <v>D14.02.01</v>
      </c>
      <c r="E2890" s="2">
        <f>--(COUNTIFS($A$2:A2890,A2890,$D$2:D2890,D2890)=1)</f>
        <v>1</v>
      </c>
    </row>
    <row r="2891" spans="1:5">
      <c r="A2891" t="str">
        <f>检查点拆解!A2891</f>
        <v>Q0442</v>
      </c>
      <c r="B2891" t="str">
        <f>检查点拆解!D2891</f>
        <v>C17</v>
      </c>
      <c r="C2891" s="2">
        <f>--(COUNTIFS($A$2:A2891,A2891,$B$2:B2891,B2891)=1)</f>
        <v>1</v>
      </c>
      <c r="D2891" t="str">
        <f>检查点拆解!F2891</f>
        <v>D06.03.01</v>
      </c>
      <c r="E2891" s="2">
        <f>--(COUNTIFS($A$2:A2891,A2891,$D$2:D2891,D2891)=1)</f>
        <v>1</v>
      </c>
    </row>
    <row r="2892" spans="1:5">
      <c r="A2892" t="str">
        <f>检查点拆解!A2892</f>
        <v>Q0442</v>
      </c>
      <c r="B2892" t="str">
        <f>检查点拆解!D2892</f>
        <v>C25</v>
      </c>
      <c r="C2892" s="2">
        <f>--(COUNTIFS($A$2:A2892,A2892,$B$2:B2892,B2892)=1)</f>
        <v>1</v>
      </c>
      <c r="D2892" t="str">
        <f>检查点拆解!F2892</f>
        <v>D10.01.01</v>
      </c>
      <c r="E2892" s="2">
        <f>--(COUNTIFS($A$2:A2892,A2892,$D$2:D2892,D2892)=1)</f>
        <v>1</v>
      </c>
    </row>
    <row r="2893" spans="1:5">
      <c r="A2893" t="str">
        <f>检查点拆解!A2893</f>
        <v>Q0442</v>
      </c>
      <c r="B2893" t="str">
        <f>检查点拆解!D2893</f>
        <v>C17</v>
      </c>
      <c r="C2893" s="2">
        <f>--(COUNTIFS($A$2:A2893,A2893,$B$2:B2893,B2893)=1)</f>
        <v>0</v>
      </c>
      <c r="D2893" t="str">
        <f>检查点拆解!F2893</f>
        <v>D06.01.01</v>
      </c>
      <c r="E2893" s="2">
        <f>--(COUNTIFS($A$2:A2893,A2893,$D$2:D2893,D2893)=1)</f>
        <v>1</v>
      </c>
    </row>
    <row r="2894" spans="1:5">
      <c r="A2894" t="str">
        <f>检查点拆解!A2894</f>
        <v>Q0442</v>
      </c>
      <c r="B2894" t="str">
        <f>检查点拆解!D2894</f>
        <v>C30</v>
      </c>
      <c r="C2894" s="2">
        <f>--(COUNTIFS($A$2:A2894,A2894,$B$2:B2894,B2894)=1)</f>
        <v>1</v>
      </c>
      <c r="D2894" t="str">
        <f>检查点拆解!F2894</f>
        <v>D15.01.04</v>
      </c>
      <c r="E2894" s="2">
        <f>--(COUNTIFS($A$2:A2894,A2894,$D$2:D2894,D2894)=1)</f>
        <v>1</v>
      </c>
    </row>
    <row r="2895" spans="1:5">
      <c r="A2895" t="str">
        <f>检查点拆解!A2895</f>
        <v>Q0442</v>
      </c>
      <c r="B2895" t="str">
        <f>检查点拆解!D2895</f>
        <v>C23</v>
      </c>
      <c r="C2895" s="2">
        <f>--(COUNTIFS($A$2:A2895,A2895,$B$2:B2895,B2895)=1)</f>
        <v>1</v>
      </c>
      <c r="D2895" t="str">
        <f>检查点拆解!F2895</f>
        <v>D09.01.01</v>
      </c>
      <c r="E2895" s="2">
        <f>--(COUNTIFS($A$2:A2895,A2895,$D$2:D2895,D2895)=1)</f>
        <v>1</v>
      </c>
    </row>
    <row r="2896" spans="1:5">
      <c r="A2896" t="str">
        <f>检查点拆解!A2896</f>
        <v>Q0442</v>
      </c>
      <c r="B2896" t="str">
        <f>检查点拆解!D2896</f>
        <v>C26</v>
      </c>
      <c r="C2896" s="2">
        <f>--(COUNTIFS($A$2:A2896,A2896,$B$2:B2896,B2896)=1)</f>
        <v>1</v>
      </c>
      <c r="D2896" t="str">
        <f>检查点拆解!F2896</f>
        <v>D10.02.01</v>
      </c>
      <c r="E2896" s="2">
        <f>--(COUNTIFS($A$2:A2896,A2896,$D$2:D2896,D2896)=1)</f>
        <v>1</v>
      </c>
    </row>
    <row r="2897" spans="1:5">
      <c r="A2897" t="str">
        <f>检查点拆解!A2897</f>
        <v>Q0442</v>
      </c>
      <c r="B2897" t="str">
        <f>检查点拆解!D2897</f>
        <v>C04</v>
      </c>
      <c r="C2897" s="2">
        <f>--(COUNTIFS($A$2:A2897,A2897,$B$2:B2897,B2897)=1)</f>
        <v>1</v>
      </c>
      <c r="D2897" t="str">
        <f>检查点拆解!F2897</f>
        <v>D02.02.01</v>
      </c>
      <c r="E2897" s="2">
        <f>--(COUNTIFS($A$2:A2897,A2897,$D$2:D2897,D2897)=1)</f>
        <v>1</v>
      </c>
    </row>
    <row r="2898" spans="1:5">
      <c r="A2898" t="str">
        <f>检查点拆解!A2898</f>
        <v>Q0442</v>
      </c>
      <c r="B2898" t="str">
        <f>检查点拆解!D2898</f>
        <v>C06</v>
      </c>
      <c r="C2898" s="2">
        <f>--(COUNTIFS($A$2:A2898,A2898,$B$2:B2898,B2898)=1)</f>
        <v>1</v>
      </c>
      <c r="D2898" t="str">
        <f>检查点拆解!F2898</f>
        <v>D03.01.01</v>
      </c>
      <c r="E2898" s="2">
        <f>--(COUNTIFS($A$2:A2898,A2898,$D$2:D2898,D2898)=1)</f>
        <v>1</v>
      </c>
    </row>
    <row r="2899" spans="1:5">
      <c r="A2899" t="str">
        <f>检查点拆解!A2899</f>
        <v>Q0442</v>
      </c>
      <c r="B2899" t="str">
        <f>检查点拆解!D2899</f>
        <v>C04</v>
      </c>
      <c r="C2899" s="2">
        <f>--(COUNTIFS($A$2:A2899,A2899,$B$2:B2899,B2899)=1)</f>
        <v>0</v>
      </c>
      <c r="D2899" t="str">
        <f>检查点拆解!F2899</f>
        <v>D02.02.03</v>
      </c>
      <c r="E2899" s="2">
        <f>--(COUNTIFS($A$2:A2899,A2899,$D$2:D2899,D2899)=1)</f>
        <v>1</v>
      </c>
    </row>
    <row r="2900" spans="1:5">
      <c r="A2900" t="str">
        <f>检查点拆解!A2900</f>
        <v>Q0442</v>
      </c>
      <c r="B2900" t="str">
        <f>检查点拆解!D2900</f>
        <v>C14</v>
      </c>
      <c r="C2900" s="2">
        <f>--(COUNTIFS($A$2:A2900,A2900,$B$2:B2900,B2900)=1)</f>
        <v>1</v>
      </c>
      <c r="D2900" t="str">
        <f>检查点拆解!F2900</f>
        <v>D05.01.01</v>
      </c>
      <c r="E2900" s="2">
        <f>--(COUNTIFS($A$2:A2900,A2900,$D$2:D2900,D2900)=1)</f>
        <v>1</v>
      </c>
    </row>
    <row r="2901" spans="1:5">
      <c r="A2901" t="str">
        <f>检查点拆解!A2901</f>
        <v>Q0443</v>
      </c>
      <c r="B2901" t="str">
        <f>检查点拆解!D2901</f>
        <v>C20</v>
      </c>
      <c r="C2901" s="2">
        <f>--(COUNTIFS($A$2:A2901,A2901,$B$2:B2901,B2901)=1)</f>
        <v>1</v>
      </c>
      <c r="D2901" t="str">
        <f>检查点拆解!F2901</f>
        <v>D07.02.04</v>
      </c>
      <c r="E2901" s="2">
        <f>--(COUNTIFS($A$2:A2901,A2901,$D$2:D2901,D2901)=1)</f>
        <v>1</v>
      </c>
    </row>
    <row r="2902" spans="1:5">
      <c r="A2902" t="str">
        <f>检查点拆解!A2902</f>
        <v>Q0443</v>
      </c>
      <c r="B2902" t="str">
        <f>检查点拆解!D2902</f>
        <v>C14</v>
      </c>
      <c r="C2902" s="2">
        <f>--(COUNTIFS($A$2:A2902,A2902,$B$2:B2902,B2902)=1)</f>
        <v>1</v>
      </c>
      <c r="D2902" t="str">
        <f>检查点拆解!F2902</f>
        <v>D08.01.01</v>
      </c>
      <c r="E2902" s="2">
        <f>--(COUNTIFS($A$2:A2902,A2902,$D$2:D2902,D2902)=1)</f>
        <v>1</v>
      </c>
    </row>
    <row r="2903" spans="1:5">
      <c r="A2903" t="str">
        <f>检查点拆解!A2903</f>
        <v>Q0443</v>
      </c>
      <c r="B2903" t="str">
        <f>检查点拆解!D2903</f>
        <v>C23</v>
      </c>
      <c r="C2903" s="2">
        <f>--(COUNTIFS($A$2:A2903,A2903,$B$2:B2903,B2903)=1)</f>
        <v>1</v>
      </c>
      <c r="D2903" t="str">
        <f>检查点拆解!F2903</f>
        <v>D09.01.02</v>
      </c>
      <c r="E2903" s="2">
        <f>--(COUNTIFS($A$2:A2903,A2903,$D$2:D2903,D2903)=1)</f>
        <v>1</v>
      </c>
    </row>
    <row r="2904" spans="1:5">
      <c r="A2904" t="str">
        <f>检查点拆解!A2904</f>
        <v>Q0443</v>
      </c>
      <c r="B2904" t="str">
        <f>检查点拆解!D2904</f>
        <v>C27</v>
      </c>
      <c r="C2904" s="2">
        <f>--(COUNTIFS($A$2:A2904,A2904,$B$2:B2904,B2904)=1)</f>
        <v>1</v>
      </c>
      <c r="D2904" t="str">
        <f>检查点拆解!F2904</f>
        <v>D11.01.01</v>
      </c>
      <c r="E2904" s="2">
        <f>--(COUNTIFS($A$2:A2904,A2904,$D$2:D2904,D2904)=1)</f>
        <v>1</v>
      </c>
    </row>
    <row r="2905" spans="1:5">
      <c r="A2905" t="str">
        <f>检查点拆解!A2905</f>
        <v>Q0443</v>
      </c>
      <c r="B2905" t="str">
        <f>检查点拆解!D2905</f>
        <v>C24</v>
      </c>
      <c r="C2905" s="2">
        <f>--(COUNTIFS($A$2:A2905,A2905,$B$2:B2905,B2905)=1)</f>
        <v>1</v>
      </c>
      <c r="D2905" t="str">
        <f>检查点拆解!F2905</f>
        <v>D09.02.03</v>
      </c>
      <c r="E2905" s="2">
        <f>--(COUNTIFS($A$2:A2905,A2905,$D$2:D2905,D2905)=1)</f>
        <v>1</v>
      </c>
    </row>
    <row r="2906" spans="1:5">
      <c r="A2906" t="str">
        <f>检查点拆解!A2906</f>
        <v>Q0443</v>
      </c>
      <c r="B2906" t="str">
        <f>检查点拆解!D2906</f>
        <v>C16</v>
      </c>
      <c r="C2906" s="2">
        <f>--(COUNTIFS($A$2:A2906,A2906,$B$2:B2906,B2906)=1)</f>
        <v>1</v>
      </c>
      <c r="D2906" t="str">
        <f>检查点拆解!F2906</f>
        <v>D05.02.04</v>
      </c>
      <c r="E2906" s="2">
        <f>--(COUNTIFS($A$2:A2906,A2906,$D$2:D2906,D2906)=1)</f>
        <v>1</v>
      </c>
    </row>
    <row r="2907" spans="1:5">
      <c r="A2907" t="str">
        <f>检查点拆解!A2907</f>
        <v>Q0443</v>
      </c>
      <c r="B2907" t="str">
        <f>检查点拆解!D2907</f>
        <v>C25</v>
      </c>
      <c r="C2907" s="2">
        <f>--(COUNTIFS($A$2:A2907,A2907,$B$2:B2907,B2907)=1)</f>
        <v>1</v>
      </c>
      <c r="D2907" t="str">
        <f>检查点拆解!F2907</f>
        <v>D10.01.04</v>
      </c>
      <c r="E2907" s="2">
        <f>--(COUNTIFS($A$2:A2907,A2907,$D$2:D2907,D2907)=1)</f>
        <v>1</v>
      </c>
    </row>
    <row r="2908" spans="1:5">
      <c r="A2908" t="str">
        <f>检查点拆解!A2908</f>
        <v>Q0443</v>
      </c>
      <c r="B2908" t="str">
        <f>检查点拆解!D2908</f>
        <v>C26</v>
      </c>
      <c r="C2908" s="2">
        <f>--(COUNTIFS($A$2:A2908,A2908,$B$2:B2908,B2908)=1)</f>
        <v>1</v>
      </c>
      <c r="D2908" t="str">
        <f>检查点拆解!F2908</f>
        <v>D10.02.01</v>
      </c>
      <c r="E2908" s="2">
        <f>--(COUNTIFS($A$2:A2908,A2908,$D$2:D2908,D2908)=1)</f>
        <v>1</v>
      </c>
    </row>
    <row r="2909" spans="1:5">
      <c r="A2909" t="str">
        <f>检查点拆解!A2909</f>
        <v>Q0444</v>
      </c>
      <c r="B2909" t="str">
        <f>检查点拆解!D2909</f>
        <v>C20</v>
      </c>
      <c r="C2909" s="2">
        <f>--(COUNTIFS($A$2:A2909,A2909,$B$2:B2909,B2909)=1)</f>
        <v>1</v>
      </c>
      <c r="D2909" t="str">
        <f>检查点拆解!F2909</f>
        <v>D07.02.04</v>
      </c>
      <c r="E2909" s="2">
        <f>--(COUNTIFS($A$2:A2909,A2909,$D$2:D2909,D2909)=1)</f>
        <v>1</v>
      </c>
    </row>
    <row r="2910" spans="1:5">
      <c r="A2910" t="str">
        <f>检查点拆解!A2910</f>
        <v>Q0444</v>
      </c>
      <c r="B2910" t="str">
        <f>检查点拆解!D2910</f>
        <v>C23</v>
      </c>
      <c r="C2910" s="2">
        <f>--(COUNTIFS($A$2:A2910,A2910,$B$2:B2910,B2910)=1)</f>
        <v>1</v>
      </c>
      <c r="D2910" t="str">
        <f>检查点拆解!F2910</f>
        <v>D09.01.03</v>
      </c>
      <c r="E2910" s="2">
        <f>--(COUNTIFS($A$2:A2910,A2910,$D$2:D2910,D2910)=1)</f>
        <v>1</v>
      </c>
    </row>
    <row r="2911" spans="1:5">
      <c r="A2911" t="str">
        <f>检查点拆解!A2911</f>
        <v>Q0444</v>
      </c>
      <c r="B2911" t="str">
        <f>检查点拆解!D2911</f>
        <v>C16</v>
      </c>
      <c r="C2911" s="2">
        <f>--(COUNTIFS($A$2:A2911,A2911,$B$2:B2911,B2911)=1)</f>
        <v>1</v>
      </c>
      <c r="D2911" t="str">
        <f>检查点拆解!F2911</f>
        <v>D05.02.04</v>
      </c>
      <c r="E2911" s="2">
        <f>--(COUNTIFS($A$2:A2911,A2911,$D$2:D2911,D2911)=1)</f>
        <v>1</v>
      </c>
    </row>
    <row r="2912" spans="1:5">
      <c r="A2912" t="str">
        <f>检查点拆解!A2912</f>
        <v>Q0444</v>
      </c>
      <c r="B2912" t="str">
        <f>检查点拆解!D2912</f>
        <v>C26</v>
      </c>
      <c r="C2912" s="2">
        <f>--(COUNTIFS($A$2:A2912,A2912,$B$2:B2912,B2912)=1)</f>
        <v>1</v>
      </c>
      <c r="D2912" t="str">
        <f>检查点拆解!F2912</f>
        <v>D10.02.01</v>
      </c>
      <c r="E2912" s="2">
        <f>--(COUNTIFS($A$2:A2912,A2912,$D$2:D2912,D2912)=1)</f>
        <v>1</v>
      </c>
    </row>
    <row r="2913" spans="1:5">
      <c r="A2913" t="str">
        <f>检查点拆解!A2913</f>
        <v>Q0444</v>
      </c>
      <c r="B2913" t="str">
        <f>检查点拆解!D2913</f>
        <v>C04</v>
      </c>
      <c r="C2913" s="2">
        <f>--(COUNTIFS($A$2:A2913,A2913,$B$2:B2913,B2913)=1)</f>
        <v>1</v>
      </c>
      <c r="D2913" t="str">
        <f>检查点拆解!F2913</f>
        <v>D02.02.03</v>
      </c>
      <c r="E2913" s="2">
        <f>--(COUNTIFS($A$2:A2913,A2913,$D$2:D2913,D2913)=1)</f>
        <v>1</v>
      </c>
    </row>
    <row r="2914" spans="1:5">
      <c r="A2914" t="str">
        <f>检查点拆解!A2914</f>
        <v>Q0444</v>
      </c>
      <c r="B2914" t="str">
        <f>检查点拆解!D2914</f>
        <v>C14</v>
      </c>
      <c r="C2914" s="2">
        <f>--(COUNTIFS($A$2:A2914,A2914,$B$2:B2914,B2914)=1)</f>
        <v>1</v>
      </c>
      <c r="D2914" t="str">
        <f>检查点拆解!F2914</f>
        <v>D05.01.01</v>
      </c>
      <c r="E2914" s="2">
        <f>--(COUNTIFS($A$2:A2914,A2914,$D$2:D2914,D2914)=1)</f>
        <v>1</v>
      </c>
    </row>
    <row r="2915" spans="1:5">
      <c r="A2915" t="str">
        <f>检查点拆解!A2915</f>
        <v>Q0444</v>
      </c>
      <c r="B2915" t="str">
        <f>检查点拆解!D2915</f>
        <v>C05</v>
      </c>
      <c r="C2915" s="2">
        <f>--(COUNTIFS($A$2:A2915,A2915,$B$2:B2915,B2915)=1)</f>
        <v>1</v>
      </c>
      <c r="D2915" t="str">
        <f>检查点拆解!F2915</f>
        <v>D02.03.02</v>
      </c>
      <c r="E2915" s="2">
        <f>--(COUNTIFS($A$2:A2915,A2915,$D$2:D2915,D2915)=1)</f>
        <v>1</v>
      </c>
    </row>
    <row r="2916" spans="1:5">
      <c r="A2916" t="str">
        <f>检查点拆解!A2916</f>
        <v>Q0445</v>
      </c>
      <c r="B2916" t="str">
        <f>检查点拆解!D2916</f>
        <v>C12</v>
      </c>
      <c r="C2916" s="2">
        <f>--(COUNTIFS($A$2:A2916,A2916,$B$2:B2916,B2916)=1)</f>
        <v>1</v>
      </c>
      <c r="D2916" t="str">
        <f>检查点拆解!F2916</f>
        <v>D04.03.03</v>
      </c>
      <c r="E2916" s="2">
        <f>--(COUNTIFS($A$2:A2916,A2916,$D$2:D2916,D2916)=1)</f>
        <v>1</v>
      </c>
    </row>
    <row r="2917" spans="1:5">
      <c r="A2917" t="str">
        <f>检查点拆解!A2917</f>
        <v>Q0445</v>
      </c>
      <c r="B2917" t="str">
        <f>检查点拆解!D2917</f>
        <v>C17</v>
      </c>
      <c r="C2917" s="2">
        <f>--(COUNTIFS($A$2:A2917,A2917,$B$2:B2917,B2917)=1)</f>
        <v>1</v>
      </c>
      <c r="D2917" t="str">
        <f>检查点拆解!F2917</f>
        <v>D06.02.01</v>
      </c>
      <c r="E2917" s="2">
        <f>--(COUNTIFS($A$2:A2917,A2917,$D$2:D2917,D2917)=1)</f>
        <v>1</v>
      </c>
    </row>
    <row r="2918" spans="1:5">
      <c r="A2918" t="str">
        <f>检查点拆解!A2918</f>
        <v>Q0445</v>
      </c>
      <c r="B2918" t="str">
        <f>检查点拆解!D2918</f>
        <v>C25</v>
      </c>
      <c r="C2918" s="2">
        <f>--(COUNTIFS($A$2:A2918,A2918,$B$2:B2918,B2918)=1)</f>
        <v>1</v>
      </c>
      <c r="D2918" t="str">
        <f>检查点拆解!F2918</f>
        <v>D10.01.04</v>
      </c>
      <c r="E2918" s="2">
        <f>--(COUNTIFS($A$2:A2918,A2918,$D$2:D2918,D2918)=1)</f>
        <v>1</v>
      </c>
    </row>
    <row r="2919" spans="1:5">
      <c r="A2919" t="str">
        <f>检查点拆解!A2919</f>
        <v>Q0445</v>
      </c>
      <c r="B2919" t="str">
        <f>检查点拆解!D2919</f>
        <v>C30</v>
      </c>
      <c r="C2919" s="2">
        <f>--(COUNTIFS($A$2:A2919,A2919,$B$2:B2919,B2919)=1)</f>
        <v>1</v>
      </c>
      <c r="D2919" t="str">
        <f>检查点拆解!F2919</f>
        <v>D15.01.04</v>
      </c>
      <c r="E2919" s="2">
        <f>--(COUNTIFS($A$2:A2919,A2919,$D$2:D2919,D2919)=1)</f>
        <v>1</v>
      </c>
    </row>
    <row r="2920" spans="1:5">
      <c r="A2920" t="str">
        <f>检查点拆解!A2920</f>
        <v>Q0445</v>
      </c>
      <c r="B2920" t="str">
        <f>检查点拆解!D2920</f>
        <v>C28</v>
      </c>
      <c r="C2920" s="2">
        <f>--(COUNTIFS($A$2:A2920,A2920,$B$2:B2920,B2920)=1)</f>
        <v>1</v>
      </c>
      <c r="D2920" t="str">
        <f>检查点拆解!F2920</f>
        <v>D12.01.01</v>
      </c>
      <c r="E2920" s="2">
        <f>--(COUNTIFS($A$2:A2920,A2920,$D$2:D2920,D2920)=1)</f>
        <v>1</v>
      </c>
    </row>
    <row r="2921" spans="1:5">
      <c r="A2921" t="str">
        <f>检查点拆解!A2921</f>
        <v>Q0445</v>
      </c>
      <c r="B2921" t="str">
        <f>检查点拆解!D2921</f>
        <v>C04</v>
      </c>
      <c r="C2921" s="2">
        <f>--(COUNTIFS($A$2:A2921,A2921,$B$2:B2921,B2921)=1)</f>
        <v>1</v>
      </c>
      <c r="D2921" t="str">
        <f>检查点拆解!F2921</f>
        <v>D02.02.01</v>
      </c>
      <c r="E2921" s="2">
        <f>--(COUNTIFS($A$2:A2921,A2921,$D$2:D2921,D2921)=1)</f>
        <v>1</v>
      </c>
    </row>
    <row r="2922" spans="1:5">
      <c r="A2922" t="str">
        <f>检查点拆解!A2922</f>
        <v>Q0445</v>
      </c>
      <c r="B2922" t="str">
        <f>检查点拆解!D2922</f>
        <v>C05</v>
      </c>
      <c r="C2922" s="2">
        <f>--(COUNTIFS($A$2:A2922,A2922,$B$2:B2922,B2922)=1)</f>
        <v>1</v>
      </c>
      <c r="D2922" t="str">
        <f>检查点拆解!F2922</f>
        <v>D02.03.02</v>
      </c>
      <c r="E2922" s="2">
        <f>--(COUNTIFS($A$2:A2922,A2922,$D$2:D2922,D2922)=1)</f>
        <v>1</v>
      </c>
    </row>
    <row r="2923" spans="1:5">
      <c r="A2923" t="str">
        <f>检查点拆解!A2923</f>
        <v>Q0446</v>
      </c>
      <c r="B2923" t="str">
        <f>检查点拆解!D2923</f>
        <v>C20</v>
      </c>
      <c r="C2923" s="2">
        <f>--(COUNTIFS($A$2:A2923,A2923,$B$2:B2923,B2923)=1)</f>
        <v>1</v>
      </c>
      <c r="D2923" t="str">
        <f>检查点拆解!F2923</f>
        <v>D07.02.04</v>
      </c>
      <c r="E2923" s="2">
        <f>--(COUNTIFS($A$2:A2923,A2923,$D$2:D2923,D2923)=1)</f>
        <v>1</v>
      </c>
    </row>
    <row r="2924" spans="1:5">
      <c r="A2924" t="str">
        <f>检查点拆解!A2924</f>
        <v>Q0446</v>
      </c>
      <c r="B2924" t="str">
        <f>检查点拆解!D2924</f>
        <v>C30</v>
      </c>
      <c r="C2924" s="2">
        <f>--(COUNTIFS($A$2:A2924,A2924,$B$2:B2924,B2924)=1)</f>
        <v>1</v>
      </c>
      <c r="D2924" t="str">
        <f>检查点拆解!F2924</f>
        <v>D15.01.02</v>
      </c>
      <c r="E2924" s="2">
        <f>--(COUNTIFS($A$2:A2924,A2924,$D$2:D2924,D2924)=1)</f>
        <v>1</v>
      </c>
    </row>
    <row r="2925" spans="1:5">
      <c r="A2925" t="str">
        <f>检查点拆解!A2925</f>
        <v>Q0446</v>
      </c>
      <c r="B2925" t="str">
        <f>检查点拆解!D2925</f>
        <v>C10</v>
      </c>
      <c r="C2925" s="2">
        <f>--(COUNTIFS($A$2:A2925,A2925,$B$2:B2925,B2925)=1)</f>
        <v>1</v>
      </c>
      <c r="D2925" t="str">
        <f>检查点拆解!F2925</f>
        <v>D04.03.01</v>
      </c>
      <c r="E2925" s="2">
        <f>--(COUNTIFS($A$2:A2925,A2925,$D$2:D2925,D2925)=1)</f>
        <v>1</v>
      </c>
    </row>
    <row r="2926" spans="1:5">
      <c r="A2926" t="str">
        <f>检查点拆解!A2926</f>
        <v>Q0446</v>
      </c>
      <c r="B2926" t="str">
        <f>检查点拆解!D2926</f>
        <v>C12</v>
      </c>
      <c r="C2926" s="2">
        <f>--(COUNTIFS($A$2:A2926,A2926,$B$2:B2926,B2926)=1)</f>
        <v>1</v>
      </c>
      <c r="D2926" t="str">
        <f>检查点拆解!F2926</f>
        <v>D04.03.04</v>
      </c>
      <c r="E2926" s="2">
        <f>--(COUNTIFS($A$2:A2926,A2926,$D$2:D2926,D2926)=1)</f>
        <v>1</v>
      </c>
    </row>
    <row r="2927" spans="1:5">
      <c r="A2927" t="str">
        <f>检查点拆解!A2927</f>
        <v>Q0446</v>
      </c>
      <c r="B2927" t="str">
        <f>检查点拆解!D2927</f>
        <v>C16</v>
      </c>
      <c r="C2927" s="2">
        <f>--(COUNTIFS($A$2:A2927,A2927,$B$2:B2927,B2927)=1)</f>
        <v>1</v>
      </c>
      <c r="D2927" t="str">
        <f>检查点拆解!F2927</f>
        <v>D05.02.04</v>
      </c>
      <c r="E2927" s="2">
        <f>--(COUNTIFS($A$2:A2927,A2927,$D$2:D2927,D2927)=1)</f>
        <v>1</v>
      </c>
    </row>
    <row r="2928" spans="1:5">
      <c r="A2928" t="str">
        <f>检查点拆解!A2928</f>
        <v>Q0446</v>
      </c>
      <c r="B2928" t="str">
        <f>检查点拆解!D2928</f>
        <v>C14</v>
      </c>
      <c r="C2928" s="2">
        <f>--(COUNTIFS($A$2:A2928,A2928,$B$2:B2928,B2928)=1)</f>
        <v>1</v>
      </c>
      <c r="D2928" t="str">
        <f>检查点拆解!F2928</f>
        <v>D05.01.03</v>
      </c>
      <c r="E2928" s="2">
        <f>--(COUNTIFS($A$2:A2928,A2928,$D$2:D2928,D2928)=1)</f>
        <v>1</v>
      </c>
    </row>
    <row r="2929" spans="1:5">
      <c r="A2929" t="str">
        <f>检查点拆解!A2929</f>
        <v>Q0447</v>
      </c>
      <c r="B2929" t="str">
        <f>检查点拆解!D2929</f>
        <v>C20</v>
      </c>
      <c r="C2929" s="2">
        <f>--(COUNTIFS($A$2:A2929,A2929,$B$2:B2929,B2929)=1)</f>
        <v>1</v>
      </c>
      <c r="D2929" t="str">
        <f>检查点拆解!F2929</f>
        <v>D07.02.04</v>
      </c>
      <c r="E2929" s="2">
        <f>--(COUNTIFS($A$2:A2929,A2929,$D$2:D2929,D2929)=1)</f>
        <v>1</v>
      </c>
    </row>
    <row r="2930" spans="1:5">
      <c r="A2930" t="str">
        <f>检查点拆解!A2930</f>
        <v>Q0447</v>
      </c>
      <c r="B2930" t="str">
        <f>检查点拆解!D2930</f>
        <v>C23</v>
      </c>
      <c r="C2930" s="2">
        <f>--(COUNTIFS($A$2:A2930,A2930,$B$2:B2930,B2930)=1)</f>
        <v>1</v>
      </c>
      <c r="D2930" t="str">
        <f>检查点拆解!F2930</f>
        <v>D09.01.03</v>
      </c>
      <c r="E2930" s="2">
        <f>--(COUNTIFS($A$2:A2930,A2930,$D$2:D2930,D2930)=1)</f>
        <v>1</v>
      </c>
    </row>
    <row r="2931" spans="1:5">
      <c r="A2931" t="str">
        <f>检查点拆解!A2931</f>
        <v>Q0447</v>
      </c>
      <c r="B2931" t="str">
        <f>检查点拆解!D2931</f>
        <v>C24</v>
      </c>
      <c r="C2931" s="2">
        <f>--(COUNTIFS($A$2:A2931,A2931,$B$2:B2931,B2931)=1)</f>
        <v>1</v>
      </c>
      <c r="D2931" t="str">
        <f>检查点拆解!F2931</f>
        <v>D09.03.03</v>
      </c>
      <c r="E2931" s="2">
        <f>--(COUNTIFS($A$2:A2931,A2931,$D$2:D2931,D2931)=1)</f>
        <v>1</v>
      </c>
    </row>
    <row r="2932" spans="1:5">
      <c r="A2932" t="str">
        <f>检查点拆解!A2932</f>
        <v>Q0447</v>
      </c>
      <c r="B2932" t="str">
        <f>检查点拆解!D2932</f>
        <v>C21</v>
      </c>
      <c r="C2932" s="2">
        <f>--(COUNTIFS($A$2:A2932,A2932,$B$2:B2932,B2932)=1)</f>
        <v>1</v>
      </c>
      <c r="D2932" t="str">
        <f>检查点拆解!F2932</f>
        <v>D07.03.01</v>
      </c>
      <c r="E2932" s="2">
        <f>--(COUNTIFS($A$2:A2932,A2932,$D$2:D2932,D2932)=1)</f>
        <v>1</v>
      </c>
    </row>
    <row r="2933" spans="1:5">
      <c r="A2933" t="str">
        <f>检查点拆解!A2933</f>
        <v>Q0447</v>
      </c>
      <c r="B2933" t="str">
        <f>检查点拆解!D2933</f>
        <v>C25</v>
      </c>
      <c r="C2933" s="2">
        <f>--(COUNTIFS($A$2:A2933,A2933,$B$2:B2933,B2933)=1)</f>
        <v>1</v>
      </c>
      <c r="D2933" t="str">
        <f>检查点拆解!F2933</f>
        <v>D10.01.01</v>
      </c>
      <c r="E2933" s="2">
        <f>--(COUNTIFS($A$2:A2933,A2933,$D$2:D2933,D2933)=1)</f>
        <v>1</v>
      </c>
    </row>
    <row r="2934" spans="1:5">
      <c r="A2934" t="str">
        <f>检查点拆解!A2934</f>
        <v>Q0447</v>
      </c>
      <c r="B2934" t="str">
        <f>检查点拆解!D2934</f>
        <v>C30</v>
      </c>
      <c r="C2934" s="2">
        <f>--(COUNTIFS($A$2:A2934,A2934,$B$2:B2934,B2934)=1)</f>
        <v>1</v>
      </c>
      <c r="D2934" t="str">
        <f>检查点拆解!F2934</f>
        <v>D15.01.04</v>
      </c>
      <c r="E2934" s="2">
        <f>--(COUNTIFS($A$2:A2934,A2934,$D$2:D2934,D2934)=1)</f>
        <v>1</v>
      </c>
    </row>
    <row r="2935" spans="1:5">
      <c r="A2935" t="str">
        <f>检查点拆解!A2935</f>
        <v>Q0447</v>
      </c>
      <c r="B2935" t="str">
        <f>检查点拆解!D2935</f>
        <v>C23</v>
      </c>
      <c r="C2935" s="2">
        <f>--(COUNTIFS($A$2:A2935,A2935,$B$2:B2935,B2935)=1)</f>
        <v>0</v>
      </c>
      <c r="D2935" t="str">
        <f>检查点拆解!F2935</f>
        <v>D09.01.01</v>
      </c>
      <c r="E2935" s="2">
        <f>--(COUNTIFS($A$2:A2935,A2935,$D$2:D2935,D2935)=1)</f>
        <v>1</v>
      </c>
    </row>
    <row r="2936" spans="1:5">
      <c r="A2936" t="str">
        <f>检查点拆解!A2936</f>
        <v>Q0447</v>
      </c>
      <c r="B2936" t="str">
        <f>检查点拆解!D2936</f>
        <v>C26</v>
      </c>
      <c r="C2936" s="2">
        <f>--(COUNTIFS($A$2:A2936,A2936,$B$2:B2936,B2936)=1)</f>
        <v>1</v>
      </c>
      <c r="D2936" t="str">
        <f>检查点拆解!F2936</f>
        <v>D10.02.01</v>
      </c>
      <c r="E2936" s="2">
        <f>--(COUNTIFS($A$2:A2936,A2936,$D$2:D2936,D2936)=1)</f>
        <v>1</v>
      </c>
    </row>
    <row r="2937" spans="1:5">
      <c r="A2937" t="str">
        <f>检查点拆解!A2937</f>
        <v>Q0447</v>
      </c>
      <c r="B2937" t="str">
        <f>检查点拆解!D2937</f>
        <v>C14</v>
      </c>
      <c r="C2937" s="2">
        <f>--(COUNTIFS($A$2:A2937,A2937,$B$2:B2937,B2937)=1)</f>
        <v>1</v>
      </c>
      <c r="D2937" t="str">
        <f>检查点拆解!F2937</f>
        <v>D05.01.01</v>
      </c>
      <c r="E2937" s="2">
        <f>--(COUNTIFS($A$2:A2937,A2937,$D$2:D2937,D2937)=1)</f>
        <v>1</v>
      </c>
    </row>
    <row r="2938" spans="1:5">
      <c r="A2938" t="str">
        <f>检查点拆解!A2938</f>
        <v>Q0447</v>
      </c>
      <c r="B2938" t="str">
        <f>检查点拆解!D2938</f>
        <v>C03</v>
      </c>
      <c r="C2938" s="2">
        <f>--(COUNTIFS($A$2:A2938,A2938,$B$2:B2938,B2938)=1)</f>
        <v>1</v>
      </c>
      <c r="D2938" t="str">
        <f>检查点拆解!F2938</f>
        <v>D02.01.01</v>
      </c>
      <c r="E2938" s="2">
        <f>--(COUNTIFS($A$2:A2938,A2938,$D$2:D2938,D2938)=1)</f>
        <v>1</v>
      </c>
    </row>
    <row r="2939" spans="1:5">
      <c r="A2939" t="str">
        <f>检查点拆解!A2939</f>
        <v>Q0448</v>
      </c>
      <c r="B2939" t="str">
        <f>检查点拆解!D2939</f>
        <v>C20</v>
      </c>
      <c r="C2939" s="2">
        <f>--(COUNTIFS($A$2:A2939,A2939,$B$2:B2939,B2939)=1)</f>
        <v>1</v>
      </c>
      <c r="D2939" t="str">
        <f>检查点拆解!F2939</f>
        <v>D07.02.04</v>
      </c>
      <c r="E2939" s="2">
        <f>--(COUNTIFS($A$2:A2939,A2939,$D$2:D2939,D2939)=1)</f>
        <v>1</v>
      </c>
    </row>
    <row r="2940" spans="1:5">
      <c r="A2940" t="str">
        <f>检查点拆解!A2940</f>
        <v>Q0448</v>
      </c>
      <c r="B2940" t="str">
        <f>检查点拆解!D2940</f>
        <v>C12</v>
      </c>
      <c r="C2940" s="2">
        <f>--(COUNTIFS($A$2:A2940,A2940,$B$2:B2940,B2940)=1)</f>
        <v>1</v>
      </c>
      <c r="D2940" t="str">
        <f>检查点拆解!F2940</f>
        <v>D04.03.03</v>
      </c>
      <c r="E2940" s="2">
        <f>--(COUNTIFS($A$2:A2940,A2940,$D$2:D2940,D2940)=1)</f>
        <v>1</v>
      </c>
    </row>
    <row r="2941" spans="1:5">
      <c r="A2941" t="str">
        <f>检查点拆解!A2941</f>
        <v>Q0448</v>
      </c>
      <c r="B2941" t="str">
        <f>检查点拆解!D2941</f>
        <v>C14</v>
      </c>
      <c r="C2941" s="2">
        <f>--(COUNTIFS($A$2:A2941,A2941,$B$2:B2941,B2941)=1)</f>
        <v>1</v>
      </c>
      <c r="D2941" t="str">
        <f>检查点拆解!F2941</f>
        <v>D08.01.01</v>
      </c>
      <c r="E2941" s="2">
        <f>--(COUNTIFS($A$2:A2941,A2941,$D$2:D2941,D2941)=1)</f>
        <v>1</v>
      </c>
    </row>
    <row r="2942" spans="1:5">
      <c r="A2942" t="str">
        <f>检查点拆解!A2942</f>
        <v>Q0448</v>
      </c>
      <c r="B2942" t="str">
        <f>检查点拆解!D2942</f>
        <v>C24</v>
      </c>
      <c r="C2942" s="2">
        <f>--(COUNTIFS($A$2:A2942,A2942,$B$2:B2942,B2942)=1)</f>
        <v>1</v>
      </c>
      <c r="D2942" t="str">
        <f>检查点拆解!F2942</f>
        <v>D09.02.03</v>
      </c>
      <c r="E2942" s="2">
        <f>--(COUNTIFS($A$2:A2942,A2942,$D$2:D2942,D2942)=1)</f>
        <v>1</v>
      </c>
    </row>
    <row r="2943" spans="1:5">
      <c r="A2943" t="str">
        <f>检查点拆解!A2943</f>
        <v>Q0448</v>
      </c>
      <c r="B2943" t="str">
        <f>检查点拆解!D2943</f>
        <v>C25</v>
      </c>
      <c r="C2943" s="2">
        <f>--(COUNTIFS($A$2:A2943,A2943,$B$2:B2943,B2943)=1)</f>
        <v>1</v>
      </c>
      <c r="D2943" t="str">
        <f>检查点拆解!F2943</f>
        <v>D10.01.01</v>
      </c>
      <c r="E2943" s="2">
        <f>--(COUNTIFS($A$2:A2943,A2943,$D$2:D2943,D2943)=1)</f>
        <v>1</v>
      </c>
    </row>
    <row r="2944" spans="1:5">
      <c r="A2944" t="str">
        <f>检查点拆解!A2944</f>
        <v>Q0448</v>
      </c>
      <c r="B2944" t="str">
        <f>检查点拆解!D2944</f>
        <v>C08</v>
      </c>
      <c r="C2944" s="2">
        <f>--(COUNTIFS($A$2:A2944,A2944,$B$2:B2944,B2944)=1)</f>
        <v>1</v>
      </c>
      <c r="D2944" t="str">
        <f>检查点拆解!F2944</f>
        <v>D04.01.03</v>
      </c>
      <c r="E2944" s="2">
        <f>--(COUNTIFS($A$2:A2944,A2944,$D$2:D2944,D2944)=1)</f>
        <v>1</v>
      </c>
    </row>
  </sheetData>
  <sheetProtection formatCells="0" insertHyperlinks="0" autoFilter="0"/>
  <conditionalFormatting sqref="A2:E2944">
    <cfRule type="expression" dxfId="2" priority="1">
      <formula>MOD(ROW(),2)=0</formula>
    </cfRule>
  </conditionalFormatting>
  <pageMargins left="0.7" right="0.7" top="0.75" bottom="0.75" header="0.3" footer="0.3"/>
  <headerFooter/>
  <picture r:id="cco-watermark"/>
  <tableParts count="1">
    <tablePart r:id="rId1"/>
  </tableParts>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sProps>
  <woBookProps>
    <bookSettings fileId="" isFilterShared="0"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WWO_wpscloud_20260723215130-f270ffdc43</Application>
  <HeadingPairs>
    <vt:vector size="2" baseType="variant">
      <vt:variant>
        <vt:lpstr>工作表</vt:lpstr>
      </vt:variant>
      <vt:variant>
        <vt:i4>9</vt:i4>
      </vt:variant>
    </vt:vector>
  </HeadingPairs>
  <TitlesOfParts>
    <vt:vector size="9" baseType="lpstr">
      <vt:lpstr>交付说明</vt:lpstr>
      <vt:lpstr>原题</vt:lpstr>
      <vt:lpstr>检查点拆解</vt:lpstr>
      <vt:lpstr>自检</vt:lpstr>
      <vt:lpstr>V6唯一映射</vt:lpstr>
      <vt:lpstr>覆盖概览</vt:lpstr>
      <vt:lpstr>核心能力覆盖</vt:lpstr>
      <vt:lpstr>三级标签覆盖</vt:lpstr>
      <vt:lpstr>统计辅助_勿改</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2026-08-10T12:42:24Z</dcterms:created>
  <dc:description>null; download by chenyifei.68</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31E3236C364C00C1B056796A29A6B435_42</vt:lpwstr>
  </property>
  <property fmtid="{D5CDD505-2E9C-101B-9397-08002B2CF9AE}" pid="3" name="KSOProductBuildVer">
    <vt:lpwstr>2052-12.9.0.25431</vt:lpwstr>
  </property>
  <property fmtid="{D5CDD505-2E9C-101B-9397-08002B2CF9AE}" pid="4" name="CalculationRule">
    <vt:i4>0</vt:i4>
  </property>
</Properties>
</file>